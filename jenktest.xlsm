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416" codeName="{8C4F1C90-05EB-6A55-5F09-09C24B55AC0B}"/>
  <workbookPr showInkAnnotation="0" codeName="ThisWorkbook" hidePivotFieldList="1" autoCompressPictures="0"/>
  <bookViews>
    <workbookView xWindow="560" yWindow="480" windowWidth="24960" windowHeight="18260" tabRatio="740" firstSheet="5" activeTab="14"/>
  </bookViews>
  <sheets>
    <sheet name="jenkinsSequenceLow" sheetId="13" r:id="rId1"/>
    <sheet name="jenkinsSequenceHigh" sheetId="7" r:id="rId2"/>
    <sheet name="stormSequence" sheetId="10" r:id="rId3"/>
    <sheet name="stormCSV" sheetId="5" r:id="rId4"/>
    <sheet name="jenkinsPivot" sheetId="14" r:id="rId5"/>
    <sheet name="jWL" sheetId="17" r:id="rId6"/>
    <sheet name="jWH" sheetId="15" r:id="rId7"/>
    <sheet name="jWH (2)" sheetId="24" r:id="rId8"/>
    <sheet name="jMH" sheetId="18" r:id="rId9"/>
    <sheet name="jML" sheetId="19" r:id="rId10"/>
    <sheet name="jQH" sheetId="20" r:id="rId11"/>
    <sheet name="JQL" sheetId="21" r:id="rId12"/>
    <sheet name="j6MH" sheetId="22" r:id="rId13"/>
    <sheet name="j6ML" sheetId="23" r:id="rId14"/>
    <sheet name="jenk'spivot2" sheetId="27" r:id="rId15"/>
    <sheet name="voldPivot" sheetId="30" r:id="rId16"/>
    <sheet name="perlPivot" sheetId="29" r:id="rId17"/>
    <sheet name="stormPivot" sheetId="38" r:id="rId18"/>
    <sheet name="all ids" sheetId="6" r:id="rId19"/>
    <sheet name="Sheet2" sheetId="9" r:id="rId20"/>
    <sheet name="voldHigh" sheetId="35" r:id="rId21"/>
    <sheet name="voldLow" sheetId="34" r:id="rId22"/>
    <sheet name="jenkinCSV" sheetId="12" r:id="rId23"/>
    <sheet name="perlLow" sheetId="32" r:id="rId24"/>
    <sheet name="perlHigh" sheetId="33" r:id="rId25"/>
  </sheets>
  <definedNames>
    <definedName name="_xlnm._FilterDatabase" localSheetId="18" hidden="1">'all ids'!$K$793:$K$1173</definedName>
    <definedName name="_xlnm._FilterDatabase" localSheetId="12" hidden="1">j6MH!$H$1:$H$396</definedName>
    <definedName name="_xlnm._FilterDatabase" localSheetId="13" hidden="1">j6ML!$H$1:$H$396</definedName>
    <definedName name="_xlnm._FilterDatabase" localSheetId="1" hidden="1">jenkinsSequenceHigh!$H$1:$H$396</definedName>
    <definedName name="_xlnm._FilterDatabase" localSheetId="0" hidden="1">jenkinsSequenceLow!$H$1:$H$396</definedName>
    <definedName name="_xlnm._FilterDatabase" localSheetId="8" hidden="1">jMH!$H$1:$H$396</definedName>
    <definedName name="_xlnm._FilterDatabase" localSheetId="9" hidden="1">jML!$H$1:$H$396</definedName>
    <definedName name="_xlnm._FilterDatabase" localSheetId="10" hidden="1">jQH!$H$1:$H$396</definedName>
    <definedName name="_xlnm._FilterDatabase" localSheetId="11" hidden="1">JQL!$H$1:$H$396</definedName>
    <definedName name="_xlnm._FilterDatabase" localSheetId="6" hidden="1">jWH!$H$1:$H$396</definedName>
    <definedName name="_xlnm._FilterDatabase" localSheetId="7" hidden="1">'jWH (2)'!$H$1:$H$396</definedName>
    <definedName name="_xlnm._FilterDatabase" localSheetId="5" hidden="1">jWL!$H$1:$H$396</definedName>
    <definedName name="_xlnm._FilterDatabase" localSheetId="24" hidden="1">perlHigh!$H$1:$H$396</definedName>
    <definedName name="_xlnm._FilterDatabase" localSheetId="23" hidden="1">perlLow!$H$1:$H$396</definedName>
    <definedName name="_xlnm._FilterDatabase" localSheetId="2" hidden="1">stormSequence!$H$1:$H$396</definedName>
    <definedName name="_xlnm._FilterDatabase" localSheetId="20" hidden="1">voldHigh!$H$1:$H$396</definedName>
    <definedName name="_xlnm._FilterDatabase" localSheetId="21" hidden="1">voldLow!$H$1:$H$396</definedName>
  </definedNames>
  <calcPr calcId="140001" concurrentCalc="0"/>
  <pivotCaches>
    <pivotCache cacheId="92" r:id="rId26"/>
    <pivotCache cacheId="93" r:id="rId27"/>
    <pivotCache cacheId="94" r:id="rId28"/>
    <pivotCache cacheId="95" r:id="rId29"/>
    <pivotCache cacheId="96" r:id="rId30"/>
    <pivotCache cacheId="97" r:id="rId31"/>
    <pivotCache cacheId="98" r:id="rId32"/>
    <pivotCache cacheId="99" r:id="rId33"/>
    <pivotCache cacheId="100" r:id="rId34"/>
    <pivotCache cacheId="101" r:id="rId35"/>
    <pivotCache cacheId="102" r:id="rId36"/>
    <pivotCache cacheId="103" r:id="rId37"/>
    <pivotCache cacheId="104" r:id="rId38"/>
    <pivotCache cacheId="105" r:id="rId39"/>
    <pivotCache cacheId="106" r:id="rId40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5" i="38" l="1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5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5" i="38"/>
  <c r="N33" i="38"/>
  <c r="N32" i="38"/>
  <c r="L25" i="38"/>
  <c r="E1262" i="12"/>
  <c r="E1263" i="12"/>
  <c r="E1264" i="12"/>
  <c r="E1265" i="12"/>
  <c r="E1266" i="12"/>
  <c r="E1267" i="12"/>
  <c r="E1268" i="12"/>
  <c r="E1269" i="12"/>
  <c r="E1270" i="12"/>
  <c r="E1271" i="12"/>
  <c r="E1272" i="12"/>
  <c r="E1273" i="12"/>
  <c r="E1274" i="12"/>
  <c r="E1275" i="12"/>
  <c r="E1276" i="12"/>
  <c r="E1277" i="12"/>
  <c r="E1278" i="12"/>
  <c r="E1279" i="12"/>
  <c r="E1280" i="12"/>
  <c r="E1281" i="12"/>
  <c r="E1282" i="12"/>
  <c r="E1283" i="12"/>
  <c r="E1284" i="12"/>
  <c r="E1285" i="12"/>
  <c r="E1286" i="12"/>
  <c r="E1287" i="12"/>
  <c r="E1288" i="12"/>
  <c r="E1289" i="12"/>
  <c r="E1290" i="12"/>
  <c r="E1291" i="12"/>
  <c r="E1292" i="12"/>
  <c r="E1293" i="12"/>
  <c r="E1294" i="12"/>
  <c r="E1295" i="12"/>
  <c r="E1296" i="12"/>
  <c r="E1297" i="12"/>
  <c r="E1298" i="12"/>
  <c r="E1299" i="12"/>
  <c r="E1300" i="12"/>
  <c r="E1301" i="12"/>
  <c r="E1302" i="12"/>
  <c r="E1303" i="12"/>
  <c r="E1304" i="12"/>
  <c r="E1305" i="12"/>
  <c r="E1306" i="12"/>
  <c r="E1307" i="12"/>
  <c r="E1308" i="12"/>
  <c r="E1309" i="12"/>
  <c r="E1310" i="12"/>
  <c r="E1311" i="12"/>
  <c r="E1312" i="12"/>
  <c r="E1313" i="12"/>
  <c r="E1314" i="12"/>
  <c r="E1315" i="12"/>
  <c r="E1316" i="12"/>
  <c r="E1317" i="12"/>
  <c r="E1318" i="12"/>
  <c r="E1319" i="12"/>
  <c r="E1320" i="12"/>
  <c r="E1321" i="12"/>
  <c r="E1322" i="12"/>
  <c r="E1323" i="12"/>
  <c r="E1324" i="12"/>
  <c r="E1325" i="12"/>
  <c r="E1326" i="12"/>
  <c r="E1327" i="12"/>
  <c r="E1328" i="12"/>
  <c r="E1329" i="12"/>
  <c r="E1330" i="12"/>
  <c r="E1331" i="12"/>
  <c r="E1332" i="12"/>
  <c r="E1333" i="12"/>
  <c r="E1334" i="12"/>
  <c r="E1335" i="12"/>
  <c r="E1336" i="12"/>
  <c r="E1337" i="12"/>
  <c r="E1338" i="12"/>
  <c r="E1339" i="12"/>
  <c r="E1340" i="12"/>
  <c r="E1341" i="12"/>
  <c r="E1342" i="12"/>
  <c r="E1343" i="12"/>
  <c r="E1344" i="12"/>
  <c r="E1345" i="12"/>
  <c r="E1346" i="12"/>
  <c r="E1347" i="12"/>
  <c r="E1348" i="12"/>
  <c r="E1349" i="12"/>
  <c r="E1350" i="12"/>
  <c r="E1351" i="12"/>
  <c r="E1352" i="12"/>
  <c r="E1353" i="12"/>
  <c r="E1354" i="12"/>
  <c r="E1355" i="12"/>
  <c r="E1356" i="12"/>
  <c r="E1357" i="12"/>
  <c r="E1358" i="12"/>
  <c r="E1359" i="12"/>
  <c r="E1360" i="12"/>
  <c r="E1361" i="12"/>
  <c r="E1362" i="12"/>
  <c r="E1363" i="12"/>
  <c r="E1364" i="12"/>
  <c r="E1365" i="12"/>
  <c r="E1366" i="12"/>
  <c r="E1367" i="12"/>
  <c r="E1368" i="12"/>
  <c r="E1369" i="12"/>
  <c r="E1370" i="12"/>
  <c r="E1371" i="12"/>
  <c r="E1372" i="12"/>
  <c r="E1373" i="12"/>
  <c r="E1374" i="12"/>
  <c r="E1375" i="12"/>
  <c r="E1376" i="12"/>
  <c r="E1377" i="12"/>
  <c r="E1378" i="12"/>
  <c r="E1379" i="12"/>
  <c r="E1380" i="12"/>
  <c r="E1381" i="12"/>
  <c r="E1382" i="12"/>
  <c r="E1383" i="12"/>
  <c r="E1384" i="12"/>
  <c r="E1385" i="12"/>
  <c r="E1386" i="12"/>
  <c r="E1387" i="12"/>
  <c r="E1388" i="12"/>
  <c r="E1389" i="12"/>
  <c r="E1390" i="12"/>
  <c r="E1391" i="12"/>
  <c r="E1392" i="12"/>
  <c r="E1393" i="12"/>
  <c r="E1394" i="12"/>
  <c r="E1395" i="12"/>
  <c r="E1396" i="12"/>
  <c r="E1397" i="12"/>
  <c r="E1398" i="12"/>
  <c r="E1399" i="12"/>
  <c r="E1400" i="12"/>
  <c r="E1401" i="12"/>
  <c r="E1402" i="12"/>
  <c r="E1403" i="12"/>
  <c r="E1404" i="12"/>
  <c r="E1405" i="12"/>
  <c r="E1406" i="12"/>
  <c r="E1407" i="12"/>
  <c r="E1408" i="12"/>
  <c r="E1409" i="12"/>
  <c r="E1410" i="12"/>
  <c r="E1411" i="12"/>
  <c r="E1412" i="12"/>
  <c r="E1413" i="12"/>
  <c r="E1414" i="12"/>
  <c r="E1415" i="12"/>
  <c r="E1416" i="12"/>
  <c r="E1417" i="12"/>
  <c r="E1418" i="12"/>
  <c r="E1419" i="12"/>
  <c r="E1420" i="12"/>
  <c r="E1421" i="12"/>
  <c r="E1422" i="12"/>
  <c r="E1423" i="12"/>
  <c r="E1424" i="12"/>
  <c r="E1425" i="12"/>
  <c r="E1426" i="12"/>
  <c r="E1427" i="12"/>
  <c r="E1428" i="12"/>
  <c r="E1182" i="12"/>
  <c r="E1183" i="12"/>
  <c r="E1184" i="12"/>
  <c r="E1185" i="12"/>
  <c r="E1186" i="12"/>
  <c r="E1187" i="12"/>
  <c r="E1188" i="12"/>
  <c r="E1189" i="12"/>
  <c r="E1190" i="12"/>
  <c r="E1191" i="12"/>
  <c r="E1192" i="12"/>
  <c r="E1193" i="12"/>
  <c r="E1194" i="12"/>
  <c r="E1195" i="12"/>
  <c r="E1196" i="12"/>
  <c r="E1197" i="12"/>
  <c r="E1198" i="12"/>
  <c r="E1199" i="12"/>
  <c r="E1200" i="12"/>
  <c r="E1201" i="12"/>
  <c r="E1202" i="12"/>
  <c r="E1203" i="12"/>
  <c r="E1204" i="12"/>
  <c r="E1205" i="12"/>
  <c r="E1206" i="12"/>
  <c r="E1207" i="12"/>
  <c r="E1208" i="12"/>
  <c r="E1209" i="12"/>
  <c r="E1210" i="12"/>
  <c r="E1211" i="12"/>
  <c r="E1212" i="12"/>
  <c r="E1213" i="12"/>
  <c r="E1214" i="12"/>
  <c r="E1215" i="12"/>
  <c r="E1216" i="12"/>
  <c r="E1217" i="12"/>
  <c r="E1218" i="12"/>
  <c r="E1219" i="12"/>
  <c r="E1220" i="12"/>
  <c r="E1221" i="12"/>
  <c r="E1222" i="12"/>
  <c r="E1223" i="12"/>
  <c r="E1224" i="12"/>
  <c r="E1225" i="12"/>
  <c r="E1226" i="12"/>
  <c r="E1227" i="12"/>
  <c r="E1228" i="12"/>
  <c r="E1229" i="12"/>
  <c r="E1230" i="12"/>
  <c r="E1231" i="12"/>
  <c r="E1232" i="12"/>
  <c r="E1233" i="12"/>
  <c r="E1234" i="12"/>
  <c r="E1235" i="12"/>
  <c r="E1236" i="12"/>
  <c r="E1237" i="12"/>
  <c r="E1238" i="12"/>
  <c r="E1239" i="12"/>
  <c r="E1240" i="12"/>
  <c r="E1241" i="12"/>
  <c r="E1242" i="12"/>
  <c r="E1243" i="12"/>
  <c r="E1244" i="12"/>
  <c r="E1245" i="12"/>
  <c r="E1246" i="12"/>
  <c r="E1247" i="12"/>
  <c r="E1248" i="12"/>
  <c r="E1249" i="12"/>
  <c r="E1250" i="12"/>
  <c r="E1251" i="12"/>
  <c r="E1252" i="12"/>
  <c r="E1253" i="12"/>
  <c r="E1254" i="12"/>
  <c r="E1255" i="12"/>
  <c r="E1256" i="12"/>
  <c r="E1257" i="12"/>
  <c r="E1258" i="12"/>
  <c r="E1259" i="12"/>
  <c r="K174" i="35"/>
  <c r="L169" i="35"/>
  <c r="K2" i="35"/>
  <c r="K3" i="35"/>
  <c r="K4" i="35"/>
  <c r="K5" i="35"/>
  <c r="K6" i="35"/>
  <c r="K7" i="35"/>
  <c r="K8" i="35"/>
  <c r="K9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109" i="35"/>
  <c r="K110" i="35"/>
  <c r="K111" i="35"/>
  <c r="K112" i="35"/>
  <c r="K113" i="35"/>
  <c r="K114" i="35"/>
  <c r="K115" i="35"/>
  <c r="K116" i="35"/>
  <c r="K117" i="35"/>
  <c r="K118" i="35"/>
  <c r="K119" i="35"/>
  <c r="K120" i="35"/>
  <c r="K121" i="35"/>
  <c r="K122" i="35"/>
  <c r="K123" i="35"/>
  <c r="K124" i="35"/>
  <c r="K125" i="35"/>
  <c r="K126" i="35"/>
  <c r="K127" i="35"/>
  <c r="K128" i="35"/>
  <c r="K129" i="35"/>
  <c r="K130" i="35"/>
  <c r="K131" i="35"/>
  <c r="K132" i="35"/>
  <c r="K133" i="35"/>
  <c r="K134" i="35"/>
  <c r="K135" i="35"/>
  <c r="K136" i="35"/>
  <c r="K137" i="35"/>
  <c r="K138" i="35"/>
  <c r="K139" i="35"/>
  <c r="K140" i="35"/>
  <c r="K141" i="35"/>
  <c r="K142" i="35"/>
  <c r="K143" i="35"/>
  <c r="K144" i="35"/>
  <c r="K145" i="35"/>
  <c r="K146" i="35"/>
  <c r="K147" i="35"/>
  <c r="K148" i="35"/>
  <c r="K149" i="35"/>
  <c r="K150" i="35"/>
  <c r="K151" i="35"/>
  <c r="K152" i="35"/>
  <c r="K153" i="35"/>
  <c r="K154" i="35"/>
  <c r="K155" i="35"/>
  <c r="K156" i="35"/>
  <c r="K157" i="35"/>
  <c r="K158" i="35"/>
  <c r="K159" i="35"/>
  <c r="K160" i="35"/>
  <c r="K161" i="35"/>
  <c r="K162" i="35"/>
  <c r="K163" i="35"/>
  <c r="K164" i="35"/>
  <c r="K165" i="35"/>
  <c r="K166" i="35"/>
  <c r="K167" i="35"/>
  <c r="K168" i="35"/>
  <c r="H78" i="35"/>
  <c r="H15" i="35"/>
  <c r="H79" i="35"/>
  <c r="H16" i="35"/>
  <c r="H80" i="35"/>
  <c r="H135" i="35"/>
  <c r="H81" i="35"/>
  <c r="H17" i="35"/>
  <c r="H82" i="35"/>
  <c r="H18" i="35"/>
  <c r="H84" i="35"/>
  <c r="H19" i="35"/>
  <c r="H85" i="35"/>
  <c r="H83" i="35"/>
  <c r="H136" i="35"/>
  <c r="H20" i="35"/>
  <c r="H86" i="35"/>
  <c r="H87" i="35"/>
  <c r="H21" i="35"/>
  <c r="H22" i="35"/>
  <c r="H88" i="35"/>
  <c r="H89" i="35"/>
  <c r="H23" i="35"/>
  <c r="H24" i="35"/>
  <c r="H2" i="35"/>
  <c r="H90" i="35"/>
  <c r="H157" i="35"/>
  <c r="H91" i="35"/>
  <c r="H123" i="35"/>
  <c r="H92" i="35"/>
  <c r="H25" i="35"/>
  <c r="H93" i="35"/>
  <c r="H94" i="35"/>
  <c r="H137" i="35"/>
  <c r="H138" i="35"/>
  <c r="H95" i="35"/>
  <c r="H26" i="35"/>
  <c r="H96" i="35"/>
  <c r="H97" i="35"/>
  <c r="H27" i="35"/>
  <c r="H28" i="35"/>
  <c r="H98" i="35"/>
  <c r="H73" i="35"/>
  <c r="H74" i="35"/>
  <c r="H139" i="35"/>
  <c r="H124" i="35"/>
  <c r="H29" i="35"/>
  <c r="H3" i="35"/>
  <c r="H30" i="35"/>
  <c r="H75" i="35"/>
  <c r="H31" i="35"/>
  <c r="H99" i="35"/>
  <c r="H32" i="35"/>
  <c r="H4" i="35"/>
  <c r="H140" i="35"/>
  <c r="H33" i="35"/>
  <c r="H34" i="35"/>
  <c r="H5" i="35"/>
  <c r="H35" i="35"/>
  <c r="H100" i="35"/>
  <c r="H76" i="35"/>
  <c r="H36" i="35"/>
  <c r="H37" i="35"/>
  <c r="H101" i="35"/>
  <c r="H38" i="35"/>
  <c r="H102" i="35"/>
  <c r="H103" i="35"/>
  <c r="H39" i="35"/>
  <c r="H125" i="35"/>
  <c r="H40" i="35"/>
  <c r="H41" i="35"/>
  <c r="H126" i="35"/>
  <c r="H127" i="35"/>
  <c r="H111" i="35"/>
  <c r="H42" i="35"/>
  <c r="H6" i="35"/>
  <c r="H43" i="35"/>
  <c r="H113" i="35"/>
  <c r="H44" i="35"/>
  <c r="H7" i="35"/>
  <c r="H45" i="35"/>
  <c r="H46" i="35"/>
  <c r="H114" i="35"/>
  <c r="H112" i="35"/>
  <c r="H47" i="35"/>
  <c r="H107" i="35"/>
  <c r="H116" i="35"/>
  <c r="H108" i="35"/>
  <c r="H117" i="35"/>
  <c r="H109" i="35"/>
  <c r="H167" i="35"/>
  <c r="H118" i="35"/>
  <c r="H115" i="35"/>
  <c r="H110" i="35"/>
  <c r="H119" i="35"/>
  <c r="H49" i="35"/>
  <c r="H48" i="35"/>
  <c r="H8" i="35"/>
  <c r="H168" i="35"/>
  <c r="H50" i="35"/>
  <c r="H141" i="35"/>
  <c r="H51" i="35"/>
  <c r="H142" i="35"/>
  <c r="H143" i="35"/>
  <c r="H52" i="35"/>
  <c r="H144" i="35"/>
  <c r="H130" i="35"/>
  <c r="H53" i="35"/>
  <c r="H145" i="35"/>
  <c r="H54" i="35"/>
  <c r="H9" i="35"/>
  <c r="H146" i="35"/>
  <c r="H131" i="35"/>
  <c r="H55" i="35"/>
  <c r="H10" i="35"/>
  <c r="H56" i="35"/>
  <c r="H11" i="35"/>
  <c r="H147" i="35"/>
  <c r="H132" i="35"/>
  <c r="H71" i="35"/>
  <c r="H148" i="35"/>
  <c r="H166" i="35"/>
  <c r="H120" i="35"/>
  <c r="H122" i="35"/>
  <c r="H57" i="35"/>
  <c r="H121" i="35"/>
  <c r="H58" i="35"/>
  <c r="H59" i="35"/>
  <c r="H104" i="35"/>
  <c r="H60" i="35"/>
  <c r="H12" i="35"/>
  <c r="H149" i="35"/>
  <c r="H61" i="35"/>
  <c r="H62" i="35"/>
  <c r="H150" i="35"/>
  <c r="H106" i="35"/>
  <c r="H105" i="35"/>
  <c r="H129" i="35"/>
  <c r="H63" i="35"/>
  <c r="H64" i="35"/>
  <c r="H152" i="35"/>
  <c r="H151" i="35"/>
  <c r="H133" i="35"/>
  <c r="H159" i="35"/>
  <c r="H153" i="35"/>
  <c r="H65" i="35"/>
  <c r="H160" i="35"/>
  <c r="H161" i="35"/>
  <c r="H154" i="35"/>
  <c r="H155" i="35"/>
  <c r="H134" i="35"/>
  <c r="H66" i="35"/>
  <c r="H162" i="35"/>
  <c r="H67" i="35"/>
  <c r="H13" i="35"/>
  <c r="H77" i="35"/>
  <c r="H68" i="35"/>
  <c r="H163" i="35"/>
  <c r="H158" i="35"/>
  <c r="H164" i="35"/>
  <c r="H128" i="35"/>
  <c r="H69" i="35"/>
  <c r="H14" i="35"/>
  <c r="H156" i="35"/>
  <c r="H165" i="35"/>
  <c r="H70" i="35"/>
  <c r="H72" i="35"/>
  <c r="W19" i="35"/>
  <c r="K84" i="34"/>
  <c r="L80" i="34"/>
  <c r="K2" i="34"/>
  <c r="K3" i="34"/>
  <c r="K4" i="34"/>
  <c r="K5" i="34"/>
  <c r="K6" i="34"/>
  <c r="K7" i="34"/>
  <c r="K8" i="34"/>
  <c r="K9" i="34"/>
  <c r="K10" i="34"/>
  <c r="K11" i="34"/>
  <c r="K12" i="34"/>
  <c r="K13" i="34"/>
  <c r="K14" i="34"/>
  <c r="K15" i="34"/>
  <c r="K16" i="34"/>
  <c r="K17" i="34"/>
  <c r="K18" i="34"/>
  <c r="K19" i="34"/>
  <c r="K20" i="34"/>
  <c r="K21" i="34"/>
  <c r="K22" i="34"/>
  <c r="K23" i="34"/>
  <c r="K24" i="34"/>
  <c r="K25" i="34"/>
  <c r="K26" i="34"/>
  <c r="K27" i="34"/>
  <c r="K28" i="34"/>
  <c r="K29" i="34"/>
  <c r="K30" i="34"/>
  <c r="K31" i="34"/>
  <c r="K32" i="34"/>
  <c r="K33" i="34"/>
  <c r="K34" i="34"/>
  <c r="K35" i="34"/>
  <c r="K36" i="34"/>
  <c r="K37" i="34"/>
  <c r="K38" i="34"/>
  <c r="K39" i="34"/>
  <c r="K40" i="34"/>
  <c r="K41" i="34"/>
  <c r="K42" i="34"/>
  <c r="K43" i="34"/>
  <c r="K44" i="34"/>
  <c r="K45" i="34"/>
  <c r="K46" i="34"/>
  <c r="K47" i="34"/>
  <c r="K48" i="34"/>
  <c r="K49" i="34"/>
  <c r="K50" i="34"/>
  <c r="K51" i="34"/>
  <c r="K52" i="34"/>
  <c r="K53" i="34"/>
  <c r="K54" i="34"/>
  <c r="K55" i="34"/>
  <c r="K56" i="34"/>
  <c r="K57" i="34"/>
  <c r="K58" i="34"/>
  <c r="K59" i="34"/>
  <c r="K60" i="34"/>
  <c r="K61" i="34"/>
  <c r="K62" i="34"/>
  <c r="K63" i="34"/>
  <c r="K64" i="34"/>
  <c r="K65" i="34"/>
  <c r="K66" i="34"/>
  <c r="K67" i="34"/>
  <c r="K68" i="34"/>
  <c r="K69" i="34"/>
  <c r="K70" i="34"/>
  <c r="K71" i="34"/>
  <c r="K72" i="34"/>
  <c r="K73" i="34"/>
  <c r="K74" i="34"/>
  <c r="K75" i="34"/>
  <c r="K76" i="34"/>
  <c r="K77" i="34"/>
  <c r="K78" i="34"/>
  <c r="K79" i="34"/>
  <c r="H40" i="34"/>
  <c r="H5" i="34"/>
  <c r="H54" i="34"/>
  <c r="H52" i="34"/>
  <c r="H41" i="34"/>
  <c r="H55" i="34"/>
  <c r="H6" i="34"/>
  <c r="H56" i="34"/>
  <c r="H42" i="34"/>
  <c r="H4" i="34"/>
  <c r="H57" i="34"/>
  <c r="H58" i="34"/>
  <c r="H43" i="34"/>
  <c r="H59" i="34"/>
  <c r="H44" i="34"/>
  <c r="H60" i="34"/>
  <c r="H22" i="34"/>
  <c r="H23" i="34"/>
  <c r="H18" i="34"/>
  <c r="H25" i="34"/>
  <c r="H7" i="34"/>
  <c r="H61" i="34"/>
  <c r="H8" i="34"/>
  <c r="H62" i="34"/>
  <c r="H26" i="34"/>
  <c r="H63" i="34"/>
  <c r="H27" i="34"/>
  <c r="H28" i="34"/>
  <c r="H64" i="34"/>
  <c r="H2" i="34"/>
  <c r="H65" i="34"/>
  <c r="H45" i="34"/>
  <c r="H24" i="34"/>
  <c r="H66" i="34"/>
  <c r="H67" i="34"/>
  <c r="H29" i="34"/>
  <c r="H68" i="34"/>
  <c r="H30" i="34"/>
  <c r="H31" i="34"/>
  <c r="H17" i="34"/>
  <c r="H9" i="34"/>
  <c r="H69" i="34"/>
  <c r="H10" i="34"/>
  <c r="H32" i="34"/>
  <c r="H51" i="34"/>
  <c r="H46" i="34"/>
  <c r="H70" i="34"/>
  <c r="H47" i="34"/>
  <c r="H71" i="34"/>
  <c r="H34" i="34"/>
  <c r="H33" i="34"/>
  <c r="H19" i="34"/>
  <c r="H72" i="34"/>
  <c r="H48" i="34"/>
  <c r="H73" i="34"/>
  <c r="H36" i="34"/>
  <c r="H74" i="34"/>
  <c r="H35" i="34"/>
  <c r="H20" i="34"/>
  <c r="H37" i="34"/>
  <c r="H21" i="34"/>
  <c r="H75" i="34"/>
  <c r="H49" i="34"/>
  <c r="H38" i="34"/>
  <c r="H76" i="34"/>
  <c r="H77" i="34"/>
  <c r="H50" i="34"/>
  <c r="H11" i="34"/>
  <c r="H78" i="34"/>
  <c r="H12" i="34"/>
  <c r="H79" i="34"/>
  <c r="H13" i="34"/>
  <c r="H15" i="34"/>
  <c r="H16" i="34"/>
  <c r="H3" i="34"/>
  <c r="H39" i="34"/>
  <c r="H14" i="34"/>
  <c r="H53" i="34"/>
  <c r="G23" i="30"/>
  <c r="W19" i="34"/>
  <c r="J15" i="30"/>
  <c r="J14" i="30"/>
  <c r="E1103" i="12"/>
  <c r="E1104" i="12"/>
  <c r="E1105" i="12"/>
  <c r="E1106" i="12"/>
  <c r="E1107" i="12"/>
  <c r="E1108" i="12"/>
  <c r="E1109" i="12"/>
  <c r="E1110" i="12"/>
  <c r="E1111" i="12"/>
  <c r="E1112" i="12"/>
  <c r="E1113" i="12"/>
  <c r="E1114" i="12"/>
  <c r="E1115" i="12"/>
  <c r="E1116" i="12"/>
  <c r="E1117" i="12"/>
  <c r="E1118" i="12"/>
  <c r="E1119" i="12"/>
  <c r="E1120" i="12"/>
  <c r="E1121" i="12"/>
  <c r="E1122" i="12"/>
  <c r="E1123" i="12"/>
  <c r="E1124" i="12"/>
  <c r="E1125" i="12"/>
  <c r="E1126" i="12"/>
  <c r="E1127" i="12"/>
  <c r="E1128" i="12"/>
  <c r="E1129" i="12"/>
  <c r="E1130" i="12"/>
  <c r="E1131" i="12"/>
  <c r="E1132" i="12"/>
  <c r="E1133" i="12"/>
  <c r="E1134" i="12"/>
  <c r="E1135" i="12"/>
  <c r="E1136" i="12"/>
  <c r="E1137" i="12"/>
  <c r="E1138" i="12"/>
  <c r="E1139" i="12"/>
  <c r="E1140" i="12"/>
  <c r="E1141" i="12"/>
  <c r="E1142" i="12"/>
  <c r="E1143" i="12"/>
  <c r="E1144" i="12"/>
  <c r="E1145" i="12"/>
  <c r="E1146" i="12"/>
  <c r="E1147" i="12"/>
  <c r="E1148" i="12"/>
  <c r="E1149" i="12"/>
  <c r="E1150" i="12"/>
  <c r="E1151" i="12"/>
  <c r="E1152" i="12"/>
  <c r="E1153" i="12"/>
  <c r="E1154" i="12"/>
  <c r="E1155" i="12"/>
  <c r="E1156" i="12"/>
  <c r="E1157" i="12"/>
  <c r="E1158" i="12"/>
  <c r="E1159" i="12"/>
  <c r="E1160" i="12"/>
  <c r="E1161" i="12"/>
  <c r="E1162" i="12"/>
  <c r="E1163" i="12"/>
  <c r="E1164" i="12"/>
  <c r="E1165" i="12"/>
  <c r="E1166" i="12"/>
  <c r="E1167" i="12"/>
  <c r="E1168" i="12"/>
  <c r="E1169" i="12"/>
  <c r="E1170" i="12"/>
  <c r="E1171" i="12"/>
  <c r="E1172" i="12"/>
  <c r="E1173" i="12"/>
  <c r="E1174" i="12"/>
  <c r="E1175" i="12"/>
  <c r="E1176" i="12"/>
  <c r="E1177" i="12"/>
  <c r="E1178" i="12"/>
  <c r="E1179" i="12"/>
  <c r="L52" i="32"/>
  <c r="K56" i="32"/>
  <c r="K83" i="33"/>
  <c r="L79" i="33"/>
  <c r="K3" i="33"/>
  <c r="K4" i="33"/>
  <c r="K5" i="33"/>
  <c r="K6" i="33"/>
  <c r="K7" i="33"/>
  <c r="K8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39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K54" i="33"/>
  <c r="K55" i="33"/>
  <c r="K56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H4" i="33"/>
  <c r="H39" i="33"/>
  <c r="H12" i="33"/>
  <c r="H40" i="33"/>
  <c r="H13" i="33"/>
  <c r="H41" i="33"/>
  <c r="H36" i="33"/>
  <c r="H75" i="33"/>
  <c r="H42" i="33"/>
  <c r="H43" i="33"/>
  <c r="H78" i="33"/>
  <c r="H14" i="33"/>
  <c r="H44" i="33"/>
  <c r="H45" i="33"/>
  <c r="H37" i="33"/>
  <c r="H15" i="33"/>
  <c r="H46" i="33"/>
  <c r="H16" i="33"/>
  <c r="H17" i="33"/>
  <c r="H47" i="33"/>
  <c r="H74" i="33"/>
  <c r="H6" i="33"/>
  <c r="H18" i="33"/>
  <c r="H48" i="33"/>
  <c r="H19" i="33"/>
  <c r="H49" i="33"/>
  <c r="H20" i="33"/>
  <c r="H50" i="33"/>
  <c r="H21" i="33"/>
  <c r="H51" i="33"/>
  <c r="H52" i="33"/>
  <c r="H22" i="33"/>
  <c r="H53" i="33"/>
  <c r="H76" i="33"/>
  <c r="H54" i="33"/>
  <c r="H77" i="33"/>
  <c r="H55" i="33"/>
  <c r="H23" i="33"/>
  <c r="H9" i="33"/>
  <c r="H56" i="33"/>
  <c r="H24" i="33"/>
  <c r="H57" i="33"/>
  <c r="H25" i="33"/>
  <c r="H58" i="33"/>
  <c r="H3" i="33"/>
  <c r="H5" i="33"/>
  <c r="H59" i="33"/>
  <c r="H60" i="33"/>
  <c r="H26" i="33"/>
  <c r="H61" i="33"/>
  <c r="H27" i="33"/>
  <c r="H62" i="33"/>
  <c r="H28" i="33"/>
  <c r="H63" i="33"/>
  <c r="H29" i="33"/>
  <c r="H64" i="33"/>
  <c r="H30" i="33"/>
  <c r="H31" i="33"/>
  <c r="H65" i="33"/>
  <c r="H32" i="33"/>
  <c r="H66" i="33"/>
  <c r="H33" i="33"/>
  <c r="H34" i="33"/>
  <c r="H67" i="33"/>
  <c r="H68" i="33"/>
  <c r="H10" i="33"/>
  <c r="H69" i="33"/>
  <c r="H2" i="33"/>
  <c r="H70" i="33"/>
  <c r="H11" i="33"/>
  <c r="H71" i="33"/>
  <c r="H35" i="33"/>
  <c r="H72" i="33"/>
  <c r="H7" i="33"/>
  <c r="H73" i="33"/>
  <c r="H8" i="33"/>
  <c r="H38" i="33"/>
  <c r="W19" i="33"/>
  <c r="K2" i="33"/>
  <c r="E1052" i="12"/>
  <c r="E1053" i="12"/>
  <c r="E1054" i="12"/>
  <c r="E1055" i="12"/>
  <c r="E1056" i="12"/>
  <c r="E1057" i="12"/>
  <c r="E1058" i="12"/>
  <c r="E1059" i="12"/>
  <c r="E1060" i="12"/>
  <c r="E1061" i="12"/>
  <c r="E1062" i="12"/>
  <c r="E1063" i="12"/>
  <c r="E1064" i="12"/>
  <c r="E1065" i="12"/>
  <c r="E1066" i="12"/>
  <c r="E1067" i="12"/>
  <c r="E1068" i="12"/>
  <c r="E1069" i="12"/>
  <c r="E1070" i="12"/>
  <c r="E1071" i="12"/>
  <c r="E1072" i="12"/>
  <c r="E1073" i="12"/>
  <c r="E1074" i="12"/>
  <c r="E1075" i="12"/>
  <c r="E1076" i="12"/>
  <c r="E1077" i="12"/>
  <c r="E1078" i="12"/>
  <c r="E1079" i="12"/>
  <c r="E1080" i="12"/>
  <c r="E1081" i="12"/>
  <c r="E1082" i="12"/>
  <c r="E1083" i="12"/>
  <c r="E1084" i="12"/>
  <c r="E1085" i="12"/>
  <c r="E1086" i="12"/>
  <c r="E1087" i="12"/>
  <c r="E1088" i="12"/>
  <c r="E1089" i="12"/>
  <c r="E1090" i="12"/>
  <c r="E1091" i="12"/>
  <c r="E1092" i="12"/>
  <c r="E1093" i="12"/>
  <c r="E1094" i="12"/>
  <c r="E1095" i="12"/>
  <c r="E1096" i="12"/>
  <c r="E1097" i="12"/>
  <c r="E1098" i="12"/>
  <c r="E1099" i="12"/>
  <c r="E1100" i="12"/>
  <c r="E1101" i="1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H35" i="32"/>
  <c r="H42" i="32"/>
  <c r="H40" i="32"/>
  <c r="H46" i="32"/>
  <c r="H36" i="32"/>
  <c r="H18" i="32"/>
  <c r="H9" i="32"/>
  <c r="H26" i="32"/>
  <c r="H10" i="32"/>
  <c r="H51" i="32"/>
  <c r="H45" i="32"/>
  <c r="H13" i="32"/>
  <c r="H41" i="32"/>
  <c r="H32" i="32"/>
  <c r="H49" i="32"/>
  <c r="H37" i="32"/>
  <c r="H33" i="32"/>
  <c r="H34" i="32"/>
  <c r="H15" i="32"/>
  <c r="H38" i="32"/>
  <c r="H2" i="32"/>
  <c r="H50" i="32"/>
  <c r="H43" i="32"/>
  <c r="H27" i="32"/>
  <c r="H47" i="32"/>
  <c r="H7" i="32"/>
  <c r="H48" i="32"/>
  <c r="H6" i="32"/>
  <c r="H14" i="32"/>
  <c r="H28" i="32"/>
  <c r="H19" i="32"/>
  <c r="H29" i="32"/>
  <c r="H20" i="32"/>
  <c r="H21" i="32"/>
  <c r="H44" i="32"/>
  <c r="H22" i="32"/>
  <c r="H30" i="32"/>
  <c r="H16" i="32"/>
  <c r="H3" i="32"/>
  <c r="H23" i="32"/>
  <c r="H8" i="32"/>
  <c r="H31" i="32"/>
  <c r="H4" i="32"/>
  <c r="H24" i="32"/>
  <c r="H5" i="32"/>
  <c r="H11" i="32"/>
  <c r="H39" i="32"/>
  <c r="H12" i="32"/>
  <c r="H25" i="32"/>
  <c r="H17" i="32"/>
  <c r="K27" i="32"/>
  <c r="K28" i="32"/>
  <c r="K29" i="32"/>
  <c r="K30" i="32"/>
  <c r="K31" i="32"/>
  <c r="K17" i="32"/>
  <c r="K18" i="32"/>
  <c r="K19" i="32"/>
  <c r="K20" i="32"/>
  <c r="K21" i="32"/>
  <c r="K22" i="32"/>
  <c r="K23" i="32"/>
  <c r="K24" i="32"/>
  <c r="K25" i="32"/>
  <c r="K26" i="32"/>
  <c r="K9" i="32"/>
  <c r="K10" i="32"/>
  <c r="K11" i="32"/>
  <c r="K12" i="32"/>
  <c r="K13" i="32"/>
  <c r="K14" i="32"/>
  <c r="K15" i="32"/>
  <c r="K16" i="32"/>
  <c r="W19" i="32"/>
  <c r="K2" i="32"/>
  <c r="K3" i="32"/>
  <c r="K4" i="32"/>
  <c r="K5" i="32"/>
  <c r="K6" i="32"/>
  <c r="K7" i="32"/>
  <c r="K8" i="32"/>
  <c r="I16" i="29"/>
  <c r="I15" i="29"/>
  <c r="Q1171" i="6"/>
  <c r="R1171" i="6"/>
  <c r="S1171" i="6"/>
  <c r="Q1172" i="6"/>
  <c r="R1172" i="6"/>
  <c r="S1172" i="6"/>
  <c r="Q1170" i="6"/>
  <c r="R1170" i="6"/>
  <c r="S1170" i="6"/>
  <c r="Q1169" i="6"/>
  <c r="R1169" i="6"/>
  <c r="S1169" i="6"/>
  <c r="Q1168" i="6"/>
  <c r="R1168" i="6"/>
  <c r="S1168" i="6"/>
  <c r="Q1167" i="6"/>
  <c r="R1167" i="6"/>
  <c r="S1167" i="6"/>
  <c r="Q1166" i="6"/>
  <c r="R1166" i="6"/>
  <c r="S1166" i="6"/>
  <c r="Q1165" i="6"/>
  <c r="R1165" i="6"/>
  <c r="S1165" i="6"/>
  <c r="Q1164" i="6"/>
  <c r="R1164" i="6"/>
  <c r="S1164" i="6"/>
  <c r="Q1163" i="6"/>
  <c r="R1163" i="6"/>
  <c r="S1163" i="6"/>
  <c r="Q1162" i="6"/>
  <c r="R1162" i="6"/>
  <c r="S1162" i="6"/>
  <c r="Q1161" i="6"/>
  <c r="R1161" i="6"/>
  <c r="S1161" i="6"/>
  <c r="Q1160" i="6"/>
  <c r="R1160" i="6"/>
  <c r="S1160" i="6"/>
  <c r="Q1159" i="6"/>
  <c r="R1159" i="6"/>
  <c r="S1159" i="6"/>
  <c r="Q1157" i="6"/>
  <c r="R1157" i="6"/>
  <c r="S1157" i="6"/>
  <c r="Q1158" i="6"/>
  <c r="R1158" i="6"/>
  <c r="S1158" i="6"/>
  <c r="Q1156" i="6"/>
  <c r="R1156" i="6"/>
  <c r="S1156" i="6"/>
  <c r="Q1155" i="6"/>
  <c r="R1155" i="6"/>
  <c r="S1155" i="6"/>
  <c r="Q1154" i="6"/>
  <c r="R1154" i="6"/>
  <c r="S1154" i="6"/>
  <c r="Q1153" i="6"/>
  <c r="R1153" i="6"/>
  <c r="S1153" i="6"/>
  <c r="Q1152" i="6"/>
  <c r="R1152" i="6"/>
  <c r="S1152" i="6"/>
  <c r="Q1151" i="6"/>
  <c r="R1151" i="6"/>
  <c r="S1151" i="6"/>
  <c r="Q1150" i="6"/>
  <c r="R1150" i="6"/>
  <c r="S1150" i="6"/>
  <c r="Q1149" i="6"/>
  <c r="R1149" i="6"/>
  <c r="S1149" i="6"/>
  <c r="Q1147" i="6"/>
  <c r="R1147" i="6"/>
  <c r="S1147" i="6"/>
  <c r="Q1148" i="6"/>
  <c r="R1148" i="6"/>
  <c r="S1148" i="6"/>
  <c r="Q1146" i="6"/>
  <c r="R1146" i="6"/>
  <c r="S1146" i="6"/>
  <c r="Q1145" i="6"/>
  <c r="R1145" i="6"/>
  <c r="S1145" i="6"/>
  <c r="Q1144" i="6"/>
  <c r="R1144" i="6"/>
  <c r="S1144" i="6"/>
  <c r="Q1143" i="6"/>
  <c r="R1143" i="6"/>
  <c r="S1143" i="6"/>
  <c r="Q1142" i="6"/>
  <c r="R1142" i="6"/>
  <c r="S1142" i="6"/>
  <c r="Q1141" i="6"/>
  <c r="R1141" i="6"/>
  <c r="S1141" i="6"/>
  <c r="Q1140" i="6"/>
  <c r="R1140" i="6"/>
  <c r="S1140" i="6"/>
  <c r="Q1139" i="6"/>
  <c r="R1139" i="6"/>
  <c r="S1139" i="6"/>
  <c r="Q1138" i="6"/>
  <c r="R1138" i="6"/>
  <c r="S1138" i="6"/>
  <c r="Q1137" i="6"/>
  <c r="R1137" i="6"/>
  <c r="S1137" i="6"/>
  <c r="Q1135" i="6"/>
  <c r="R1135" i="6"/>
  <c r="S1135" i="6"/>
  <c r="Q1136" i="6"/>
  <c r="R1136" i="6"/>
  <c r="S1136" i="6"/>
  <c r="Q1133" i="6"/>
  <c r="R1133" i="6"/>
  <c r="S1133" i="6"/>
  <c r="Q1134" i="6"/>
  <c r="R1134" i="6"/>
  <c r="S1134" i="6"/>
  <c r="Q1132" i="6"/>
  <c r="R1132" i="6"/>
  <c r="S1132" i="6"/>
  <c r="Q1131" i="6"/>
  <c r="R1131" i="6"/>
  <c r="S1131" i="6"/>
  <c r="Q1130" i="6"/>
  <c r="R1130" i="6"/>
  <c r="S1130" i="6"/>
  <c r="Q1129" i="6"/>
  <c r="R1129" i="6"/>
  <c r="S1129" i="6"/>
  <c r="Q1128" i="6"/>
  <c r="R1128" i="6"/>
  <c r="S1128" i="6"/>
  <c r="Q1127" i="6"/>
  <c r="R1127" i="6"/>
  <c r="S1127" i="6"/>
  <c r="Q1125" i="6"/>
  <c r="R1125" i="6"/>
  <c r="S1125" i="6"/>
  <c r="Q1126" i="6"/>
  <c r="R1126" i="6"/>
  <c r="S1126" i="6"/>
  <c r="Q1124" i="6"/>
  <c r="R1124" i="6"/>
  <c r="S1124" i="6"/>
  <c r="Q1123" i="6"/>
  <c r="R1123" i="6"/>
  <c r="S1123" i="6"/>
  <c r="Q1122" i="6"/>
  <c r="R1122" i="6"/>
  <c r="S1122" i="6"/>
  <c r="Q1121" i="6"/>
  <c r="R1121" i="6"/>
  <c r="S1121" i="6"/>
  <c r="Q1120" i="6"/>
  <c r="R1120" i="6"/>
  <c r="S1120" i="6"/>
  <c r="Q1119" i="6"/>
  <c r="R1119" i="6"/>
  <c r="S1119" i="6"/>
  <c r="Q1118" i="6"/>
  <c r="R1118" i="6"/>
  <c r="S1118" i="6"/>
  <c r="Q1117" i="6"/>
  <c r="R1117" i="6"/>
  <c r="S1117" i="6"/>
  <c r="Q1116" i="6"/>
  <c r="R1116" i="6"/>
  <c r="S1116" i="6"/>
  <c r="Q1115" i="6"/>
  <c r="R1115" i="6"/>
  <c r="S1115" i="6"/>
  <c r="Q1114" i="6"/>
  <c r="R1114" i="6"/>
  <c r="S1114" i="6"/>
  <c r="Q1113" i="6"/>
  <c r="R1113" i="6"/>
  <c r="S1113" i="6"/>
  <c r="Q1112" i="6"/>
  <c r="R1112" i="6"/>
  <c r="S1112" i="6"/>
  <c r="Q1110" i="6"/>
  <c r="R1110" i="6"/>
  <c r="S1110" i="6"/>
  <c r="Q1111" i="6"/>
  <c r="R1111" i="6"/>
  <c r="S1111" i="6"/>
  <c r="Q1109" i="6"/>
  <c r="R1109" i="6"/>
  <c r="S1109" i="6"/>
  <c r="Q1108" i="6"/>
  <c r="R1108" i="6"/>
  <c r="S1108" i="6"/>
  <c r="Q1106" i="6"/>
  <c r="R1106" i="6"/>
  <c r="S1106" i="6"/>
  <c r="Q1107" i="6"/>
  <c r="R1107" i="6"/>
  <c r="S1107" i="6"/>
  <c r="Q1104" i="6"/>
  <c r="R1104" i="6"/>
  <c r="S1104" i="6"/>
  <c r="Q1105" i="6"/>
  <c r="R1105" i="6"/>
  <c r="S1105" i="6"/>
  <c r="Q1103" i="6"/>
  <c r="R1103" i="6"/>
  <c r="S1103" i="6"/>
  <c r="Q1102" i="6"/>
  <c r="R1102" i="6"/>
  <c r="S1102" i="6"/>
  <c r="Q1101" i="6"/>
  <c r="R1101" i="6"/>
  <c r="S1101" i="6"/>
  <c r="Q1100" i="6"/>
  <c r="R1100" i="6"/>
  <c r="S1100" i="6"/>
  <c r="Q1099" i="6"/>
  <c r="R1099" i="6"/>
  <c r="S1099" i="6"/>
  <c r="Q1098" i="6"/>
  <c r="R1098" i="6"/>
  <c r="S1098" i="6"/>
  <c r="Q1097" i="6"/>
  <c r="R1097" i="6"/>
  <c r="S1097" i="6"/>
  <c r="Q1096" i="6"/>
  <c r="R1096" i="6"/>
  <c r="S1096" i="6"/>
  <c r="Q1095" i="6"/>
  <c r="R1095" i="6"/>
  <c r="S1095" i="6"/>
  <c r="Q1094" i="6"/>
  <c r="R1094" i="6"/>
  <c r="S1094" i="6"/>
  <c r="Q1093" i="6"/>
  <c r="R1093" i="6"/>
  <c r="S1093" i="6"/>
  <c r="Q1092" i="6"/>
  <c r="R1092" i="6"/>
  <c r="S1092" i="6"/>
  <c r="Q1091" i="6"/>
  <c r="R1091" i="6"/>
  <c r="S1091" i="6"/>
  <c r="Q1090" i="6"/>
  <c r="R1090" i="6"/>
  <c r="S1090" i="6"/>
  <c r="Q1089" i="6"/>
  <c r="R1089" i="6"/>
  <c r="S1089" i="6"/>
  <c r="Q1088" i="6"/>
  <c r="R1088" i="6"/>
  <c r="S1088" i="6"/>
  <c r="Q1087" i="6"/>
  <c r="R1087" i="6"/>
  <c r="S1087" i="6"/>
  <c r="Q1086" i="6"/>
  <c r="R1086" i="6"/>
  <c r="S1086" i="6"/>
  <c r="Q1085" i="6"/>
  <c r="R1085" i="6"/>
  <c r="S1085" i="6"/>
  <c r="Q1084" i="6"/>
  <c r="R1084" i="6"/>
  <c r="S1084" i="6"/>
  <c r="Q1083" i="6"/>
  <c r="R1083" i="6"/>
  <c r="S1083" i="6"/>
  <c r="Q1082" i="6"/>
  <c r="R1082" i="6"/>
  <c r="S1082" i="6"/>
  <c r="Q1081" i="6"/>
  <c r="R1081" i="6"/>
  <c r="S1081" i="6"/>
  <c r="Q1080" i="6"/>
  <c r="R1080" i="6"/>
  <c r="S1080" i="6"/>
  <c r="Q1078" i="6"/>
  <c r="R1078" i="6"/>
  <c r="S1078" i="6"/>
  <c r="Q1079" i="6"/>
  <c r="R1079" i="6"/>
  <c r="S1079" i="6"/>
  <c r="Q1077" i="6"/>
  <c r="R1077" i="6"/>
  <c r="S1077" i="6"/>
  <c r="Q1076" i="6"/>
  <c r="R1076" i="6"/>
  <c r="S1076" i="6"/>
  <c r="Q1075" i="6"/>
  <c r="R1075" i="6"/>
  <c r="S1075" i="6"/>
  <c r="Q1073" i="6"/>
  <c r="R1073" i="6"/>
  <c r="S1073" i="6"/>
  <c r="Q1074" i="6"/>
  <c r="R1074" i="6"/>
  <c r="S1074" i="6"/>
  <c r="Q1072" i="6"/>
  <c r="R1072" i="6"/>
  <c r="S1072" i="6"/>
  <c r="Q1071" i="6"/>
  <c r="R1071" i="6"/>
  <c r="S1071" i="6"/>
  <c r="Q1070" i="6"/>
  <c r="R1070" i="6"/>
  <c r="S1070" i="6"/>
  <c r="Q1069" i="6"/>
  <c r="R1069" i="6"/>
  <c r="S1069" i="6"/>
  <c r="Q1068" i="6"/>
  <c r="R1068" i="6"/>
  <c r="S1068" i="6"/>
  <c r="Q1067" i="6"/>
  <c r="R1067" i="6"/>
  <c r="S1067" i="6"/>
  <c r="Q1066" i="6"/>
  <c r="R1066" i="6"/>
  <c r="S1066" i="6"/>
  <c r="Q1064" i="6"/>
  <c r="R1064" i="6"/>
  <c r="S1064" i="6"/>
  <c r="Q1065" i="6"/>
  <c r="R1065" i="6"/>
  <c r="S1065" i="6"/>
  <c r="Q1063" i="6"/>
  <c r="R1063" i="6"/>
  <c r="S1063" i="6"/>
  <c r="Q1062" i="6"/>
  <c r="R1062" i="6"/>
  <c r="S1062" i="6"/>
  <c r="Q1061" i="6"/>
  <c r="R1061" i="6"/>
  <c r="S1061" i="6"/>
  <c r="Q1060" i="6"/>
  <c r="R1060" i="6"/>
  <c r="S1060" i="6"/>
  <c r="Q1059" i="6"/>
  <c r="R1059" i="6"/>
  <c r="S1059" i="6"/>
  <c r="Q1058" i="6"/>
  <c r="R1058" i="6"/>
  <c r="S1058" i="6"/>
  <c r="Q1057" i="6"/>
  <c r="R1057" i="6"/>
  <c r="S1057" i="6"/>
  <c r="Q1056" i="6"/>
  <c r="R1056" i="6"/>
  <c r="S1056" i="6"/>
  <c r="Q1055" i="6"/>
  <c r="R1055" i="6"/>
  <c r="S1055" i="6"/>
  <c r="Q1054" i="6"/>
  <c r="R1054" i="6"/>
  <c r="S1054" i="6"/>
  <c r="Q1053" i="6"/>
  <c r="R1053" i="6"/>
  <c r="S1053" i="6"/>
  <c r="Q1052" i="6"/>
  <c r="R1052" i="6"/>
  <c r="S1052" i="6"/>
  <c r="Q1051" i="6"/>
  <c r="R1051" i="6"/>
  <c r="S1051" i="6"/>
  <c r="Q1050" i="6"/>
  <c r="R1050" i="6"/>
  <c r="S1050" i="6"/>
  <c r="Q1049" i="6"/>
  <c r="R1049" i="6"/>
  <c r="S1049" i="6"/>
  <c r="Q1048" i="6"/>
  <c r="R1048" i="6"/>
  <c r="S1048" i="6"/>
  <c r="Q1047" i="6"/>
  <c r="R1047" i="6"/>
  <c r="S1047" i="6"/>
  <c r="Q1046" i="6"/>
  <c r="R1046" i="6"/>
  <c r="S1046" i="6"/>
  <c r="Q1045" i="6"/>
  <c r="R1045" i="6"/>
  <c r="S1045" i="6"/>
  <c r="Q1044" i="6"/>
  <c r="R1044" i="6"/>
  <c r="S1044" i="6"/>
  <c r="Q1043" i="6"/>
  <c r="R1043" i="6"/>
  <c r="S1043" i="6"/>
  <c r="Q1042" i="6"/>
  <c r="R1042" i="6"/>
  <c r="S1042" i="6"/>
  <c r="Q1041" i="6"/>
  <c r="R1041" i="6"/>
  <c r="S1041" i="6"/>
  <c r="Q1040" i="6"/>
  <c r="R1040" i="6"/>
  <c r="S1040" i="6"/>
  <c r="Q1039" i="6"/>
  <c r="R1039" i="6"/>
  <c r="S1039" i="6"/>
  <c r="Q1038" i="6"/>
  <c r="R1038" i="6"/>
  <c r="S1038" i="6"/>
  <c r="Q1037" i="6"/>
  <c r="R1037" i="6"/>
  <c r="S1037" i="6"/>
  <c r="Q1036" i="6"/>
  <c r="R1036" i="6"/>
  <c r="S1036" i="6"/>
  <c r="Q1035" i="6"/>
  <c r="R1035" i="6"/>
  <c r="S1035" i="6"/>
  <c r="Q1034" i="6"/>
  <c r="R1034" i="6"/>
  <c r="S1034" i="6"/>
  <c r="Q1033" i="6"/>
  <c r="R1033" i="6"/>
  <c r="S1033" i="6"/>
  <c r="Q1032" i="6"/>
  <c r="R1032" i="6"/>
  <c r="S1032" i="6"/>
  <c r="Q1031" i="6"/>
  <c r="R1031" i="6"/>
  <c r="S1031" i="6"/>
  <c r="Q1030" i="6"/>
  <c r="R1030" i="6"/>
  <c r="S1030" i="6"/>
  <c r="Q1029" i="6"/>
  <c r="R1029" i="6"/>
  <c r="S1029" i="6"/>
  <c r="Q1028" i="6"/>
  <c r="R1028" i="6"/>
  <c r="S1028" i="6"/>
  <c r="Q1027" i="6"/>
  <c r="R1027" i="6"/>
  <c r="S1027" i="6"/>
  <c r="Q1026" i="6"/>
  <c r="R1026" i="6"/>
  <c r="S1026" i="6"/>
  <c r="Q1025" i="6"/>
  <c r="R1025" i="6"/>
  <c r="S1025" i="6"/>
  <c r="Q1024" i="6"/>
  <c r="R1024" i="6"/>
  <c r="S1024" i="6"/>
  <c r="Q1023" i="6"/>
  <c r="R1023" i="6"/>
  <c r="S1023" i="6"/>
  <c r="Q1022" i="6"/>
  <c r="R1022" i="6"/>
  <c r="S1022" i="6"/>
  <c r="Q1021" i="6"/>
  <c r="R1021" i="6"/>
  <c r="S1021" i="6"/>
  <c r="Q1020" i="6"/>
  <c r="R1020" i="6"/>
  <c r="S1020" i="6"/>
  <c r="Q1019" i="6"/>
  <c r="R1019" i="6"/>
  <c r="S1019" i="6"/>
  <c r="Q1018" i="6"/>
  <c r="R1018" i="6"/>
  <c r="S1018" i="6"/>
  <c r="Q1017" i="6"/>
  <c r="R1017" i="6"/>
  <c r="S1017" i="6"/>
  <c r="Q1016" i="6"/>
  <c r="R1016" i="6"/>
  <c r="S1016" i="6"/>
  <c r="Q1015" i="6"/>
  <c r="R1015" i="6"/>
  <c r="S1015" i="6"/>
  <c r="Q1014" i="6"/>
  <c r="R1014" i="6"/>
  <c r="S1014" i="6"/>
  <c r="Q1013" i="6"/>
  <c r="R1013" i="6"/>
  <c r="S1013" i="6"/>
  <c r="Q1012" i="6"/>
  <c r="R1012" i="6"/>
  <c r="S1012" i="6"/>
  <c r="Q1011" i="6"/>
  <c r="R1011" i="6"/>
  <c r="S1011" i="6"/>
  <c r="Q1010" i="6"/>
  <c r="R1010" i="6"/>
  <c r="S1010" i="6"/>
  <c r="Q1009" i="6"/>
  <c r="R1009" i="6"/>
  <c r="S1009" i="6"/>
  <c r="Q1008" i="6"/>
  <c r="R1008" i="6"/>
  <c r="S1008" i="6"/>
  <c r="Q1007" i="6"/>
  <c r="R1007" i="6"/>
  <c r="S1007" i="6"/>
  <c r="Q1006" i="6"/>
  <c r="R1006" i="6"/>
  <c r="S1006" i="6"/>
  <c r="Q1005" i="6"/>
  <c r="R1005" i="6"/>
  <c r="S1005" i="6"/>
  <c r="Q1004" i="6"/>
  <c r="R1004" i="6"/>
  <c r="S1004" i="6"/>
  <c r="Q1003" i="6"/>
  <c r="R1003" i="6"/>
  <c r="S1003" i="6"/>
  <c r="Q1002" i="6"/>
  <c r="R1002" i="6"/>
  <c r="S1002" i="6"/>
  <c r="Q1001" i="6"/>
  <c r="R1001" i="6"/>
  <c r="S1001" i="6"/>
  <c r="Q1000" i="6"/>
  <c r="R1000" i="6"/>
  <c r="S1000" i="6"/>
  <c r="Q999" i="6"/>
  <c r="R999" i="6"/>
  <c r="S999" i="6"/>
  <c r="Q998" i="6"/>
  <c r="R998" i="6"/>
  <c r="S998" i="6"/>
  <c r="Q997" i="6"/>
  <c r="R997" i="6"/>
  <c r="S997" i="6"/>
  <c r="Q996" i="6"/>
  <c r="R996" i="6"/>
  <c r="S996" i="6"/>
  <c r="Q995" i="6"/>
  <c r="R995" i="6"/>
  <c r="S995" i="6"/>
  <c r="Q994" i="6"/>
  <c r="R994" i="6"/>
  <c r="S994" i="6"/>
  <c r="Q993" i="6"/>
  <c r="R993" i="6"/>
  <c r="S993" i="6"/>
  <c r="Q992" i="6"/>
  <c r="R992" i="6"/>
  <c r="S992" i="6"/>
  <c r="Q991" i="6"/>
  <c r="R991" i="6"/>
  <c r="S991" i="6"/>
  <c r="Q990" i="6"/>
  <c r="R990" i="6"/>
  <c r="S990" i="6"/>
  <c r="Q989" i="6"/>
  <c r="R989" i="6"/>
  <c r="S989" i="6"/>
  <c r="Q988" i="6"/>
  <c r="R988" i="6"/>
  <c r="S988" i="6"/>
  <c r="Q987" i="6"/>
  <c r="R987" i="6"/>
  <c r="S987" i="6"/>
  <c r="Q986" i="6"/>
  <c r="R986" i="6"/>
  <c r="S986" i="6"/>
  <c r="Q985" i="6"/>
  <c r="R985" i="6"/>
  <c r="S985" i="6"/>
  <c r="Q984" i="6"/>
  <c r="R984" i="6"/>
  <c r="S984" i="6"/>
  <c r="Q983" i="6"/>
  <c r="R983" i="6"/>
  <c r="S983" i="6"/>
  <c r="Q982" i="6"/>
  <c r="R982" i="6"/>
  <c r="S982" i="6"/>
  <c r="Q981" i="6"/>
  <c r="R981" i="6"/>
  <c r="S981" i="6"/>
  <c r="Q980" i="6"/>
  <c r="R980" i="6"/>
  <c r="S980" i="6"/>
  <c r="Q979" i="6"/>
  <c r="R979" i="6"/>
  <c r="S979" i="6"/>
  <c r="Q978" i="6"/>
  <c r="R978" i="6"/>
  <c r="S978" i="6"/>
  <c r="Q976" i="6"/>
  <c r="R976" i="6"/>
  <c r="S976" i="6"/>
  <c r="Q977" i="6"/>
  <c r="R977" i="6"/>
  <c r="S977" i="6"/>
  <c r="Q975" i="6"/>
  <c r="R975" i="6"/>
  <c r="S975" i="6"/>
  <c r="Q974" i="6"/>
  <c r="R974" i="6"/>
  <c r="S974" i="6"/>
  <c r="Q973" i="6"/>
  <c r="R973" i="6"/>
  <c r="S973" i="6"/>
  <c r="Q972" i="6"/>
  <c r="R972" i="6"/>
  <c r="S972" i="6"/>
  <c r="Q970" i="6"/>
  <c r="R970" i="6"/>
  <c r="S970" i="6"/>
  <c r="Q971" i="6"/>
  <c r="R971" i="6"/>
  <c r="S971" i="6"/>
  <c r="Q969" i="6"/>
  <c r="R969" i="6"/>
  <c r="S969" i="6"/>
  <c r="Q968" i="6"/>
  <c r="R968" i="6"/>
  <c r="S968" i="6"/>
  <c r="Q967" i="6"/>
  <c r="R967" i="6"/>
  <c r="S967" i="6"/>
  <c r="Q966" i="6"/>
  <c r="R966" i="6"/>
  <c r="S966" i="6"/>
  <c r="Q965" i="6"/>
  <c r="R965" i="6"/>
  <c r="S965" i="6"/>
  <c r="Q964" i="6"/>
  <c r="R964" i="6"/>
  <c r="S964" i="6"/>
  <c r="Q963" i="6"/>
  <c r="R963" i="6"/>
  <c r="S963" i="6"/>
  <c r="Q962" i="6"/>
  <c r="R962" i="6"/>
  <c r="S962" i="6"/>
  <c r="Q961" i="6"/>
  <c r="R961" i="6"/>
  <c r="S961" i="6"/>
  <c r="Q960" i="6"/>
  <c r="R960" i="6"/>
  <c r="S960" i="6"/>
  <c r="Q959" i="6"/>
  <c r="R959" i="6"/>
  <c r="S959" i="6"/>
  <c r="Q957" i="6"/>
  <c r="R957" i="6"/>
  <c r="S957" i="6"/>
  <c r="Q958" i="6"/>
  <c r="R958" i="6"/>
  <c r="S958" i="6"/>
  <c r="Q956" i="6"/>
  <c r="R956" i="6"/>
  <c r="S956" i="6"/>
  <c r="Q955" i="6"/>
  <c r="R955" i="6"/>
  <c r="S955" i="6"/>
  <c r="Q954" i="6"/>
  <c r="R954" i="6"/>
  <c r="S954" i="6"/>
  <c r="Q953" i="6"/>
  <c r="R953" i="6"/>
  <c r="S953" i="6"/>
  <c r="Q952" i="6"/>
  <c r="R952" i="6"/>
  <c r="S952" i="6"/>
  <c r="Q951" i="6"/>
  <c r="R951" i="6"/>
  <c r="S951" i="6"/>
  <c r="Q950" i="6"/>
  <c r="R950" i="6"/>
  <c r="S950" i="6"/>
  <c r="Q949" i="6"/>
  <c r="R949" i="6"/>
  <c r="S949" i="6"/>
  <c r="Q948" i="6"/>
  <c r="R948" i="6"/>
  <c r="S948" i="6"/>
  <c r="Q947" i="6"/>
  <c r="R947" i="6"/>
  <c r="S947" i="6"/>
  <c r="Q946" i="6"/>
  <c r="R946" i="6"/>
  <c r="S946" i="6"/>
  <c r="Q945" i="6"/>
  <c r="R945" i="6"/>
  <c r="S945" i="6"/>
  <c r="Q944" i="6"/>
  <c r="R944" i="6"/>
  <c r="S944" i="6"/>
  <c r="Q943" i="6"/>
  <c r="R943" i="6"/>
  <c r="S943" i="6"/>
  <c r="Q942" i="6"/>
  <c r="R942" i="6"/>
  <c r="S942" i="6"/>
  <c r="Q941" i="6"/>
  <c r="R941" i="6"/>
  <c r="S941" i="6"/>
  <c r="Q939" i="6"/>
  <c r="R939" i="6"/>
  <c r="S939" i="6"/>
  <c r="Q940" i="6"/>
  <c r="R940" i="6"/>
  <c r="S940" i="6"/>
  <c r="Q938" i="6"/>
  <c r="R938" i="6"/>
  <c r="S938" i="6"/>
  <c r="Q937" i="6"/>
  <c r="R937" i="6"/>
  <c r="S937" i="6"/>
  <c r="Q936" i="6"/>
  <c r="R936" i="6"/>
  <c r="S936" i="6"/>
  <c r="Q935" i="6"/>
  <c r="R935" i="6"/>
  <c r="S935" i="6"/>
  <c r="Q934" i="6"/>
  <c r="R934" i="6"/>
  <c r="S934" i="6"/>
  <c r="Q933" i="6"/>
  <c r="R933" i="6"/>
  <c r="S933" i="6"/>
  <c r="Q932" i="6"/>
  <c r="R932" i="6"/>
  <c r="S932" i="6"/>
  <c r="Q931" i="6"/>
  <c r="R931" i="6"/>
  <c r="S931" i="6"/>
  <c r="Q930" i="6"/>
  <c r="R930" i="6"/>
  <c r="S930" i="6"/>
  <c r="Q929" i="6"/>
  <c r="R929" i="6"/>
  <c r="S929" i="6"/>
  <c r="Q928" i="6"/>
  <c r="R928" i="6"/>
  <c r="S928" i="6"/>
  <c r="Q927" i="6"/>
  <c r="R927" i="6"/>
  <c r="S927" i="6"/>
  <c r="Q926" i="6"/>
  <c r="R926" i="6"/>
  <c r="S926" i="6"/>
  <c r="Q925" i="6"/>
  <c r="R925" i="6"/>
  <c r="S925" i="6"/>
  <c r="Q924" i="6"/>
  <c r="R924" i="6"/>
  <c r="S924" i="6"/>
  <c r="Q923" i="6"/>
  <c r="R923" i="6"/>
  <c r="S923" i="6"/>
  <c r="Q921" i="6"/>
  <c r="R921" i="6"/>
  <c r="S921" i="6"/>
  <c r="Q922" i="6"/>
  <c r="R922" i="6"/>
  <c r="S922" i="6"/>
  <c r="Q920" i="6"/>
  <c r="R920" i="6"/>
  <c r="S920" i="6"/>
  <c r="Q919" i="6"/>
  <c r="R919" i="6"/>
  <c r="S919" i="6"/>
  <c r="Q918" i="6"/>
  <c r="R918" i="6"/>
  <c r="S918" i="6"/>
  <c r="Q917" i="6"/>
  <c r="R917" i="6"/>
  <c r="S917" i="6"/>
  <c r="Q916" i="6"/>
  <c r="R916" i="6"/>
  <c r="S916" i="6"/>
  <c r="Q915" i="6"/>
  <c r="R915" i="6"/>
  <c r="S915" i="6"/>
  <c r="Q914" i="6"/>
  <c r="R914" i="6"/>
  <c r="S914" i="6"/>
  <c r="Q913" i="6"/>
  <c r="R913" i="6"/>
  <c r="S913" i="6"/>
  <c r="Q912" i="6"/>
  <c r="R912" i="6"/>
  <c r="S912" i="6"/>
  <c r="Q911" i="6"/>
  <c r="R911" i="6"/>
  <c r="S911" i="6"/>
  <c r="Q910" i="6"/>
  <c r="R910" i="6"/>
  <c r="S910" i="6"/>
  <c r="Q909" i="6"/>
  <c r="R909" i="6"/>
  <c r="S909" i="6"/>
  <c r="Q908" i="6"/>
  <c r="R908" i="6"/>
  <c r="S908" i="6"/>
  <c r="Q907" i="6"/>
  <c r="R907" i="6"/>
  <c r="S907" i="6"/>
  <c r="Q906" i="6"/>
  <c r="R906" i="6"/>
  <c r="S906" i="6"/>
  <c r="Q905" i="6"/>
  <c r="R905" i="6"/>
  <c r="S905" i="6"/>
  <c r="Q904" i="6"/>
  <c r="R904" i="6"/>
  <c r="S904" i="6"/>
  <c r="Q903" i="6"/>
  <c r="R903" i="6"/>
  <c r="S903" i="6"/>
  <c r="Q902" i="6"/>
  <c r="R902" i="6"/>
  <c r="S902" i="6"/>
  <c r="Q901" i="6"/>
  <c r="R901" i="6"/>
  <c r="S901" i="6"/>
  <c r="Q900" i="6"/>
  <c r="R900" i="6"/>
  <c r="S900" i="6"/>
  <c r="Q899" i="6"/>
  <c r="R899" i="6"/>
  <c r="S899" i="6"/>
  <c r="Q898" i="6"/>
  <c r="R898" i="6"/>
  <c r="S898" i="6"/>
  <c r="Q897" i="6"/>
  <c r="R897" i="6"/>
  <c r="S897" i="6"/>
  <c r="Q896" i="6"/>
  <c r="R896" i="6"/>
  <c r="S896" i="6"/>
  <c r="Q895" i="6"/>
  <c r="R895" i="6"/>
  <c r="S895" i="6"/>
  <c r="Q894" i="6"/>
  <c r="R894" i="6"/>
  <c r="S894" i="6"/>
  <c r="Q893" i="6"/>
  <c r="R893" i="6"/>
  <c r="S893" i="6"/>
  <c r="Q892" i="6"/>
  <c r="R892" i="6"/>
  <c r="S892" i="6"/>
  <c r="Q891" i="6"/>
  <c r="R891" i="6"/>
  <c r="S891" i="6"/>
  <c r="Q890" i="6"/>
  <c r="R890" i="6"/>
  <c r="S890" i="6"/>
  <c r="Q889" i="6"/>
  <c r="R889" i="6"/>
  <c r="S889" i="6"/>
  <c r="Q888" i="6"/>
  <c r="R888" i="6"/>
  <c r="S888" i="6"/>
  <c r="Q887" i="6"/>
  <c r="R887" i="6"/>
  <c r="S887" i="6"/>
  <c r="Q884" i="6"/>
  <c r="R884" i="6"/>
  <c r="S884" i="6"/>
  <c r="Q885" i="6"/>
  <c r="R885" i="6"/>
  <c r="S885" i="6"/>
  <c r="Q886" i="6"/>
  <c r="R886" i="6"/>
  <c r="S886" i="6"/>
  <c r="Q882" i="6"/>
  <c r="R882" i="6"/>
  <c r="S882" i="6"/>
  <c r="Q883" i="6"/>
  <c r="R883" i="6"/>
  <c r="S883" i="6"/>
  <c r="Q881" i="6"/>
  <c r="R881" i="6"/>
  <c r="S881" i="6"/>
  <c r="Q880" i="6"/>
  <c r="R880" i="6"/>
  <c r="S880" i="6"/>
  <c r="Q879" i="6"/>
  <c r="R879" i="6"/>
  <c r="S879" i="6"/>
  <c r="Q878" i="6"/>
  <c r="R878" i="6"/>
  <c r="S878" i="6"/>
  <c r="Q877" i="6"/>
  <c r="R877" i="6"/>
  <c r="S877" i="6"/>
  <c r="Q876" i="6"/>
  <c r="R876" i="6"/>
  <c r="S876" i="6"/>
  <c r="Q874" i="6"/>
  <c r="R874" i="6"/>
  <c r="S874" i="6"/>
  <c r="Q875" i="6"/>
  <c r="R875" i="6"/>
  <c r="S875" i="6"/>
  <c r="Q873" i="6"/>
  <c r="R873" i="6"/>
  <c r="S873" i="6"/>
  <c r="Q872" i="6"/>
  <c r="R872" i="6"/>
  <c r="S872" i="6"/>
  <c r="Q871" i="6"/>
  <c r="R871" i="6"/>
  <c r="S871" i="6"/>
  <c r="Q870" i="6"/>
  <c r="R870" i="6"/>
  <c r="S870" i="6"/>
  <c r="Q869" i="6"/>
  <c r="R869" i="6"/>
  <c r="S869" i="6"/>
  <c r="Q868" i="6"/>
  <c r="R868" i="6"/>
  <c r="S868" i="6"/>
  <c r="Q867" i="6"/>
  <c r="R867" i="6"/>
  <c r="S867" i="6"/>
  <c r="Q866" i="6"/>
  <c r="R866" i="6"/>
  <c r="S866" i="6"/>
  <c r="Q865" i="6"/>
  <c r="R865" i="6"/>
  <c r="S865" i="6"/>
  <c r="Q864" i="6"/>
  <c r="R864" i="6"/>
  <c r="S864" i="6"/>
  <c r="Q863" i="6"/>
  <c r="R863" i="6"/>
  <c r="S863" i="6"/>
  <c r="Q862" i="6"/>
  <c r="R862" i="6"/>
  <c r="S862" i="6"/>
  <c r="Q861" i="6"/>
  <c r="R861" i="6"/>
  <c r="S861" i="6"/>
  <c r="Q860" i="6"/>
  <c r="R860" i="6"/>
  <c r="S860" i="6"/>
  <c r="Q859" i="6"/>
  <c r="R859" i="6"/>
  <c r="S859" i="6"/>
  <c r="Q858" i="6"/>
  <c r="R858" i="6"/>
  <c r="S858" i="6"/>
  <c r="Q857" i="6"/>
  <c r="R857" i="6"/>
  <c r="S857" i="6"/>
  <c r="Q856" i="6"/>
  <c r="R856" i="6"/>
  <c r="S856" i="6"/>
  <c r="Q855" i="6"/>
  <c r="R855" i="6"/>
  <c r="S855" i="6"/>
  <c r="Q854" i="6"/>
  <c r="R854" i="6"/>
  <c r="S854" i="6"/>
  <c r="Q853" i="6"/>
  <c r="R853" i="6"/>
  <c r="S853" i="6"/>
  <c r="Q852" i="6"/>
  <c r="R852" i="6"/>
  <c r="S852" i="6"/>
  <c r="Q851" i="6"/>
  <c r="R851" i="6"/>
  <c r="S851" i="6"/>
  <c r="Q850" i="6"/>
  <c r="R850" i="6"/>
  <c r="S850" i="6"/>
  <c r="Q849" i="6"/>
  <c r="R849" i="6"/>
  <c r="S849" i="6"/>
  <c r="Q848" i="6"/>
  <c r="R848" i="6"/>
  <c r="S848" i="6"/>
  <c r="Q847" i="6"/>
  <c r="R847" i="6"/>
  <c r="S847" i="6"/>
  <c r="Q846" i="6"/>
  <c r="R846" i="6"/>
  <c r="S846" i="6"/>
  <c r="Q844" i="6"/>
  <c r="R844" i="6"/>
  <c r="S844" i="6"/>
  <c r="Q845" i="6"/>
  <c r="R845" i="6"/>
  <c r="S845" i="6"/>
  <c r="Q843" i="6"/>
  <c r="R843" i="6"/>
  <c r="S843" i="6"/>
  <c r="Q842" i="6"/>
  <c r="R842" i="6"/>
  <c r="S842" i="6"/>
  <c r="Q841" i="6"/>
  <c r="R841" i="6"/>
  <c r="S841" i="6"/>
  <c r="Q839" i="6"/>
  <c r="R839" i="6"/>
  <c r="S839" i="6"/>
  <c r="Q840" i="6"/>
  <c r="R840" i="6"/>
  <c r="S840" i="6"/>
  <c r="Q838" i="6"/>
  <c r="R838" i="6"/>
  <c r="S838" i="6"/>
  <c r="Q837" i="6"/>
  <c r="R837" i="6"/>
  <c r="S837" i="6"/>
  <c r="Q836" i="6"/>
  <c r="R836" i="6"/>
  <c r="S836" i="6"/>
  <c r="Q835" i="6"/>
  <c r="R835" i="6"/>
  <c r="S835" i="6"/>
  <c r="Q834" i="6"/>
  <c r="R834" i="6"/>
  <c r="S834" i="6"/>
  <c r="Q833" i="6"/>
  <c r="R833" i="6"/>
  <c r="S833" i="6"/>
  <c r="Q832" i="6"/>
  <c r="R832" i="6"/>
  <c r="S832" i="6"/>
  <c r="Q831" i="6"/>
  <c r="R831" i="6"/>
  <c r="S831" i="6"/>
  <c r="Q830" i="6"/>
  <c r="R830" i="6"/>
  <c r="S830" i="6"/>
  <c r="Q829" i="6"/>
  <c r="R829" i="6"/>
  <c r="S829" i="6"/>
  <c r="Q828" i="6"/>
  <c r="R828" i="6"/>
  <c r="S828" i="6"/>
  <c r="Q827" i="6"/>
  <c r="R827" i="6"/>
  <c r="S827" i="6"/>
  <c r="Q826" i="6"/>
  <c r="R826" i="6"/>
  <c r="S826" i="6"/>
  <c r="Q825" i="6"/>
  <c r="R825" i="6"/>
  <c r="S825" i="6"/>
  <c r="Q824" i="6"/>
  <c r="R824" i="6"/>
  <c r="S824" i="6"/>
  <c r="Q823" i="6"/>
  <c r="R823" i="6"/>
  <c r="S823" i="6"/>
  <c r="Q822" i="6"/>
  <c r="R822" i="6"/>
  <c r="S822" i="6"/>
  <c r="Q821" i="6"/>
  <c r="R821" i="6"/>
  <c r="S821" i="6"/>
  <c r="Q820" i="6"/>
  <c r="R820" i="6"/>
  <c r="S820" i="6"/>
  <c r="Q819" i="6"/>
  <c r="R819" i="6"/>
  <c r="S819" i="6"/>
  <c r="Q818" i="6"/>
  <c r="R818" i="6"/>
  <c r="S818" i="6"/>
  <c r="Q817" i="6"/>
  <c r="R817" i="6"/>
  <c r="S817" i="6"/>
  <c r="Q815" i="6"/>
  <c r="R815" i="6"/>
  <c r="S815" i="6"/>
  <c r="Q816" i="6"/>
  <c r="R816" i="6"/>
  <c r="S816" i="6"/>
  <c r="Q814" i="6"/>
  <c r="R814" i="6"/>
  <c r="S814" i="6"/>
  <c r="Q813" i="6"/>
  <c r="R813" i="6"/>
  <c r="S813" i="6"/>
  <c r="Q811" i="6"/>
  <c r="R811" i="6"/>
  <c r="S811" i="6"/>
  <c r="Q812" i="6"/>
  <c r="R812" i="6"/>
  <c r="S812" i="6"/>
  <c r="Q810" i="6"/>
  <c r="R810" i="6"/>
  <c r="S810" i="6"/>
  <c r="Q809" i="6"/>
  <c r="R809" i="6"/>
  <c r="S809" i="6"/>
  <c r="Q808" i="6"/>
  <c r="R808" i="6"/>
  <c r="S808" i="6"/>
  <c r="Q807" i="6"/>
  <c r="R807" i="6"/>
  <c r="S807" i="6"/>
  <c r="Q806" i="6"/>
  <c r="R806" i="6"/>
  <c r="S806" i="6"/>
  <c r="Q804" i="6"/>
  <c r="R804" i="6"/>
  <c r="S804" i="6"/>
  <c r="Q805" i="6"/>
  <c r="R805" i="6"/>
  <c r="S805" i="6"/>
  <c r="Q803" i="6"/>
  <c r="R803" i="6"/>
  <c r="S803" i="6"/>
  <c r="Q802" i="6"/>
  <c r="R802" i="6"/>
  <c r="S802" i="6"/>
  <c r="Q801" i="6"/>
  <c r="R801" i="6"/>
  <c r="S801" i="6"/>
  <c r="Q800" i="6"/>
  <c r="R800" i="6"/>
  <c r="S800" i="6"/>
  <c r="Q799" i="6"/>
  <c r="R799" i="6"/>
  <c r="S799" i="6"/>
  <c r="Q797" i="6"/>
  <c r="R797" i="6"/>
  <c r="S797" i="6"/>
  <c r="Q798" i="6"/>
  <c r="R798" i="6"/>
  <c r="S798" i="6"/>
  <c r="Q796" i="6"/>
  <c r="R796" i="6"/>
  <c r="S796" i="6"/>
  <c r="Q795" i="6"/>
  <c r="R795" i="6"/>
  <c r="S795" i="6"/>
  <c r="Q794" i="6"/>
  <c r="R794" i="6"/>
  <c r="S794" i="6"/>
  <c r="S1173" i="6"/>
  <c r="R1173" i="6"/>
  <c r="Q1173" i="6"/>
  <c r="L1171" i="6"/>
  <c r="L1172" i="6"/>
  <c r="L1170" i="6"/>
  <c r="L1169" i="6"/>
  <c r="L1168" i="6"/>
  <c r="L1167" i="6"/>
  <c r="L1166" i="6"/>
  <c r="L1165" i="6"/>
  <c r="L1164" i="6"/>
  <c r="L1163" i="6"/>
  <c r="L1162" i="6"/>
  <c r="L1161" i="6"/>
  <c r="L1160" i="6"/>
  <c r="L1159" i="6"/>
  <c r="L1157" i="6"/>
  <c r="L1158" i="6"/>
  <c r="L1156" i="6"/>
  <c r="L1155" i="6"/>
  <c r="L1154" i="6"/>
  <c r="L1153" i="6"/>
  <c r="L1152" i="6"/>
  <c r="L1151" i="6"/>
  <c r="L1150" i="6"/>
  <c r="L1149" i="6"/>
  <c r="L1147" i="6"/>
  <c r="L1148" i="6"/>
  <c r="L1146" i="6"/>
  <c r="L1145" i="6"/>
  <c r="L1144" i="6"/>
  <c r="L1143" i="6"/>
  <c r="L1142" i="6"/>
  <c r="L1141" i="6"/>
  <c r="L1140" i="6"/>
  <c r="L1139" i="6"/>
  <c r="L1138" i="6"/>
  <c r="L1137" i="6"/>
  <c r="L1135" i="6"/>
  <c r="L1136" i="6"/>
  <c r="L1133" i="6"/>
  <c r="L1134" i="6"/>
  <c r="L1132" i="6"/>
  <c r="L1131" i="6"/>
  <c r="L1130" i="6"/>
  <c r="L1129" i="6"/>
  <c r="L1128" i="6"/>
  <c r="L1127" i="6"/>
  <c r="L1125" i="6"/>
  <c r="L1126" i="6"/>
  <c r="L1124" i="6"/>
  <c r="L1123" i="6"/>
  <c r="L1122" i="6"/>
  <c r="L1121" i="6"/>
  <c r="L1120" i="6"/>
  <c r="L1119" i="6"/>
  <c r="L1118" i="6"/>
  <c r="L1117" i="6"/>
  <c r="L1116" i="6"/>
  <c r="L1115" i="6"/>
  <c r="L1114" i="6"/>
  <c r="L1113" i="6"/>
  <c r="L1112" i="6"/>
  <c r="L1110" i="6"/>
  <c r="L1111" i="6"/>
  <c r="L1109" i="6"/>
  <c r="L1108" i="6"/>
  <c r="L1106" i="6"/>
  <c r="L1107" i="6"/>
  <c r="L1104" i="6"/>
  <c r="L1105" i="6"/>
  <c r="L1103" i="6"/>
  <c r="L1102" i="6"/>
  <c r="L1101" i="6"/>
  <c r="L1100" i="6"/>
  <c r="L1099" i="6"/>
  <c r="L1098" i="6"/>
  <c r="L1097" i="6"/>
  <c r="L1096" i="6"/>
  <c r="L1095" i="6"/>
  <c r="L1094" i="6"/>
  <c r="L1093" i="6"/>
  <c r="L1092" i="6"/>
  <c r="L1091" i="6"/>
  <c r="L1090" i="6"/>
  <c r="L1089" i="6"/>
  <c r="L1088" i="6"/>
  <c r="L1087" i="6"/>
  <c r="L1086" i="6"/>
  <c r="L1085" i="6"/>
  <c r="L1084" i="6"/>
  <c r="L1083" i="6"/>
  <c r="L1082" i="6"/>
  <c r="L1081" i="6"/>
  <c r="L1080" i="6"/>
  <c r="L1078" i="6"/>
  <c r="L1079" i="6"/>
  <c r="L1077" i="6"/>
  <c r="L1076" i="6"/>
  <c r="L1075" i="6"/>
  <c r="L1073" i="6"/>
  <c r="L1074" i="6"/>
  <c r="L1072" i="6"/>
  <c r="L1071" i="6"/>
  <c r="L1070" i="6"/>
  <c r="L1069" i="6"/>
  <c r="L1068" i="6"/>
  <c r="L1067" i="6"/>
  <c r="L1066" i="6"/>
  <c r="L1064" i="6"/>
  <c r="L1065" i="6"/>
  <c r="L1063" i="6"/>
  <c r="L1062" i="6"/>
  <c r="L1061" i="6"/>
  <c r="L1060" i="6"/>
  <c r="L1059" i="6"/>
  <c r="L1058" i="6"/>
  <c r="L1057" i="6"/>
  <c r="L1056" i="6"/>
  <c r="L1055" i="6"/>
  <c r="L1054" i="6"/>
  <c r="L1053" i="6"/>
  <c r="L1052" i="6"/>
  <c r="L1051" i="6"/>
  <c r="L1050" i="6"/>
  <c r="L1049" i="6"/>
  <c r="L1048" i="6"/>
  <c r="L1047" i="6"/>
  <c r="L1046" i="6"/>
  <c r="L1045" i="6"/>
  <c r="L1044" i="6"/>
  <c r="L1043" i="6"/>
  <c r="L1042" i="6"/>
  <c r="L1041" i="6"/>
  <c r="L1040" i="6"/>
  <c r="L1039" i="6"/>
  <c r="L1038" i="6"/>
  <c r="L1037" i="6"/>
  <c r="L1036" i="6"/>
  <c r="L1035" i="6"/>
  <c r="L1034" i="6"/>
  <c r="L1033" i="6"/>
  <c r="L1032" i="6"/>
  <c r="L1031" i="6"/>
  <c r="L1030" i="6"/>
  <c r="L1029" i="6"/>
  <c r="L1028" i="6"/>
  <c r="L1027" i="6"/>
  <c r="L1026" i="6"/>
  <c r="L1025" i="6"/>
  <c r="L1024" i="6"/>
  <c r="L1023" i="6"/>
  <c r="L1022" i="6"/>
  <c r="L1021" i="6"/>
  <c r="L1020" i="6"/>
  <c r="L1019" i="6"/>
  <c r="L1018" i="6"/>
  <c r="L1017" i="6"/>
  <c r="L1016" i="6"/>
  <c r="L1015" i="6"/>
  <c r="L1014" i="6"/>
  <c r="L1013" i="6"/>
  <c r="L1012" i="6"/>
  <c r="L1011" i="6"/>
  <c r="L1010" i="6"/>
  <c r="L1009" i="6"/>
  <c r="L1008" i="6"/>
  <c r="L1007" i="6"/>
  <c r="L1006" i="6"/>
  <c r="L1005" i="6"/>
  <c r="L1004" i="6"/>
  <c r="L1003" i="6"/>
  <c r="L1002" i="6"/>
  <c r="L1001" i="6"/>
  <c r="L1000" i="6"/>
  <c r="L999" i="6"/>
  <c r="L998" i="6"/>
  <c r="L997" i="6"/>
  <c r="L996" i="6"/>
  <c r="L995" i="6"/>
  <c r="L994" i="6"/>
  <c r="L993" i="6"/>
  <c r="L992" i="6"/>
  <c r="L991" i="6"/>
  <c r="L990" i="6"/>
  <c r="L989" i="6"/>
  <c r="L988" i="6"/>
  <c r="L987" i="6"/>
  <c r="L986" i="6"/>
  <c r="L985" i="6"/>
  <c r="L984" i="6"/>
  <c r="L983" i="6"/>
  <c r="L982" i="6"/>
  <c r="L981" i="6"/>
  <c r="L980" i="6"/>
  <c r="L979" i="6"/>
  <c r="L978" i="6"/>
  <c r="L976" i="6"/>
  <c r="L977" i="6"/>
  <c r="L975" i="6"/>
  <c r="L974" i="6"/>
  <c r="L973" i="6"/>
  <c r="L972" i="6"/>
  <c r="L970" i="6"/>
  <c r="L971" i="6"/>
  <c r="L969" i="6"/>
  <c r="L968" i="6"/>
  <c r="L967" i="6"/>
  <c r="L966" i="6"/>
  <c r="L965" i="6"/>
  <c r="L964" i="6"/>
  <c r="L963" i="6"/>
  <c r="L962" i="6"/>
  <c r="L961" i="6"/>
  <c r="L960" i="6"/>
  <c r="L959" i="6"/>
  <c r="L957" i="6"/>
  <c r="L958" i="6"/>
  <c r="L956" i="6"/>
  <c r="L955" i="6"/>
  <c r="L954" i="6"/>
  <c r="L953" i="6"/>
  <c r="L952" i="6"/>
  <c r="L951" i="6"/>
  <c r="L950" i="6"/>
  <c r="L949" i="6"/>
  <c r="L948" i="6"/>
  <c r="L947" i="6"/>
  <c r="L946" i="6"/>
  <c r="L945" i="6"/>
  <c r="L944" i="6"/>
  <c r="L943" i="6"/>
  <c r="L942" i="6"/>
  <c r="L941" i="6"/>
  <c r="L939" i="6"/>
  <c r="L940" i="6"/>
  <c r="L938" i="6"/>
  <c r="L937" i="6"/>
  <c r="L936" i="6"/>
  <c r="L935" i="6"/>
  <c r="L934" i="6"/>
  <c r="L933" i="6"/>
  <c r="L932" i="6"/>
  <c r="L931" i="6"/>
  <c r="L930" i="6"/>
  <c r="L929" i="6"/>
  <c r="L928" i="6"/>
  <c r="L927" i="6"/>
  <c r="L926" i="6"/>
  <c r="L925" i="6"/>
  <c r="L924" i="6"/>
  <c r="L923" i="6"/>
  <c r="L921" i="6"/>
  <c r="L922" i="6"/>
  <c r="L920" i="6"/>
  <c r="L919" i="6"/>
  <c r="L918" i="6"/>
  <c r="L917" i="6"/>
  <c r="L916" i="6"/>
  <c r="L915" i="6"/>
  <c r="L914" i="6"/>
  <c r="L913" i="6"/>
  <c r="L912" i="6"/>
  <c r="L911" i="6"/>
  <c r="L910" i="6"/>
  <c r="L909" i="6"/>
  <c r="L908" i="6"/>
  <c r="L907" i="6"/>
  <c r="L906" i="6"/>
  <c r="L905" i="6"/>
  <c r="L904" i="6"/>
  <c r="L903" i="6"/>
  <c r="L902" i="6"/>
  <c r="L901" i="6"/>
  <c r="L900" i="6"/>
  <c r="L899" i="6"/>
  <c r="L898" i="6"/>
  <c r="L897" i="6"/>
  <c r="L896" i="6"/>
  <c r="L895" i="6"/>
  <c r="L894" i="6"/>
  <c r="L893" i="6"/>
  <c r="L892" i="6"/>
  <c r="L891" i="6"/>
  <c r="L890" i="6"/>
  <c r="L889" i="6"/>
  <c r="L888" i="6"/>
  <c r="L887" i="6"/>
  <c r="L884" i="6"/>
  <c r="L885" i="6"/>
  <c r="L886" i="6"/>
  <c r="L882" i="6"/>
  <c r="L883" i="6"/>
  <c r="L881" i="6"/>
  <c r="L880" i="6"/>
  <c r="L879" i="6"/>
  <c r="L878" i="6"/>
  <c r="L877" i="6"/>
  <c r="L876" i="6"/>
  <c r="L874" i="6"/>
  <c r="L875" i="6"/>
  <c r="L873" i="6"/>
  <c r="L872" i="6"/>
  <c r="L871" i="6"/>
  <c r="L870" i="6"/>
  <c r="L869" i="6"/>
  <c r="L868" i="6"/>
  <c r="L867" i="6"/>
  <c r="L866" i="6"/>
  <c r="L865" i="6"/>
  <c r="L864" i="6"/>
  <c r="L863" i="6"/>
  <c r="L862" i="6"/>
  <c r="L861" i="6"/>
  <c r="L860" i="6"/>
  <c r="L859" i="6"/>
  <c r="L858" i="6"/>
  <c r="L857" i="6"/>
  <c r="L856" i="6"/>
  <c r="L855" i="6"/>
  <c r="L854" i="6"/>
  <c r="L853" i="6"/>
  <c r="L852" i="6"/>
  <c r="L851" i="6"/>
  <c r="L850" i="6"/>
  <c r="L849" i="6"/>
  <c r="L848" i="6"/>
  <c r="L847" i="6"/>
  <c r="L846" i="6"/>
  <c r="L844" i="6"/>
  <c r="L845" i="6"/>
  <c r="L843" i="6"/>
  <c r="L842" i="6"/>
  <c r="L841" i="6"/>
  <c r="L839" i="6"/>
  <c r="L840" i="6"/>
  <c r="L838" i="6"/>
  <c r="L837" i="6"/>
  <c r="L836" i="6"/>
  <c r="L835" i="6"/>
  <c r="L834" i="6"/>
  <c r="L833" i="6"/>
  <c r="L832" i="6"/>
  <c r="L831" i="6"/>
  <c r="L830" i="6"/>
  <c r="L829" i="6"/>
  <c r="L828" i="6"/>
  <c r="L827" i="6"/>
  <c r="L826" i="6"/>
  <c r="L825" i="6"/>
  <c r="L824" i="6"/>
  <c r="L823" i="6"/>
  <c r="L822" i="6"/>
  <c r="L821" i="6"/>
  <c r="L820" i="6"/>
  <c r="L819" i="6"/>
  <c r="L818" i="6"/>
  <c r="L817" i="6"/>
  <c r="L815" i="6"/>
  <c r="L816" i="6"/>
  <c r="L814" i="6"/>
  <c r="L813" i="6"/>
  <c r="L811" i="6"/>
  <c r="L812" i="6"/>
  <c r="L810" i="6"/>
  <c r="L809" i="6"/>
  <c r="L808" i="6"/>
  <c r="L807" i="6"/>
  <c r="L806" i="6"/>
  <c r="L804" i="6"/>
  <c r="L805" i="6"/>
  <c r="L803" i="6"/>
  <c r="L802" i="6"/>
  <c r="L801" i="6"/>
  <c r="L800" i="6"/>
  <c r="L799" i="6"/>
  <c r="L797" i="6"/>
  <c r="L798" i="6"/>
  <c r="L796" i="6"/>
  <c r="L795" i="6"/>
  <c r="L794" i="6"/>
  <c r="L1173" i="6"/>
  <c r="J790" i="6"/>
  <c r="K790" i="6"/>
  <c r="I790" i="6"/>
  <c r="S788" i="6"/>
  <c r="S787" i="6"/>
  <c r="S786" i="6"/>
  <c r="S785" i="6"/>
  <c r="S784" i="6"/>
  <c r="S783" i="6"/>
  <c r="S782" i="6"/>
  <c r="S781" i="6"/>
  <c r="S780" i="6"/>
  <c r="S779" i="6"/>
  <c r="S778" i="6"/>
  <c r="S777" i="6"/>
  <c r="S776" i="6"/>
  <c r="S775" i="6"/>
  <c r="S774" i="6"/>
  <c r="S773" i="6"/>
  <c r="S772" i="6"/>
  <c r="S771" i="6"/>
  <c r="S770" i="6"/>
  <c r="S769" i="6"/>
  <c r="S768" i="6"/>
  <c r="S767" i="6"/>
  <c r="S766" i="6"/>
  <c r="S765" i="6"/>
  <c r="S764" i="6"/>
  <c r="S763" i="6"/>
  <c r="S762" i="6"/>
  <c r="S761" i="6"/>
  <c r="S760" i="6"/>
  <c r="S759" i="6"/>
  <c r="S758" i="6"/>
  <c r="S757" i="6"/>
  <c r="S756" i="6"/>
  <c r="S755" i="6"/>
  <c r="S754" i="6"/>
  <c r="S753" i="6"/>
  <c r="S752" i="6"/>
  <c r="S751" i="6"/>
  <c r="S750" i="6"/>
  <c r="S749" i="6"/>
  <c r="S748" i="6"/>
  <c r="S747" i="6"/>
  <c r="S746" i="6"/>
  <c r="S745" i="6"/>
  <c r="S744" i="6"/>
  <c r="S743" i="6"/>
  <c r="S742" i="6"/>
  <c r="S741" i="6"/>
  <c r="S740" i="6"/>
  <c r="S739" i="6"/>
  <c r="S738" i="6"/>
  <c r="S737" i="6"/>
  <c r="S736" i="6"/>
  <c r="S735" i="6"/>
  <c r="S734" i="6"/>
  <c r="S733" i="6"/>
  <c r="S732" i="6"/>
  <c r="S731" i="6"/>
  <c r="S730" i="6"/>
  <c r="S729" i="6"/>
  <c r="S728" i="6"/>
  <c r="S727" i="6"/>
  <c r="S726" i="6"/>
  <c r="S725" i="6"/>
  <c r="S724" i="6"/>
  <c r="S723" i="6"/>
  <c r="S722" i="6"/>
  <c r="S721" i="6"/>
  <c r="S720" i="6"/>
  <c r="S719" i="6"/>
  <c r="S718" i="6"/>
  <c r="S717" i="6"/>
  <c r="S716" i="6"/>
  <c r="S715" i="6"/>
  <c r="S714" i="6"/>
  <c r="S713" i="6"/>
  <c r="S712" i="6"/>
  <c r="S711" i="6"/>
  <c r="S710" i="6"/>
  <c r="S709" i="6"/>
  <c r="S708" i="6"/>
  <c r="S707" i="6"/>
  <c r="S706" i="6"/>
  <c r="S705" i="6"/>
  <c r="S704" i="6"/>
  <c r="S703" i="6"/>
  <c r="S702" i="6"/>
  <c r="S701" i="6"/>
  <c r="S700" i="6"/>
  <c r="S699" i="6"/>
  <c r="S698" i="6"/>
  <c r="S697" i="6"/>
  <c r="S696" i="6"/>
  <c r="S695" i="6"/>
  <c r="S694" i="6"/>
  <c r="S693" i="6"/>
  <c r="S692" i="6"/>
  <c r="S691" i="6"/>
  <c r="S690" i="6"/>
  <c r="S689" i="6"/>
  <c r="S688" i="6"/>
  <c r="S687" i="6"/>
  <c r="S686" i="6"/>
  <c r="S685" i="6"/>
  <c r="S684" i="6"/>
  <c r="S683" i="6"/>
  <c r="S682" i="6"/>
  <c r="S681" i="6"/>
  <c r="S680" i="6"/>
  <c r="S679" i="6"/>
  <c r="S678" i="6"/>
  <c r="S677" i="6"/>
  <c r="S676" i="6"/>
  <c r="S675" i="6"/>
  <c r="S674" i="6"/>
  <c r="S673" i="6"/>
  <c r="S672" i="6"/>
  <c r="S671" i="6"/>
  <c r="S670" i="6"/>
  <c r="S669" i="6"/>
  <c r="S668" i="6"/>
  <c r="S666" i="6"/>
  <c r="S667" i="6"/>
  <c r="S665" i="6"/>
  <c r="S664" i="6"/>
  <c r="S663" i="6"/>
  <c r="S662" i="6"/>
  <c r="S661" i="6"/>
  <c r="S660" i="6"/>
  <c r="S659" i="6"/>
  <c r="S658" i="6"/>
  <c r="S657" i="6"/>
  <c r="S656" i="6"/>
  <c r="S655" i="6"/>
  <c r="S654" i="6"/>
  <c r="S653" i="6"/>
  <c r="S652" i="6"/>
  <c r="S651" i="6"/>
  <c r="S650" i="6"/>
  <c r="S649" i="6"/>
  <c r="S648" i="6"/>
  <c r="S647" i="6"/>
  <c r="S646" i="6"/>
  <c r="S645" i="6"/>
  <c r="S644" i="6"/>
  <c r="S643" i="6"/>
  <c r="S641" i="6"/>
  <c r="S642" i="6"/>
  <c r="S640" i="6"/>
  <c r="S639" i="6"/>
  <c r="S638" i="6"/>
  <c r="S637" i="6"/>
  <c r="S636" i="6"/>
  <c r="S635" i="6"/>
  <c r="S634" i="6"/>
  <c r="S633" i="6"/>
  <c r="S631" i="6"/>
  <c r="S632" i="6"/>
  <c r="S630" i="6"/>
  <c r="S629" i="6"/>
  <c r="S628" i="6"/>
  <c r="S627" i="6"/>
  <c r="S626" i="6"/>
  <c r="S625" i="6"/>
  <c r="S624" i="6"/>
  <c r="S623" i="6"/>
  <c r="S622" i="6"/>
  <c r="S621" i="6"/>
  <c r="S620" i="6"/>
  <c r="S619" i="6"/>
  <c r="S618" i="6"/>
  <c r="S617" i="6"/>
  <c r="S616" i="6"/>
  <c r="S615" i="6"/>
  <c r="S614" i="6"/>
  <c r="S613" i="6"/>
  <c r="S612" i="6"/>
  <c r="S611" i="6"/>
  <c r="S609" i="6"/>
  <c r="S610" i="6"/>
  <c r="S608" i="6"/>
  <c r="S607" i="6"/>
  <c r="S606" i="6"/>
  <c r="S605" i="6"/>
  <c r="R788" i="6"/>
  <c r="R787" i="6"/>
  <c r="R786" i="6"/>
  <c r="R785" i="6"/>
  <c r="R784" i="6"/>
  <c r="R783" i="6"/>
  <c r="R782" i="6"/>
  <c r="R781" i="6"/>
  <c r="R780" i="6"/>
  <c r="R779" i="6"/>
  <c r="R778" i="6"/>
  <c r="R777" i="6"/>
  <c r="R776" i="6"/>
  <c r="R775" i="6"/>
  <c r="R774" i="6"/>
  <c r="R773" i="6"/>
  <c r="R772" i="6"/>
  <c r="R771" i="6"/>
  <c r="R770" i="6"/>
  <c r="R769" i="6"/>
  <c r="R768" i="6"/>
  <c r="R767" i="6"/>
  <c r="R766" i="6"/>
  <c r="R765" i="6"/>
  <c r="R764" i="6"/>
  <c r="R763" i="6"/>
  <c r="R762" i="6"/>
  <c r="R761" i="6"/>
  <c r="R760" i="6"/>
  <c r="R759" i="6"/>
  <c r="R758" i="6"/>
  <c r="R757" i="6"/>
  <c r="R756" i="6"/>
  <c r="R755" i="6"/>
  <c r="R754" i="6"/>
  <c r="R753" i="6"/>
  <c r="R752" i="6"/>
  <c r="R751" i="6"/>
  <c r="R750" i="6"/>
  <c r="R749" i="6"/>
  <c r="R748" i="6"/>
  <c r="R747" i="6"/>
  <c r="R746" i="6"/>
  <c r="R745" i="6"/>
  <c r="R744" i="6"/>
  <c r="R743" i="6"/>
  <c r="R742" i="6"/>
  <c r="R741" i="6"/>
  <c r="R740" i="6"/>
  <c r="R739" i="6"/>
  <c r="R738" i="6"/>
  <c r="R737" i="6"/>
  <c r="R736" i="6"/>
  <c r="R735" i="6"/>
  <c r="R734" i="6"/>
  <c r="R733" i="6"/>
  <c r="R732" i="6"/>
  <c r="R731" i="6"/>
  <c r="R730" i="6"/>
  <c r="R729" i="6"/>
  <c r="R728" i="6"/>
  <c r="R727" i="6"/>
  <c r="R726" i="6"/>
  <c r="R725" i="6"/>
  <c r="R724" i="6"/>
  <c r="R723" i="6"/>
  <c r="R722" i="6"/>
  <c r="R721" i="6"/>
  <c r="R720" i="6"/>
  <c r="R719" i="6"/>
  <c r="R718" i="6"/>
  <c r="R717" i="6"/>
  <c r="R716" i="6"/>
  <c r="R715" i="6"/>
  <c r="R714" i="6"/>
  <c r="R713" i="6"/>
  <c r="R712" i="6"/>
  <c r="R711" i="6"/>
  <c r="R710" i="6"/>
  <c r="R709" i="6"/>
  <c r="R708" i="6"/>
  <c r="R707" i="6"/>
  <c r="R706" i="6"/>
  <c r="R705" i="6"/>
  <c r="R704" i="6"/>
  <c r="R703" i="6"/>
  <c r="R702" i="6"/>
  <c r="R701" i="6"/>
  <c r="R700" i="6"/>
  <c r="R699" i="6"/>
  <c r="R698" i="6"/>
  <c r="R697" i="6"/>
  <c r="R696" i="6"/>
  <c r="R695" i="6"/>
  <c r="R694" i="6"/>
  <c r="R693" i="6"/>
  <c r="R692" i="6"/>
  <c r="R691" i="6"/>
  <c r="R690" i="6"/>
  <c r="R689" i="6"/>
  <c r="R688" i="6"/>
  <c r="R687" i="6"/>
  <c r="R686" i="6"/>
  <c r="R685" i="6"/>
  <c r="R684" i="6"/>
  <c r="R683" i="6"/>
  <c r="R682" i="6"/>
  <c r="R681" i="6"/>
  <c r="R680" i="6"/>
  <c r="R679" i="6"/>
  <c r="R678" i="6"/>
  <c r="R677" i="6"/>
  <c r="R676" i="6"/>
  <c r="R675" i="6"/>
  <c r="R674" i="6"/>
  <c r="R673" i="6"/>
  <c r="R672" i="6"/>
  <c r="R671" i="6"/>
  <c r="R670" i="6"/>
  <c r="R669" i="6"/>
  <c r="R668" i="6"/>
  <c r="R666" i="6"/>
  <c r="R667" i="6"/>
  <c r="R665" i="6"/>
  <c r="R664" i="6"/>
  <c r="R663" i="6"/>
  <c r="R662" i="6"/>
  <c r="R661" i="6"/>
  <c r="R660" i="6"/>
  <c r="R659" i="6"/>
  <c r="R658" i="6"/>
  <c r="R657" i="6"/>
  <c r="R656" i="6"/>
  <c r="R655" i="6"/>
  <c r="R654" i="6"/>
  <c r="R653" i="6"/>
  <c r="R652" i="6"/>
  <c r="R651" i="6"/>
  <c r="R650" i="6"/>
  <c r="R649" i="6"/>
  <c r="R648" i="6"/>
  <c r="R647" i="6"/>
  <c r="R646" i="6"/>
  <c r="R645" i="6"/>
  <c r="R644" i="6"/>
  <c r="R643" i="6"/>
  <c r="R641" i="6"/>
  <c r="R642" i="6"/>
  <c r="R640" i="6"/>
  <c r="R639" i="6"/>
  <c r="R638" i="6"/>
  <c r="R637" i="6"/>
  <c r="R636" i="6"/>
  <c r="R635" i="6"/>
  <c r="R634" i="6"/>
  <c r="R633" i="6"/>
  <c r="R631" i="6"/>
  <c r="R632" i="6"/>
  <c r="R630" i="6"/>
  <c r="R629" i="6"/>
  <c r="R628" i="6"/>
  <c r="R627" i="6"/>
  <c r="R626" i="6"/>
  <c r="R625" i="6"/>
  <c r="R624" i="6"/>
  <c r="R623" i="6"/>
  <c r="R622" i="6"/>
  <c r="R621" i="6"/>
  <c r="R620" i="6"/>
  <c r="R619" i="6"/>
  <c r="R618" i="6"/>
  <c r="R617" i="6"/>
  <c r="R616" i="6"/>
  <c r="R615" i="6"/>
  <c r="R614" i="6"/>
  <c r="R613" i="6"/>
  <c r="R612" i="6"/>
  <c r="R611" i="6"/>
  <c r="R609" i="6"/>
  <c r="R610" i="6"/>
  <c r="R608" i="6"/>
  <c r="R607" i="6"/>
  <c r="R606" i="6"/>
  <c r="R605" i="6"/>
  <c r="Q788" i="6"/>
  <c r="Q787" i="6"/>
  <c r="Q786" i="6"/>
  <c r="Q785" i="6"/>
  <c r="Q784" i="6"/>
  <c r="Q783" i="6"/>
  <c r="Q782" i="6"/>
  <c r="Q781" i="6"/>
  <c r="Q780" i="6"/>
  <c r="Q779" i="6"/>
  <c r="Q778" i="6"/>
  <c r="Q777" i="6"/>
  <c r="Q776" i="6"/>
  <c r="Q775" i="6"/>
  <c r="Q774" i="6"/>
  <c r="Q773" i="6"/>
  <c r="Q772" i="6"/>
  <c r="Q771" i="6"/>
  <c r="Q770" i="6"/>
  <c r="Q769" i="6"/>
  <c r="Q768" i="6"/>
  <c r="Q767" i="6"/>
  <c r="Q766" i="6"/>
  <c r="Q765" i="6"/>
  <c r="Q764" i="6"/>
  <c r="Q763" i="6"/>
  <c r="Q762" i="6"/>
  <c r="Q761" i="6"/>
  <c r="Q760" i="6"/>
  <c r="Q759" i="6"/>
  <c r="Q758" i="6"/>
  <c r="Q757" i="6"/>
  <c r="Q756" i="6"/>
  <c r="Q755" i="6"/>
  <c r="Q754" i="6"/>
  <c r="Q753" i="6"/>
  <c r="Q752" i="6"/>
  <c r="Q751" i="6"/>
  <c r="Q750" i="6"/>
  <c r="Q749" i="6"/>
  <c r="Q748" i="6"/>
  <c r="Q747" i="6"/>
  <c r="Q746" i="6"/>
  <c r="Q745" i="6"/>
  <c r="Q744" i="6"/>
  <c r="Q743" i="6"/>
  <c r="Q742" i="6"/>
  <c r="Q741" i="6"/>
  <c r="Q740" i="6"/>
  <c r="Q739" i="6"/>
  <c r="Q738" i="6"/>
  <c r="Q737" i="6"/>
  <c r="Q736" i="6"/>
  <c r="Q735" i="6"/>
  <c r="Q734" i="6"/>
  <c r="Q733" i="6"/>
  <c r="Q732" i="6"/>
  <c r="Q731" i="6"/>
  <c r="Q730" i="6"/>
  <c r="Q729" i="6"/>
  <c r="Q728" i="6"/>
  <c r="Q727" i="6"/>
  <c r="Q726" i="6"/>
  <c r="Q725" i="6"/>
  <c r="Q724" i="6"/>
  <c r="Q723" i="6"/>
  <c r="Q722" i="6"/>
  <c r="Q721" i="6"/>
  <c r="Q720" i="6"/>
  <c r="Q719" i="6"/>
  <c r="Q718" i="6"/>
  <c r="Q717" i="6"/>
  <c r="Q716" i="6"/>
  <c r="Q715" i="6"/>
  <c r="Q714" i="6"/>
  <c r="Q713" i="6"/>
  <c r="Q712" i="6"/>
  <c r="Q711" i="6"/>
  <c r="Q710" i="6"/>
  <c r="Q709" i="6"/>
  <c r="Q708" i="6"/>
  <c r="Q707" i="6"/>
  <c r="Q706" i="6"/>
  <c r="Q705" i="6"/>
  <c r="Q704" i="6"/>
  <c r="Q703" i="6"/>
  <c r="Q702" i="6"/>
  <c r="Q701" i="6"/>
  <c r="Q700" i="6"/>
  <c r="Q699" i="6"/>
  <c r="Q698" i="6"/>
  <c r="Q697" i="6"/>
  <c r="Q696" i="6"/>
  <c r="Q695" i="6"/>
  <c r="Q694" i="6"/>
  <c r="Q693" i="6"/>
  <c r="Q692" i="6"/>
  <c r="Q691" i="6"/>
  <c r="Q690" i="6"/>
  <c r="Q689" i="6"/>
  <c r="Q688" i="6"/>
  <c r="Q687" i="6"/>
  <c r="Q686" i="6"/>
  <c r="Q685" i="6"/>
  <c r="Q684" i="6"/>
  <c r="Q683" i="6"/>
  <c r="Q682" i="6"/>
  <c r="Q681" i="6"/>
  <c r="Q680" i="6"/>
  <c r="Q679" i="6"/>
  <c r="Q678" i="6"/>
  <c r="Q677" i="6"/>
  <c r="Q676" i="6"/>
  <c r="Q675" i="6"/>
  <c r="Q674" i="6"/>
  <c r="Q673" i="6"/>
  <c r="Q672" i="6"/>
  <c r="Q671" i="6"/>
  <c r="Q670" i="6"/>
  <c r="Q669" i="6"/>
  <c r="Q668" i="6"/>
  <c r="Q666" i="6"/>
  <c r="Q667" i="6"/>
  <c r="Q665" i="6"/>
  <c r="Q664" i="6"/>
  <c r="Q663" i="6"/>
  <c r="Q662" i="6"/>
  <c r="Q661" i="6"/>
  <c r="Q660" i="6"/>
  <c r="Q659" i="6"/>
  <c r="Q658" i="6"/>
  <c r="Q657" i="6"/>
  <c r="Q656" i="6"/>
  <c r="Q655" i="6"/>
  <c r="Q654" i="6"/>
  <c r="Q653" i="6"/>
  <c r="Q652" i="6"/>
  <c r="Q651" i="6"/>
  <c r="Q650" i="6"/>
  <c r="Q649" i="6"/>
  <c r="Q648" i="6"/>
  <c r="Q647" i="6"/>
  <c r="Q646" i="6"/>
  <c r="Q645" i="6"/>
  <c r="Q644" i="6"/>
  <c r="Q643" i="6"/>
  <c r="Q641" i="6"/>
  <c r="Q642" i="6"/>
  <c r="Q640" i="6"/>
  <c r="Q639" i="6"/>
  <c r="Q638" i="6"/>
  <c r="Q637" i="6"/>
  <c r="Q636" i="6"/>
  <c r="Q635" i="6"/>
  <c r="Q634" i="6"/>
  <c r="Q633" i="6"/>
  <c r="Q631" i="6"/>
  <c r="Q632" i="6"/>
  <c r="Q630" i="6"/>
  <c r="Q629" i="6"/>
  <c r="Q628" i="6"/>
  <c r="Q627" i="6"/>
  <c r="Q626" i="6"/>
  <c r="Q625" i="6"/>
  <c r="Q624" i="6"/>
  <c r="Q623" i="6"/>
  <c r="Q622" i="6"/>
  <c r="Q621" i="6"/>
  <c r="Q620" i="6"/>
  <c r="Q619" i="6"/>
  <c r="Q618" i="6"/>
  <c r="Q617" i="6"/>
  <c r="Q616" i="6"/>
  <c r="Q615" i="6"/>
  <c r="Q614" i="6"/>
  <c r="Q613" i="6"/>
  <c r="Q612" i="6"/>
  <c r="Q611" i="6"/>
  <c r="Q609" i="6"/>
  <c r="Q610" i="6"/>
  <c r="Q608" i="6"/>
  <c r="Q607" i="6"/>
  <c r="Q606" i="6"/>
  <c r="Q605" i="6"/>
  <c r="S789" i="6"/>
  <c r="R789" i="6"/>
  <c r="Q789" i="6"/>
  <c r="L788" i="6"/>
  <c r="L787" i="6"/>
  <c r="L786" i="6"/>
  <c r="L785" i="6"/>
  <c r="L784" i="6"/>
  <c r="L783" i="6"/>
  <c r="L782" i="6"/>
  <c r="L781" i="6"/>
  <c r="L780" i="6"/>
  <c r="L779" i="6"/>
  <c r="L778" i="6"/>
  <c r="L777" i="6"/>
  <c r="L776" i="6"/>
  <c r="L775" i="6"/>
  <c r="L774" i="6"/>
  <c r="L773" i="6"/>
  <c r="L772" i="6"/>
  <c r="L771" i="6"/>
  <c r="L770" i="6"/>
  <c r="L769" i="6"/>
  <c r="L768" i="6"/>
  <c r="L767" i="6"/>
  <c r="L766" i="6"/>
  <c r="L765" i="6"/>
  <c r="L764" i="6"/>
  <c r="L763" i="6"/>
  <c r="L762" i="6"/>
  <c r="L761" i="6"/>
  <c r="L760" i="6"/>
  <c r="L759" i="6"/>
  <c r="L758" i="6"/>
  <c r="L757" i="6"/>
  <c r="L756" i="6"/>
  <c r="L755" i="6"/>
  <c r="L754" i="6"/>
  <c r="L753" i="6"/>
  <c r="L752" i="6"/>
  <c r="L751" i="6"/>
  <c r="L750" i="6"/>
  <c r="L749" i="6"/>
  <c r="L748" i="6"/>
  <c r="L747" i="6"/>
  <c r="L746" i="6"/>
  <c r="L745" i="6"/>
  <c r="L744" i="6"/>
  <c r="L743" i="6"/>
  <c r="L742" i="6"/>
  <c r="L741" i="6"/>
  <c r="L740" i="6"/>
  <c r="L739" i="6"/>
  <c r="L738" i="6"/>
  <c r="L737" i="6"/>
  <c r="L736" i="6"/>
  <c r="L735" i="6"/>
  <c r="L734" i="6"/>
  <c r="L733" i="6"/>
  <c r="L732" i="6"/>
  <c r="L731" i="6"/>
  <c r="L730" i="6"/>
  <c r="L729" i="6"/>
  <c r="L728" i="6"/>
  <c r="L727" i="6"/>
  <c r="L726" i="6"/>
  <c r="L725" i="6"/>
  <c r="L724" i="6"/>
  <c r="L723" i="6"/>
  <c r="L722" i="6"/>
  <c r="L721" i="6"/>
  <c r="L720" i="6"/>
  <c r="L719" i="6"/>
  <c r="L718" i="6"/>
  <c r="L717" i="6"/>
  <c r="L716" i="6"/>
  <c r="L715" i="6"/>
  <c r="L714" i="6"/>
  <c r="L713" i="6"/>
  <c r="L712" i="6"/>
  <c r="L711" i="6"/>
  <c r="L710" i="6"/>
  <c r="L709" i="6"/>
  <c r="L708" i="6"/>
  <c r="L707" i="6"/>
  <c r="L706" i="6"/>
  <c r="L705" i="6"/>
  <c r="L704" i="6"/>
  <c r="L703" i="6"/>
  <c r="L702" i="6"/>
  <c r="L701" i="6"/>
  <c r="L700" i="6"/>
  <c r="L699" i="6"/>
  <c r="L698" i="6"/>
  <c r="L697" i="6"/>
  <c r="L696" i="6"/>
  <c r="L695" i="6"/>
  <c r="L694" i="6"/>
  <c r="L693" i="6"/>
  <c r="L692" i="6"/>
  <c r="L691" i="6"/>
  <c r="L690" i="6"/>
  <c r="L689" i="6"/>
  <c r="L688" i="6"/>
  <c r="L687" i="6"/>
  <c r="L686" i="6"/>
  <c r="L685" i="6"/>
  <c r="L684" i="6"/>
  <c r="L683" i="6"/>
  <c r="L682" i="6"/>
  <c r="L681" i="6"/>
  <c r="L680" i="6"/>
  <c r="L679" i="6"/>
  <c r="L678" i="6"/>
  <c r="L677" i="6"/>
  <c r="L676" i="6"/>
  <c r="L675" i="6"/>
  <c r="L674" i="6"/>
  <c r="L673" i="6"/>
  <c r="L672" i="6"/>
  <c r="L671" i="6"/>
  <c r="L670" i="6"/>
  <c r="L669" i="6"/>
  <c r="L668" i="6"/>
  <c r="L666" i="6"/>
  <c r="L667" i="6"/>
  <c r="L665" i="6"/>
  <c r="L664" i="6"/>
  <c r="L663" i="6"/>
  <c r="L662" i="6"/>
  <c r="L661" i="6"/>
  <c r="L660" i="6"/>
  <c r="L659" i="6"/>
  <c r="L658" i="6"/>
  <c r="L657" i="6"/>
  <c r="L656" i="6"/>
  <c r="L655" i="6"/>
  <c r="L654" i="6"/>
  <c r="L653" i="6"/>
  <c r="L652" i="6"/>
  <c r="L651" i="6"/>
  <c r="L650" i="6"/>
  <c r="L649" i="6"/>
  <c r="L648" i="6"/>
  <c r="L647" i="6"/>
  <c r="L646" i="6"/>
  <c r="L645" i="6"/>
  <c r="L644" i="6"/>
  <c r="L643" i="6"/>
  <c r="L641" i="6"/>
  <c r="L642" i="6"/>
  <c r="L640" i="6"/>
  <c r="L639" i="6"/>
  <c r="L638" i="6"/>
  <c r="L637" i="6"/>
  <c r="L636" i="6"/>
  <c r="L635" i="6"/>
  <c r="L634" i="6"/>
  <c r="L633" i="6"/>
  <c r="L631" i="6"/>
  <c r="L632" i="6"/>
  <c r="L630" i="6"/>
  <c r="L629" i="6"/>
  <c r="L628" i="6"/>
  <c r="L627" i="6"/>
  <c r="L626" i="6"/>
  <c r="L625" i="6"/>
  <c r="L624" i="6"/>
  <c r="L623" i="6"/>
  <c r="L622" i="6"/>
  <c r="L621" i="6"/>
  <c r="L620" i="6"/>
  <c r="L619" i="6"/>
  <c r="L618" i="6"/>
  <c r="L617" i="6"/>
  <c r="L616" i="6"/>
  <c r="L615" i="6"/>
  <c r="L614" i="6"/>
  <c r="L613" i="6"/>
  <c r="L612" i="6"/>
  <c r="L611" i="6"/>
  <c r="L609" i="6"/>
  <c r="L610" i="6"/>
  <c r="L608" i="6"/>
  <c r="L607" i="6"/>
  <c r="L606" i="6"/>
  <c r="L605" i="6"/>
  <c r="L789" i="6"/>
  <c r="H2" i="24"/>
  <c r="K2" i="24"/>
  <c r="H3" i="24"/>
  <c r="K3" i="24"/>
  <c r="H4" i="24"/>
  <c r="K4" i="24"/>
  <c r="H5" i="24"/>
  <c r="K5" i="24"/>
  <c r="H6" i="24"/>
  <c r="K6" i="24"/>
  <c r="H7" i="24"/>
  <c r="K7" i="24"/>
  <c r="H8" i="24"/>
  <c r="K8" i="24"/>
  <c r="H9" i="24"/>
  <c r="K9" i="24"/>
  <c r="H10" i="24"/>
  <c r="K10" i="24"/>
  <c r="H11" i="24"/>
  <c r="K11" i="24"/>
  <c r="H12" i="24"/>
  <c r="K12" i="24"/>
  <c r="H13" i="24"/>
  <c r="K13" i="24"/>
  <c r="H14" i="24"/>
  <c r="K14" i="24"/>
  <c r="H15" i="24"/>
  <c r="K15" i="24"/>
  <c r="H16" i="24"/>
  <c r="K16" i="24"/>
  <c r="H17" i="24"/>
  <c r="K17" i="24"/>
  <c r="H18" i="24"/>
  <c r="K18" i="24"/>
  <c r="H19" i="24"/>
  <c r="K19" i="24"/>
  <c r="H20" i="24"/>
  <c r="K20" i="24"/>
  <c r="H21" i="24"/>
  <c r="K21" i="24"/>
  <c r="H22" i="24"/>
  <c r="K22" i="24"/>
  <c r="H23" i="24"/>
  <c r="K23" i="24"/>
  <c r="H24" i="24"/>
  <c r="K24" i="24"/>
  <c r="H25" i="24"/>
  <c r="K25" i="24"/>
  <c r="H26" i="24"/>
  <c r="K26" i="24"/>
  <c r="H27" i="24"/>
  <c r="K27" i="24"/>
  <c r="H28" i="24"/>
  <c r="K28" i="24"/>
  <c r="H29" i="24"/>
  <c r="K29" i="24"/>
  <c r="H30" i="24"/>
  <c r="K30" i="24"/>
  <c r="H31" i="24"/>
  <c r="K31" i="24"/>
  <c r="L32" i="24"/>
  <c r="W19" i="24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E984" i="12"/>
  <c r="E985" i="12"/>
  <c r="E986" i="12"/>
  <c r="E987" i="12"/>
  <c r="E988" i="12"/>
  <c r="E989" i="12"/>
  <c r="E990" i="12"/>
  <c r="E991" i="12"/>
  <c r="E992" i="12"/>
  <c r="E993" i="12"/>
  <c r="E994" i="12"/>
  <c r="E995" i="12"/>
  <c r="E996" i="12"/>
  <c r="E997" i="12"/>
  <c r="E998" i="12"/>
  <c r="E999" i="12"/>
  <c r="E1000" i="12"/>
  <c r="E1001" i="12"/>
  <c r="E1002" i="12"/>
  <c r="E1003" i="12"/>
  <c r="E1004" i="12"/>
  <c r="E1005" i="12"/>
  <c r="E1006" i="12"/>
  <c r="E1007" i="12"/>
  <c r="E1008" i="12"/>
  <c r="E1009" i="12"/>
  <c r="E1010" i="12"/>
  <c r="E1011" i="12"/>
  <c r="E1012" i="12"/>
  <c r="E1013" i="12"/>
  <c r="E1014" i="12"/>
  <c r="E1015" i="12"/>
  <c r="E1016" i="12"/>
  <c r="E1017" i="12"/>
  <c r="E1018" i="12"/>
  <c r="E1019" i="12"/>
  <c r="E1020" i="12"/>
  <c r="E1021" i="12"/>
  <c r="E1022" i="12"/>
  <c r="E1023" i="12"/>
  <c r="E1024" i="12"/>
  <c r="E1025" i="12"/>
  <c r="E1026" i="12"/>
  <c r="E1027" i="12"/>
  <c r="E1028" i="12"/>
  <c r="E1029" i="12"/>
  <c r="E1030" i="12"/>
  <c r="E1031" i="12"/>
  <c r="E1032" i="12"/>
  <c r="E1033" i="12"/>
  <c r="E1034" i="12"/>
  <c r="E1035" i="12"/>
  <c r="E1036" i="12"/>
  <c r="E1037" i="12"/>
  <c r="E1038" i="12"/>
  <c r="E1039" i="12"/>
  <c r="E1040" i="12"/>
  <c r="E1041" i="12"/>
  <c r="E1042" i="12"/>
  <c r="E1043" i="12"/>
  <c r="E1044" i="12"/>
  <c r="E1045" i="12"/>
  <c r="E1046" i="12"/>
  <c r="E1047" i="12"/>
  <c r="E1048" i="12"/>
  <c r="E1049" i="12"/>
  <c r="E1050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12" i="12"/>
  <c r="W49" i="23"/>
  <c r="L260" i="23"/>
  <c r="K2" i="23"/>
  <c r="K3" i="23"/>
  <c r="K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K205" i="23"/>
  <c r="K206" i="23"/>
  <c r="K207" i="23"/>
  <c r="K208" i="23"/>
  <c r="K209" i="23"/>
  <c r="K210" i="23"/>
  <c r="K211" i="23"/>
  <c r="K212" i="23"/>
  <c r="K213" i="23"/>
  <c r="K214" i="23"/>
  <c r="K215" i="23"/>
  <c r="K216" i="23"/>
  <c r="K217" i="23"/>
  <c r="K218" i="23"/>
  <c r="K219" i="23"/>
  <c r="K220" i="23"/>
  <c r="K221" i="23"/>
  <c r="K222" i="23"/>
  <c r="K223" i="23"/>
  <c r="K224" i="23"/>
  <c r="K225" i="23"/>
  <c r="K226" i="23"/>
  <c r="K227" i="23"/>
  <c r="K228" i="23"/>
  <c r="K229" i="23"/>
  <c r="K230" i="23"/>
  <c r="K231" i="23"/>
  <c r="K232" i="23"/>
  <c r="K233" i="23"/>
  <c r="K234" i="23"/>
  <c r="K235" i="23"/>
  <c r="K236" i="23"/>
  <c r="K237" i="23"/>
  <c r="K238" i="23"/>
  <c r="K239" i="23"/>
  <c r="K240" i="23"/>
  <c r="K241" i="23"/>
  <c r="K242" i="23"/>
  <c r="K243" i="23"/>
  <c r="K244" i="23"/>
  <c r="K245" i="23"/>
  <c r="K246" i="23"/>
  <c r="K247" i="23"/>
  <c r="K248" i="23"/>
  <c r="K249" i="23"/>
  <c r="K250" i="23"/>
  <c r="K251" i="23"/>
  <c r="K252" i="23"/>
  <c r="K253" i="23"/>
  <c r="K254" i="23"/>
  <c r="K255" i="23"/>
  <c r="K256" i="23"/>
  <c r="K257" i="23"/>
  <c r="K258" i="23"/>
  <c r="K259" i="23"/>
  <c r="H79" i="23"/>
  <c r="H80" i="23"/>
  <c r="H50" i="23"/>
  <c r="H44" i="23"/>
  <c r="H220" i="23"/>
  <c r="H81" i="23"/>
  <c r="H251" i="23"/>
  <c r="H82" i="23"/>
  <c r="H187" i="23"/>
  <c r="H177" i="23"/>
  <c r="H217" i="23"/>
  <c r="H178" i="23"/>
  <c r="H246" i="23"/>
  <c r="H252" i="23"/>
  <c r="H83" i="23"/>
  <c r="H84" i="23"/>
  <c r="H49" i="23"/>
  <c r="H192" i="23"/>
  <c r="H221" i="23"/>
  <c r="H85" i="23"/>
  <c r="H253" i="23"/>
  <c r="H193" i="23"/>
  <c r="H180" i="23"/>
  <c r="H181" i="23"/>
  <c r="H179" i="23"/>
  <c r="H254" i="23"/>
  <c r="H194" i="23"/>
  <c r="H86" i="23"/>
  <c r="H210" i="23"/>
  <c r="H87" i="23"/>
  <c r="H38" i="23"/>
  <c r="H222" i="23"/>
  <c r="H47" i="23"/>
  <c r="H209" i="23"/>
  <c r="H182" i="23"/>
  <c r="H88" i="23"/>
  <c r="H195" i="23"/>
  <c r="H188" i="23"/>
  <c r="H89" i="23"/>
  <c r="H240" i="23"/>
  <c r="H90" i="23"/>
  <c r="H223" i="23"/>
  <c r="H91" i="23"/>
  <c r="H92" i="23"/>
  <c r="H51" i="23"/>
  <c r="H93" i="23"/>
  <c r="H168" i="23"/>
  <c r="H26" i="23"/>
  <c r="H255" i="23"/>
  <c r="H196" i="23"/>
  <c r="H20" i="23"/>
  <c r="H21" i="23"/>
  <c r="H94" i="23"/>
  <c r="H247" i="23"/>
  <c r="H43" i="23"/>
  <c r="H197" i="23"/>
  <c r="H39" i="23"/>
  <c r="H40" i="23"/>
  <c r="H34" i="23"/>
  <c r="H2" i="23"/>
  <c r="H198" i="23"/>
  <c r="H41" i="23"/>
  <c r="H28" i="23"/>
  <c r="H248" i="23"/>
  <c r="H238" i="23"/>
  <c r="H199" i="23"/>
  <c r="H95" i="23"/>
  <c r="H256" i="23"/>
  <c r="H96" i="23"/>
  <c r="H97" i="23"/>
  <c r="H52" i="23"/>
  <c r="H98" i="23"/>
  <c r="H53" i="23"/>
  <c r="H99" i="23"/>
  <c r="H6" i="23"/>
  <c r="H100" i="23"/>
  <c r="H7" i="23"/>
  <c r="H249" i="23"/>
  <c r="H8" i="23"/>
  <c r="H101" i="23"/>
  <c r="H224" i="23"/>
  <c r="H102" i="23"/>
  <c r="H22" i="23"/>
  <c r="H189" i="23"/>
  <c r="H103" i="23"/>
  <c r="H104" i="23"/>
  <c r="H54" i="23"/>
  <c r="H105" i="23"/>
  <c r="H55" i="23"/>
  <c r="H106" i="23"/>
  <c r="H36" i="23"/>
  <c r="H218" i="23"/>
  <c r="H200" i="23"/>
  <c r="H27" i="23"/>
  <c r="H10" i="23"/>
  <c r="H107" i="23"/>
  <c r="H211" i="23"/>
  <c r="H225" i="23"/>
  <c r="H108" i="23"/>
  <c r="H16" i="23"/>
  <c r="H226" i="23"/>
  <c r="H109" i="23"/>
  <c r="H242" i="23"/>
  <c r="H110" i="23"/>
  <c r="H5" i="23"/>
  <c r="H111" i="23"/>
  <c r="H42" i="23"/>
  <c r="H29" i="23"/>
  <c r="H112" i="23"/>
  <c r="H243" i="23"/>
  <c r="H201" i="23"/>
  <c r="H9" i="23"/>
  <c r="H11" i="23"/>
  <c r="H227" i="23"/>
  <c r="H169" i="23"/>
  <c r="H113" i="23"/>
  <c r="H257" i="23"/>
  <c r="H114" i="23"/>
  <c r="H258" i="23"/>
  <c r="H115" i="23"/>
  <c r="H23" i="23"/>
  <c r="H116" i="23"/>
  <c r="H35" i="23"/>
  <c r="H24" i="23"/>
  <c r="H56" i="23"/>
  <c r="H117" i="23"/>
  <c r="H57" i="23"/>
  <c r="H228" i="23"/>
  <c r="H4" i="23"/>
  <c r="H48" i="23"/>
  <c r="H202" i="23"/>
  <c r="H118" i="23"/>
  <c r="H244" i="23"/>
  <c r="H119" i="23"/>
  <c r="H203" i="23"/>
  <c r="H30" i="23"/>
  <c r="H12" i="23"/>
  <c r="H241" i="23"/>
  <c r="H13" i="23"/>
  <c r="H229" i="23"/>
  <c r="H14" i="23"/>
  <c r="H31" i="23"/>
  <c r="H15" i="23"/>
  <c r="H3" i="23"/>
  <c r="H120" i="23"/>
  <c r="H121" i="23"/>
  <c r="H32" i="23"/>
  <c r="H175" i="23"/>
  <c r="H122" i="23"/>
  <c r="H230" i="23"/>
  <c r="H212" i="23"/>
  <c r="H183" i="23"/>
  <c r="H123" i="23"/>
  <c r="H45" i="23"/>
  <c r="H259" i="23"/>
  <c r="H190" i="23"/>
  <c r="H213" i="23"/>
  <c r="H124" i="23"/>
  <c r="H58" i="23"/>
  <c r="H125" i="23"/>
  <c r="H59" i="23"/>
  <c r="H176" i="23"/>
  <c r="H126" i="23"/>
  <c r="H127" i="23"/>
  <c r="H60" i="23"/>
  <c r="H128" i="23"/>
  <c r="H61" i="23"/>
  <c r="H234" i="23"/>
  <c r="H204" i="23"/>
  <c r="H235" i="23"/>
  <c r="H46" i="23"/>
  <c r="H205" i="23"/>
  <c r="H231" i="23"/>
  <c r="H129" i="23"/>
  <c r="H33" i="23"/>
  <c r="H245" i="23"/>
  <c r="H232" i="23"/>
  <c r="H130" i="23"/>
  <c r="H206" i="23"/>
  <c r="H131" i="23"/>
  <c r="H132" i="23"/>
  <c r="H62" i="23"/>
  <c r="H133" i="23"/>
  <c r="H214" i="23"/>
  <c r="H134" i="23"/>
  <c r="H63" i="23"/>
  <c r="H18" i="23"/>
  <c r="H135" i="23"/>
  <c r="H136" i="23"/>
  <c r="H64" i="23"/>
  <c r="H137" i="23"/>
  <c r="H17" i="23"/>
  <c r="H250" i="23"/>
  <c r="H25" i="23"/>
  <c r="H138" i="23"/>
  <c r="H65" i="23"/>
  <c r="H139" i="23"/>
  <c r="H236" i="23"/>
  <c r="H140" i="23"/>
  <c r="H66" i="23"/>
  <c r="H141" i="23"/>
  <c r="H173" i="23"/>
  <c r="H233" i="23"/>
  <c r="H37" i="23"/>
  <c r="H142" i="23"/>
  <c r="H67" i="23"/>
  <c r="H143" i="23"/>
  <c r="H68" i="23"/>
  <c r="H19" i="23"/>
  <c r="H144" i="23"/>
  <c r="H174" i="23"/>
  <c r="H145" i="23"/>
  <c r="H207" i="23"/>
  <c r="H146" i="23"/>
  <c r="H147" i="23"/>
  <c r="H148" i="23"/>
  <c r="H69" i="23"/>
  <c r="H149" i="23"/>
  <c r="H70" i="23"/>
  <c r="H150" i="23"/>
  <c r="H215" i="23"/>
  <c r="H208" i="23"/>
  <c r="H170" i="23"/>
  <c r="H216" i="23"/>
  <c r="H151" i="23"/>
  <c r="H184" i="23"/>
  <c r="H152" i="23"/>
  <c r="H71" i="23"/>
  <c r="H153" i="23"/>
  <c r="H72" i="23"/>
  <c r="H237" i="23"/>
  <c r="H154" i="23"/>
  <c r="H155" i="23"/>
  <c r="H73" i="23"/>
  <c r="H156" i="23"/>
  <c r="H74" i="23"/>
  <c r="H157" i="23"/>
  <c r="H75" i="23"/>
  <c r="H158" i="23"/>
  <c r="H76" i="23"/>
  <c r="H159" i="23"/>
  <c r="H77" i="23"/>
  <c r="H160" i="23"/>
  <c r="H161" i="23"/>
  <c r="H171" i="23"/>
  <c r="H162" i="23"/>
  <c r="H172" i="23"/>
  <c r="H163" i="23"/>
  <c r="H191" i="23"/>
  <c r="H164" i="23"/>
  <c r="H78" i="23"/>
  <c r="H185" i="23"/>
  <c r="H165" i="23"/>
  <c r="H186" i="23"/>
  <c r="H166" i="23"/>
  <c r="H167" i="23"/>
  <c r="H239" i="23"/>
  <c r="H219" i="23"/>
  <c r="L386" i="22"/>
  <c r="W32" i="22"/>
  <c r="K3" i="22"/>
  <c r="K4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29" i="22"/>
  <c r="K30" i="22"/>
  <c r="K31" i="22"/>
  <c r="K32" i="22"/>
  <c r="K33" i="22"/>
  <c r="K34" i="22"/>
  <c r="K35" i="22"/>
  <c r="K36" i="22"/>
  <c r="K37" i="22"/>
  <c r="K38" i="22"/>
  <c r="K39" i="22"/>
  <c r="K40" i="22"/>
  <c r="K41" i="22"/>
  <c r="K42" i="22"/>
  <c r="K43" i="22"/>
  <c r="K44" i="22"/>
  <c r="K45" i="22"/>
  <c r="K46" i="22"/>
  <c r="K47" i="22"/>
  <c r="K48" i="22"/>
  <c r="K49" i="22"/>
  <c r="K50" i="22"/>
  <c r="K51" i="22"/>
  <c r="K52" i="22"/>
  <c r="K53" i="22"/>
  <c r="K54" i="22"/>
  <c r="K55" i="22"/>
  <c r="K56" i="22"/>
  <c r="K57" i="22"/>
  <c r="K58" i="22"/>
  <c r="K59" i="22"/>
  <c r="K60" i="22"/>
  <c r="K61" i="22"/>
  <c r="K62" i="22"/>
  <c r="K63" i="22"/>
  <c r="K64" i="22"/>
  <c r="K65" i="22"/>
  <c r="K66" i="22"/>
  <c r="K67" i="22"/>
  <c r="K68" i="22"/>
  <c r="K69" i="22"/>
  <c r="K70" i="22"/>
  <c r="K71" i="22"/>
  <c r="K72" i="22"/>
  <c r="K73" i="22"/>
  <c r="K74" i="22"/>
  <c r="K75" i="22"/>
  <c r="K76" i="22"/>
  <c r="K77" i="22"/>
  <c r="K78" i="22"/>
  <c r="K79" i="22"/>
  <c r="K80" i="22"/>
  <c r="K81" i="22"/>
  <c r="K82" i="22"/>
  <c r="K83" i="22"/>
  <c r="K84" i="22"/>
  <c r="K85" i="22"/>
  <c r="K86" i="22"/>
  <c r="K87" i="22"/>
  <c r="K88" i="22"/>
  <c r="K89" i="22"/>
  <c r="K90" i="22"/>
  <c r="K91" i="22"/>
  <c r="K92" i="22"/>
  <c r="K93" i="22"/>
  <c r="K94" i="22"/>
  <c r="K95" i="22"/>
  <c r="K96" i="22"/>
  <c r="K97" i="22"/>
  <c r="K98" i="22"/>
  <c r="K99" i="22"/>
  <c r="K100" i="22"/>
  <c r="K101" i="22"/>
  <c r="K102" i="22"/>
  <c r="K103" i="22"/>
  <c r="K104" i="22"/>
  <c r="K105" i="22"/>
  <c r="K106" i="22"/>
  <c r="K107" i="22"/>
  <c r="K108" i="22"/>
  <c r="K109" i="22"/>
  <c r="K110" i="22"/>
  <c r="K111" i="22"/>
  <c r="K112" i="22"/>
  <c r="K113" i="22"/>
  <c r="K114" i="22"/>
  <c r="K115" i="22"/>
  <c r="K116" i="22"/>
  <c r="K117" i="22"/>
  <c r="K118" i="22"/>
  <c r="K119" i="22"/>
  <c r="K120" i="22"/>
  <c r="K121" i="22"/>
  <c r="K122" i="22"/>
  <c r="K123" i="22"/>
  <c r="K124" i="22"/>
  <c r="K125" i="22"/>
  <c r="K126" i="22"/>
  <c r="K127" i="22"/>
  <c r="K128" i="22"/>
  <c r="K129" i="22"/>
  <c r="K130" i="22"/>
  <c r="K131" i="22"/>
  <c r="K132" i="22"/>
  <c r="K133" i="22"/>
  <c r="K134" i="22"/>
  <c r="K135" i="22"/>
  <c r="K136" i="22"/>
  <c r="K137" i="22"/>
  <c r="K138" i="22"/>
  <c r="K139" i="22"/>
  <c r="K140" i="22"/>
  <c r="K141" i="22"/>
  <c r="K142" i="22"/>
  <c r="K143" i="22"/>
  <c r="K144" i="22"/>
  <c r="K145" i="22"/>
  <c r="K146" i="22"/>
  <c r="K147" i="22"/>
  <c r="K148" i="22"/>
  <c r="K149" i="22"/>
  <c r="K150" i="22"/>
  <c r="K151" i="22"/>
  <c r="K152" i="22"/>
  <c r="K153" i="22"/>
  <c r="K154" i="22"/>
  <c r="K155" i="22"/>
  <c r="K156" i="22"/>
  <c r="K157" i="22"/>
  <c r="K158" i="22"/>
  <c r="K159" i="22"/>
  <c r="K160" i="22"/>
  <c r="K161" i="22"/>
  <c r="K162" i="22"/>
  <c r="K163" i="22"/>
  <c r="K164" i="22"/>
  <c r="K165" i="22"/>
  <c r="K166" i="22"/>
  <c r="K167" i="22"/>
  <c r="K168" i="22"/>
  <c r="K169" i="22"/>
  <c r="K170" i="22"/>
  <c r="K171" i="22"/>
  <c r="K172" i="22"/>
  <c r="K173" i="22"/>
  <c r="K174" i="22"/>
  <c r="K175" i="22"/>
  <c r="K176" i="22"/>
  <c r="K177" i="22"/>
  <c r="K178" i="22"/>
  <c r="K179" i="22"/>
  <c r="K180" i="22"/>
  <c r="K181" i="22"/>
  <c r="K182" i="22"/>
  <c r="K183" i="22"/>
  <c r="K184" i="22"/>
  <c r="K185" i="22"/>
  <c r="K186" i="22"/>
  <c r="K187" i="22"/>
  <c r="K188" i="22"/>
  <c r="K189" i="22"/>
  <c r="K190" i="22"/>
  <c r="K191" i="22"/>
  <c r="K192" i="22"/>
  <c r="K193" i="22"/>
  <c r="K194" i="22"/>
  <c r="K195" i="22"/>
  <c r="K196" i="22"/>
  <c r="K197" i="22"/>
  <c r="K198" i="22"/>
  <c r="K199" i="22"/>
  <c r="K200" i="22"/>
  <c r="K201" i="22"/>
  <c r="K202" i="22"/>
  <c r="K203" i="22"/>
  <c r="K204" i="22"/>
  <c r="K205" i="22"/>
  <c r="K206" i="22"/>
  <c r="K207" i="22"/>
  <c r="K208" i="22"/>
  <c r="K209" i="22"/>
  <c r="K210" i="22"/>
  <c r="K211" i="22"/>
  <c r="K212" i="22"/>
  <c r="K213" i="22"/>
  <c r="K214" i="22"/>
  <c r="K215" i="22"/>
  <c r="K216" i="22"/>
  <c r="K217" i="22"/>
  <c r="K218" i="22"/>
  <c r="K219" i="22"/>
  <c r="K220" i="22"/>
  <c r="K221" i="22"/>
  <c r="K222" i="22"/>
  <c r="K223" i="22"/>
  <c r="K224" i="22"/>
  <c r="K225" i="22"/>
  <c r="K226" i="22"/>
  <c r="K227" i="22"/>
  <c r="K228" i="22"/>
  <c r="K229" i="22"/>
  <c r="K230" i="22"/>
  <c r="K231" i="22"/>
  <c r="K232" i="22"/>
  <c r="K233" i="22"/>
  <c r="K234" i="22"/>
  <c r="K235" i="22"/>
  <c r="K236" i="22"/>
  <c r="K237" i="22"/>
  <c r="K238" i="22"/>
  <c r="K239" i="22"/>
  <c r="K240" i="22"/>
  <c r="K241" i="22"/>
  <c r="K242" i="22"/>
  <c r="K243" i="22"/>
  <c r="K244" i="22"/>
  <c r="K245" i="22"/>
  <c r="K246" i="22"/>
  <c r="K247" i="22"/>
  <c r="K248" i="22"/>
  <c r="K249" i="22"/>
  <c r="K250" i="22"/>
  <c r="K251" i="22"/>
  <c r="K252" i="22"/>
  <c r="K253" i="22"/>
  <c r="K254" i="22"/>
  <c r="K255" i="22"/>
  <c r="K256" i="22"/>
  <c r="K257" i="22"/>
  <c r="K258" i="22"/>
  <c r="K259" i="22"/>
  <c r="K260" i="22"/>
  <c r="K261" i="22"/>
  <c r="K262" i="22"/>
  <c r="K263" i="22"/>
  <c r="K264" i="22"/>
  <c r="K265" i="22"/>
  <c r="K266" i="22"/>
  <c r="K267" i="22"/>
  <c r="K268" i="22"/>
  <c r="K269" i="22"/>
  <c r="K270" i="22"/>
  <c r="K271" i="22"/>
  <c r="K272" i="22"/>
  <c r="K273" i="22"/>
  <c r="K274" i="22"/>
  <c r="K275" i="22"/>
  <c r="K276" i="22"/>
  <c r="K277" i="22"/>
  <c r="K278" i="22"/>
  <c r="K279" i="22"/>
  <c r="K280" i="22"/>
  <c r="K281" i="22"/>
  <c r="K282" i="22"/>
  <c r="K283" i="22"/>
  <c r="K284" i="22"/>
  <c r="K285" i="22"/>
  <c r="K286" i="22"/>
  <c r="K287" i="22"/>
  <c r="K288" i="22"/>
  <c r="K289" i="22"/>
  <c r="K290" i="22"/>
  <c r="K291" i="22"/>
  <c r="K292" i="22"/>
  <c r="K293" i="22"/>
  <c r="K294" i="22"/>
  <c r="K295" i="22"/>
  <c r="K296" i="22"/>
  <c r="K297" i="22"/>
  <c r="K298" i="22"/>
  <c r="K299" i="22"/>
  <c r="K300" i="22"/>
  <c r="K301" i="22"/>
  <c r="K302" i="22"/>
  <c r="K303" i="22"/>
  <c r="K304" i="22"/>
  <c r="K305" i="22"/>
  <c r="K306" i="22"/>
  <c r="K307" i="22"/>
  <c r="K308" i="22"/>
  <c r="K309" i="22"/>
  <c r="K310" i="22"/>
  <c r="K311" i="22"/>
  <c r="K312" i="22"/>
  <c r="K313" i="22"/>
  <c r="K314" i="22"/>
  <c r="K315" i="22"/>
  <c r="K316" i="22"/>
  <c r="K317" i="22"/>
  <c r="K318" i="22"/>
  <c r="K319" i="22"/>
  <c r="K320" i="22"/>
  <c r="K321" i="22"/>
  <c r="K322" i="22"/>
  <c r="K323" i="22"/>
  <c r="K324" i="22"/>
  <c r="K325" i="22"/>
  <c r="K326" i="22"/>
  <c r="K327" i="22"/>
  <c r="K328" i="22"/>
  <c r="K329" i="22"/>
  <c r="K330" i="22"/>
  <c r="K331" i="22"/>
  <c r="K332" i="22"/>
  <c r="K333" i="22"/>
  <c r="K334" i="22"/>
  <c r="K335" i="22"/>
  <c r="K336" i="22"/>
  <c r="K337" i="22"/>
  <c r="K338" i="22"/>
  <c r="K339" i="22"/>
  <c r="K340" i="22"/>
  <c r="K341" i="22"/>
  <c r="K342" i="22"/>
  <c r="K343" i="22"/>
  <c r="K344" i="22"/>
  <c r="K345" i="22"/>
  <c r="K346" i="22"/>
  <c r="K347" i="22"/>
  <c r="K348" i="22"/>
  <c r="K349" i="22"/>
  <c r="K350" i="22"/>
  <c r="K351" i="22"/>
  <c r="K352" i="22"/>
  <c r="K353" i="22"/>
  <c r="K354" i="22"/>
  <c r="K355" i="22"/>
  <c r="K356" i="22"/>
  <c r="K357" i="22"/>
  <c r="K358" i="22"/>
  <c r="K359" i="22"/>
  <c r="K360" i="22"/>
  <c r="K361" i="22"/>
  <c r="K362" i="22"/>
  <c r="K363" i="22"/>
  <c r="K364" i="22"/>
  <c r="K365" i="22"/>
  <c r="K366" i="22"/>
  <c r="K367" i="22"/>
  <c r="K368" i="22"/>
  <c r="K369" i="22"/>
  <c r="K370" i="22"/>
  <c r="K371" i="22"/>
  <c r="K372" i="22"/>
  <c r="K373" i="22"/>
  <c r="K374" i="22"/>
  <c r="K375" i="22"/>
  <c r="K376" i="22"/>
  <c r="K377" i="22"/>
  <c r="K378" i="22"/>
  <c r="K379" i="22"/>
  <c r="K380" i="22"/>
  <c r="K381" i="22"/>
  <c r="K382" i="22"/>
  <c r="K383" i="22"/>
  <c r="K384" i="22"/>
  <c r="K385" i="22"/>
  <c r="H334" i="22"/>
  <c r="H126" i="22"/>
  <c r="H85" i="22"/>
  <c r="H257" i="22"/>
  <c r="H127" i="22"/>
  <c r="H128" i="22"/>
  <c r="H278" i="22"/>
  <c r="H279" i="22"/>
  <c r="H129" i="22"/>
  <c r="H280" i="22"/>
  <c r="H277" i="22"/>
  <c r="H281" i="22"/>
  <c r="H367" i="22"/>
  <c r="H368" i="22"/>
  <c r="H330" i="22"/>
  <c r="H331" i="22"/>
  <c r="H282" i="22"/>
  <c r="H130" i="22"/>
  <c r="H86" i="22"/>
  <c r="H283" i="22"/>
  <c r="H131" i="22"/>
  <c r="H284" i="22"/>
  <c r="H335" i="22"/>
  <c r="H285" i="22"/>
  <c r="H336" i="22"/>
  <c r="H132" i="22"/>
  <c r="H337" i="22"/>
  <c r="H77" i="22"/>
  <c r="H54" i="22"/>
  <c r="H133" i="22"/>
  <c r="H87" i="22"/>
  <c r="H134" i="22"/>
  <c r="H259" i="22"/>
  <c r="H258" i="22"/>
  <c r="H135" i="22"/>
  <c r="H356" i="22"/>
  <c r="H136" i="22"/>
  <c r="H137" i="22"/>
  <c r="H88" i="22"/>
  <c r="H138" i="22"/>
  <c r="H322" i="22"/>
  <c r="H139" i="22"/>
  <c r="H338" i="22"/>
  <c r="H140" i="22"/>
  <c r="H89" i="22"/>
  <c r="H69" i="22"/>
  <c r="H3" i="22"/>
  <c r="H70" i="22"/>
  <c r="H15" i="22"/>
  <c r="H71" i="22"/>
  <c r="H41" i="22"/>
  <c r="H141" i="22"/>
  <c r="H42" i="22"/>
  <c r="H142" i="22"/>
  <c r="H143" i="22"/>
  <c r="H90" i="22"/>
  <c r="H144" i="22"/>
  <c r="H91" i="22"/>
  <c r="H261" i="22"/>
  <c r="H72" i="22"/>
  <c r="H145" i="22"/>
  <c r="H73" i="22"/>
  <c r="H74" i="22"/>
  <c r="H43" i="22"/>
  <c r="H40" i="22"/>
  <c r="H146" i="22"/>
  <c r="H75" i="22"/>
  <c r="H51" i="22"/>
  <c r="H147" i="22"/>
  <c r="H76" i="22"/>
  <c r="H148" i="22"/>
  <c r="H66" i="22"/>
  <c r="H149" i="22"/>
  <c r="H92" i="22"/>
  <c r="H251" i="22"/>
  <c r="H150" i="22"/>
  <c r="H67" i="22"/>
  <c r="H68" i="22"/>
  <c r="H151" i="22"/>
  <c r="H252" i="22"/>
  <c r="H286" i="22"/>
  <c r="H16" i="22"/>
  <c r="H324" i="22"/>
  <c r="H152" i="22"/>
  <c r="H78" i="22"/>
  <c r="H2" i="22"/>
  <c r="H153" i="22"/>
  <c r="H7" i="22"/>
  <c r="H8" i="22"/>
  <c r="H287" i="22"/>
  <c r="H288" i="22"/>
  <c r="H154" i="22"/>
  <c r="H289" i="22"/>
  <c r="H155" i="22"/>
  <c r="H253" i="22"/>
  <c r="H156" i="22"/>
  <c r="H157" i="22"/>
  <c r="H9" i="22"/>
  <c r="H260" i="22"/>
  <c r="H158" i="22"/>
  <c r="H159" i="22"/>
  <c r="H4" i="22"/>
  <c r="H249" i="22"/>
  <c r="H10" i="22"/>
  <c r="H52" i="22"/>
  <c r="H11" i="22"/>
  <c r="H160" i="22"/>
  <c r="H12" i="22"/>
  <c r="H5" i="22"/>
  <c r="H13" i="22"/>
  <c r="H325" i="22"/>
  <c r="H14" i="22"/>
  <c r="H161" i="22"/>
  <c r="H93" i="22"/>
  <c r="H162" i="22"/>
  <c r="H290" i="22"/>
  <c r="H270" i="22"/>
  <c r="H291" i="22"/>
  <c r="H163" i="22"/>
  <c r="H292" i="22"/>
  <c r="H17" i="22"/>
  <c r="H164" i="22"/>
  <c r="H293" i="22"/>
  <c r="H319" i="22"/>
  <c r="H165" i="22"/>
  <c r="H94" i="22"/>
  <c r="H294" i="22"/>
  <c r="H45" i="22"/>
  <c r="H166" i="22"/>
  <c r="H95" i="22"/>
  <c r="H167" i="22"/>
  <c r="H295" i="22"/>
  <c r="H168" i="22"/>
  <c r="H6" i="22"/>
  <c r="H275" i="22"/>
  <c r="H296" i="22"/>
  <c r="H169" i="22"/>
  <c r="H96" i="22"/>
  <c r="H297" i="22"/>
  <c r="H276" i="22"/>
  <c r="H97" i="22"/>
  <c r="H18" i="22"/>
  <c r="H170" i="22"/>
  <c r="H171" i="22"/>
  <c r="H98" i="22"/>
  <c r="H172" i="22"/>
  <c r="H339" i="22"/>
  <c r="H173" i="22"/>
  <c r="H340" i="22"/>
  <c r="H326" i="22"/>
  <c r="H263" i="22"/>
  <c r="H99" i="22"/>
  <c r="H100" i="22"/>
  <c r="H174" i="22"/>
  <c r="H57" i="22"/>
  <c r="H175" i="22"/>
  <c r="H101" i="22"/>
  <c r="H176" i="22"/>
  <c r="H369" i="22"/>
  <c r="H177" i="22"/>
  <c r="H102" i="22"/>
  <c r="H358" i="22"/>
  <c r="H178" i="22"/>
  <c r="H103" i="22"/>
  <c r="H58" i="22"/>
  <c r="H179" i="22"/>
  <c r="H359" i="22"/>
  <c r="H357" i="22"/>
  <c r="H360" i="22"/>
  <c r="H180" i="22"/>
  <c r="H361" i="22"/>
  <c r="H362" i="22"/>
  <c r="H181" i="22"/>
  <c r="H104" i="22"/>
  <c r="H363" i="22"/>
  <c r="H182" i="22"/>
  <c r="H183" i="22"/>
  <c r="H105" i="22"/>
  <c r="H298" i="22"/>
  <c r="H59" i="22"/>
  <c r="H184" i="22"/>
  <c r="H106" i="22"/>
  <c r="H185" i="22"/>
  <c r="H341" i="22"/>
  <c r="H342" i="22"/>
  <c r="H343" i="22"/>
  <c r="H186" i="22"/>
  <c r="H34" i="22"/>
  <c r="H187" i="22"/>
  <c r="H60" i="22"/>
  <c r="H188" i="22"/>
  <c r="H189" i="22"/>
  <c r="H107" i="22"/>
  <c r="H190" i="22"/>
  <c r="H344" i="22"/>
  <c r="H191" i="22"/>
  <c r="H108" i="22"/>
  <c r="H192" i="22"/>
  <c r="H109" i="22"/>
  <c r="H110" i="22"/>
  <c r="H193" i="22"/>
  <c r="H111" i="22"/>
  <c r="H380" i="22"/>
  <c r="H194" i="22"/>
  <c r="H195" i="22"/>
  <c r="H112" i="22"/>
  <c r="H196" i="22"/>
  <c r="H299" i="22"/>
  <c r="H113" i="22"/>
  <c r="H323" i="22"/>
  <c r="H197" i="22"/>
  <c r="H114" i="22"/>
  <c r="H61" i="22"/>
  <c r="H345" i="22"/>
  <c r="H19" i="22"/>
  <c r="H198" i="22"/>
  <c r="H199" i="22"/>
  <c r="H115" i="22"/>
  <c r="H200" i="22"/>
  <c r="H381" i="22"/>
  <c r="H346" i="22"/>
  <c r="H201" i="22"/>
  <c r="H202" i="22"/>
  <c r="H327" i="22"/>
  <c r="H203" i="22"/>
  <c r="H332" i="22"/>
  <c r="H204" i="22"/>
  <c r="H56" i="22"/>
  <c r="H333" i="22"/>
  <c r="H254" i="22"/>
  <c r="H255" i="22"/>
  <c r="H300" i="22"/>
  <c r="H79" i="22"/>
  <c r="H301" i="22"/>
  <c r="H62" i="22"/>
  <c r="H302" i="22"/>
  <c r="H63" i="22"/>
  <c r="H205" i="22"/>
  <c r="H64" i="22"/>
  <c r="H206" i="22"/>
  <c r="H375" i="22"/>
  <c r="H207" i="22"/>
  <c r="H376" i="22"/>
  <c r="H303" i="22"/>
  <c r="H377" i="22"/>
  <c r="H304" i="22"/>
  <c r="H378" i="22"/>
  <c r="H208" i="22"/>
  <c r="H347" i="22"/>
  <c r="H209" i="22"/>
  <c r="H364" i="22"/>
  <c r="H379" i="22"/>
  <c r="H348" i="22"/>
  <c r="H370" i="22"/>
  <c r="H349" i="22"/>
  <c r="H210" i="22"/>
  <c r="H371" i="22"/>
  <c r="H328" i="22"/>
  <c r="H211" i="22"/>
  <c r="H65" i="22"/>
  <c r="H372" i="22"/>
  <c r="H212" i="22"/>
  <c r="H116" i="22"/>
  <c r="H213" i="22"/>
  <c r="H244" i="22"/>
  <c r="H305" i="22"/>
  <c r="H214" i="22"/>
  <c r="H44" i="22"/>
  <c r="H215" i="22"/>
  <c r="H117" i="22"/>
  <c r="H216" i="22"/>
  <c r="H118" i="22"/>
  <c r="H256" i="22"/>
  <c r="H217" i="22"/>
  <c r="H373" i="22"/>
  <c r="H35" i="22"/>
  <c r="H49" i="22"/>
  <c r="H374" i="22"/>
  <c r="H36" i="22"/>
  <c r="H20" i="22"/>
  <c r="H354" i="22"/>
  <c r="H21" i="22"/>
  <c r="H22" i="22"/>
  <c r="H245" i="22"/>
  <c r="H46" i="22"/>
  <c r="H218" i="22"/>
  <c r="H27" i="22"/>
  <c r="H26" i="22"/>
  <c r="H219" i="22"/>
  <c r="H246" i="22"/>
  <c r="H39" i="22"/>
  <c r="H23" i="22"/>
  <c r="H247" i="22"/>
  <c r="H306" i="22"/>
  <c r="H28" i="22"/>
  <c r="H264" i="22"/>
  <c r="H29" i="22"/>
  <c r="H53" i="22"/>
  <c r="H382" i="22"/>
  <c r="H265" i="22"/>
  <c r="H248" i="22"/>
  <c r="H350" i="22"/>
  <c r="H30" i="22"/>
  <c r="H307" i="22"/>
  <c r="H351" i="22"/>
  <c r="H31" i="22"/>
  <c r="H266" i="22"/>
  <c r="H308" i="22"/>
  <c r="H309" i="22"/>
  <c r="H32" i="22"/>
  <c r="H37" i="22"/>
  <c r="H47" i="22"/>
  <c r="H267" i="22"/>
  <c r="H262" i="22"/>
  <c r="H268" i="22"/>
  <c r="H220" i="22"/>
  <c r="H221" i="22"/>
  <c r="H352" i="22"/>
  <c r="H38" i="22"/>
  <c r="H222" i="22"/>
  <c r="H223" i="22"/>
  <c r="H119" i="22"/>
  <c r="H55" i="22"/>
  <c r="H224" i="22"/>
  <c r="H271" i="22"/>
  <c r="H310" i="22"/>
  <c r="H225" i="22"/>
  <c r="H311" i="22"/>
  <c r="H226" i="22"/>
  <c r="H272" i="22"/>
  <c r="H273" i="22"/>
  <c r="H227" i="22"/>
  <c r="H228" i="22"/>
  <c r="H120" i="22"/>
  <c r="H365" i="22"/>
  <c r="H320" i="22"/>
  <c r="H366" i="22"/>
  <c r="H274" i="22"/>
  <c r="H312" i="22"/>
  <c r="H80" i="22"/>
  <c r="H229" i="22"/>
  <c r="H230" i="22"/>
  <c r="H25" i="22"/>
  <c r="H313" i="22"/>
  <c r="H231" i="22"/>
  <c r="H232" i="22"/>
  <c r="H84" i="22"/>
  <c r="H81" i="22"/>
  <c r="H314" i="22"/>
  <c r="H355" i="22"/>
  <c r="H315" i="22"/>
  <c r="H383" i="22"/>
  <c r="H24" i="22"/>
  <c r="H316" i="22"/>
  <c r="H384" i="22"/>
  <c r="H233" i="22"/>
  <c r="H121" i="22"/>
  <c r="H234" i="22"/>
  <c r="H122" i="22"/>
  <c r="H235" i="22"/>
  <c r="H123" i="22"/>
  <c r="H236" i="22"/>
  <c r="H124" i="22"/>
  <c r="H329" i="22"/>
  <c r="H82" i="22"/>
  <c r="H237" i="22"/>
  <c r="H83" i="22"/>
  <c r="H238" i="22"/>
  <c r="H239" i="22"/>
  <c r="H353" i="22"/>
  <c r="H240" i="22"/>
  <c r="H269" i="22"/>
  <c r="H250" i="22"/>
  <c r="H317" i="22"/>
  <c r="H241" i="22"/>
  <c r="H318" i="22"/>
  <c r="H33" i="22"/>
  <c r="H385" i="22"/>
  <c r="H48" i="22"/>
  <c r="H50" i="22"/>
  <c r="H242" i="22"/>
  <c r="H243" i="22"/>
  <c r="H321" i="22"/>
  <c r="H125" i="22"/>
  <c r="K2" i="22"/>
  <c r="W32" i="21"/>
  <c r="L51" i="21"/>
  <c r="K3" i="2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H31" i="21"/>
  <c r="H9" i="21"/>
  <c r="H15" i="21"/>
  <c r="H47" i="21"/>
  <c r="H4" i="21"/>
  <c r="H16" i="21"/>
  <c r="H10" i="21"/>
  <c r="H2" i="21"/>
  <c r="H17" i="21"/>
  <c r="H18" i="21"/>
  <c r="H7" i="21"/>
  <c r="H50" i="21"/>
  <c r="H19" i="21"/>
  <c r="H20" i="21"/>
  <c r="H39" i="21"/>
  <c r="H3" i="21"/>
  <c r="H32" i="21"/>
  <c r="H5" i="21"/>
  <c r="H21" i="21"/>
  <c r="H22" i="21"/>
  <c r="H6" i="21"/>
  <c r="H11" i="21"/>
  <c r="H23" i="21"/>
  <c r="H12" i="21"/>
  <c r="H48" i="21"/>
  <c r="H40" i="21"/>
  <c r="H49" i="21"/>
  <c r="H24" i="21"/>
  <c r="H25" i="21"/>
  <c r="H41" i="21"/>
  <c r="H26" i="21"/>
  <c r="H13" i="21"/>
  <c r="H27" i="21"/>
  <c r="H14" i="21"/>
  <c r="H28" i="21"/>
  <c r="H33" i="21"/>
  <c r="H34" i="21"/>
  <c r="H42" i="21"/>
  <c r="H35" i="21"/>
  <c r="H43" i="21"/>
  <c r="H36" i="21"/>
  <c r="H44" i="21"/>
  <c r="H45" i="21"/>
  <c r="H29" i="21"/>
  <c r="H37" i="21"/>
  <c r="H30" i="21"/>
  <c r="H38" i="21"/>
  <c r="H46" i="21"/>
  <c r="H8" i="21"/>
  <c r="K2" i="21"/>
  <c r="W32" i="20"/>
  <c r="L205" i="20"/>
  <c r="K2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3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K137" i="20"/>
  <c r="K138" i="20"/>
  <c r="K139" i="20"/>
  <c r="K140" i="20"/>
  <c r="K141" i="20"/>
  <c r="K142" i="20"/>
  <c r="K143" i="20"/>
  <c r="K144" i="20"/>
  <c r="K145" i="20"/>
  <c r="K146" i="20"/>
  <c r="K147" i="20"/>
  <c r="K148" i="20"/>
  <c r="K149" i="20"/>
  <c r="K150" i="20"/>
  <c r="K151" i="20"/>
  <c r="K152" i="20"/>
  <c r="K153" i="20"/>
  <c r="K154" i="20"/>
  <c r="K155" i="20"/>
  <c r="K156" i="20"/>
  <c r="K157" i="20"/>
  <c r="K158" i="20"/>
  <c r="K159" i="20"/>
  <c r="K160" i="20"/>
  <c r="K161" i="20"/>
  <c r="K162" i="20"/>
  <c r="K163" i="20"/>
  <c r="K164" i="20"/>
  <c r="K165" i="20"/>
  <c r="K166" i="20"/>
  <c r="K167" i="20"/>
  <c r="K168" i="20"/>
  <c r="K169" i="20"/>
  <c r="K170" i="20"/>
  <c r="K171" i="20"/>
  <c r="K172" i="20"/>
  <c r="K173" i="20"/>
  <c r="K174" i="20"/>
  <c r="K175" i="20"/>
  <c r="K176" i="20"/>
  <c r="K177" i="20"/>
  <c r="K178" i="20"/>
  <c r="K179" i="20"/>
  <c r="K180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H62" i="20"/>
  <c r="H171" i="20"/>
  <c r="H63" i="20"/>
  <c r="H172" i="20"/>
  <c r="H173" i="20"/>
  <c r="H64" i="20"/>
  <c r="H17" i="20"/>
  <c r="H65" i="20"/>
  <c r="H32" i="20"/>
  <c r="H66" i="20"/>
  <c r="H67" i="20"/>
  <c r="H44" i="20"/>
  <c r="H68" i="20"/>
  <c r="H174" i="20"/>
  <c r="H69" i="20"/>
  <c r="H45" i="20"/>
  <c r="H70" i="20"/>
  <c r="H46" i="20"/>
  <c r="H47" i="20"/>
  <c r="H71" i="20"/>
  <c r="H48" i="20"/>
  <c r="H199" i="20"/>
  <c r="H72" i="20"/>
  <c r="H73" i="20"/>
  <c r="H49" i="20"/>
  <c r="H74" i="20"/>
  <c r="H143" i="20"/>
  <c r="H75" i="20"/>
  <c r="H165" i="20"/>
  <c r="H76" i="20"/>
  <c r="H50" i="20"/>
  <c r="H33" i="20"/>
  <c r="H175" i="20"/>
  <c r="H2" i="20"/>
  <c r="H77" i="20"/>
  <c r="H78" i="20"/>
  <c r="H51" i="20"/>
  <c r="H79" i="20"/>
  <c r="H200" i="20"/>
  <c r="H176" i="20"/>
  <c r="H80" i="20"/>
  <c r="H81" i="20"/>
  <c r="H166" i="20"/>
  <c r="H82" i="20"/>
  <c r="H169" i="20"/>
  <c r="H83" i="20"/>
  <c r="H31" i="20"/>
  <c r="H170" i="20"/>
  <c r="H129" i="20"/>
  <c r="H130" i="20"/>
  <c r="H144" i="20"/>
  <c r="H38" i="20"/>
  <c r="H145" i="20"/>
  <c r="H34" i="20"/>
  <c r="H146" i="20"/>
  <c r="H35" i="20"/>
  <c r="H84" i="20"/>
  <c r="H36" i="20"/>
  <c r="H85" i="20"/>
  <c r="H194" i="20"/>
  <c r="H86" i="20"/>
  <c r="H195" i="20"/>
  <c r="H147" i="20"/>
  <c r="H196" i="20"/>
  <c r="H148" i="20"/>
  <c r="H197" i="20"/>
  <c r="H87" i="20"/>
  <c r="H177" i="20"/>
  <c r="H88" i="20"/>
  <c r="H186" i="20"/>
  <c r="H198" i="20"/>
  <c r="H178" i="20"/>
  <c r="H189" i="20"/>
  <c r="H179" i="20"/>
  <c r="H89" i="20"/>
  <c r="H190" i="20"/>
  <c r="H167" i="20"/>
  <c r="H90" i="20"/>
  <c r="H37" i="20"/>
  <c r="H191" i="20"/>
  <c r="H91" i="20"/>
  <c r="H52" i="20"/>
  <c r="H92" i="20"/>
  <c r="H123" i="20"/>
  <c r="H149" i="20"/>
  <c r="H93" i="20"/>
  <c r="H23" i="20"/>
  <c r="H94" i="20"/>
  <c r="H53" i="20"/>
  <c r="H95" i="20"/>
  <c r="H54" i="20"/>
  <c r="H131" i="20"/>
  <c r="H96" i="20"/>
  <c r="H192" i="20"/>
  <c r="H18" i="20"/>
  <c r="H27" i="20"/>
  <c r="H193" i="20"/>
  <c r="H19" i="20"/>
  <c r="H3" i="20"/>
  <c r="H184" i="20"/>
  <c r="H4" i="20"/>
  <c r="H5" i="20"/>
  <c r="H124" i="20"/>
  <c r="H24" i="20"/>
  <c r="H97" i="20"/>
  <c r="H10" i="20"/>
  <c r="H9" i="20"/>
  <c r="H98" i="20"/>
  <c r="H125" i="20"/>
  <c r="H22" i="20"/>
  <c r="H6" i="20"/>
  <c r="H126" i="20"/>
  <c r="H150" i="20"/>
  <c r="H11" i="20"/>
  <c r="H133" i="20"/>
  <c r="H12" i="20"/>
  <c r="H29" i="20"/>
  <c r="H201" i="20"/>
  <c r="H134" i="20"/>
  <c r="H127" i="20"/>
  <c r="H180" i="20"/>
  <c r="H13" i="20"/>
  <c r="H151" i="20"/>
  <c r="H181" i="20"/>
  <c r="H14" i="20"/>
  <c r="H135" i="20"/>
  <c r="H152" i="20"/>
  <c r="H153" i="20"/>
  <c r="H15" i="20"/>
  <c r="H20" i="20"/>
  <c r="H25" i="20"/>
  <c r="H136" i="20"/>
  <c r="H132" i="20"/>
  <c r="H137" i="20"/>
  <c r="H99" i="20"/>
  <c r="H100" i="20"/>
  <c r="H182" i="20"/>
  <c r="H21" i="20"/>
  <c r="H101" i="20"/>
  <c r="H102" i="20"/>
  <c r="H55" i="20"/>
  <c r="H30" i="20"/>
  <c r="H103" i="20"/>
  <c r="H139" i="20"/>
  <c r="H154" i="20"/>
  <c r="H104" i="20"/>
  <c r="H155" i="20"/>
  <c r="H105" i="20"/>
  <c r="H140" i="20"/>
  <c r="H141" i="20"/>
  <c r="H106" i="20"/>
  <c r="H107" i="20"/>
  <c r="H56" i="20"/>
  <c r="H187" i="20"/>
  <c r="H163" i="20"/>
  <c r="H188" i="20"/>
  <c r="H142" i="20"/>
  <c r="H156" i="20"/>
  <c r="H39" i="20"/>
  <c r="H108" i="20"/>
  <c r="H109" i="20"/>
  <c r="H8" i="20"/>
  <c r="H157" i="20"/>
  <c r="H110" i="20"/>
  <c r="H111" i="20"/>
  <c r="H43" i="20"/>
  <c r="H40" i="20"/>
  <c r="H158" i="20"/>
  <c r="H185" i="20"/>
  <c r="H159" i="20"/>
  <c r="H202" i="20"/>
  <c r="H7" i="20"/>
  <c r="H160" i="20"/>
  <c r="H203" i="20"/>
  <c r="H112" i="20"/>
  <c r="H57" i="20"/>
  <c r="H113" i="20"/>
  <c r="H58" i="20"/>
  <c r="H114" i="20"/>
  <c r="H59" i="20"/>
  <c r="H115" i="20"/>
  <c r="H60" i="20"/>
  <c r="H168" i="20"/>
  <c r="H41" i="20"/>
  <c r="H116" i="20"/>
  <c r="H42" i="20"/>
  <c r="H117" i="20"/>
  <c r="H118" i="20"/>
  <c r="H183" i="20"/>
  <c r="H119" i="20"/>
  <c r="H138" i="20"/>
  <c r="H128" i="20"/>
  <c r="H161" i="20"/>
  <c r="H120" i="20"/>
  <c r="H162" i="20"/>
  <c r="H16" i="20"/>
  <c r="H204" i="20"/>
  <c r="H26" i="20"/>
  <c r="H28" i="20"/>
  <c r="H121" i="20"/>
  <c r="H122" i="20"/>
  <c r="H164" i="20"/>
  <c r="H61" i="20"/>
  <c r="A24" i="14"/>
  <c r="A25" i="14"/>
  <c r="W19" i="19"/>
  <c r="K32" i="19"/>
  <c r="K33" i="19"/>
  <c r="L34" i="19"/>
  <c r="H27" i="19"/>
  <c r="H14" i="19"/>
  <c r="H15" i="19"/>
  <c r="H5" i="19"/>
  <c r="H23" i="19"/>
  <c r="H3" i="19"/>
  <c r="H30" i="19"/>
  <c r="H24" i="19"/>
  <c r="H8" i="19"/>
  <c r="H2" i="19"/>
  <c r="H9" i="19"/>
  <c r="H31" i="19"/>
  <c r="H25" i="19"/>
  <c r="H32" i="19"/>
  <c r="H16" i="19"/>
  <c r="H17" i="19"/>
  <c r="H18" i="19"/>
  <c r="H12" i="19"/>
  <c r="H22" i="19"/>
  <c r="H33" i="19"/>
  <c r="H4" i="19"/>
  <c r="H19" i="19"/>
  <c r="H11" i="19"/>
  <c r="H10" i="19"/>
  <c r="H7" i="19"/>
  <c r="H26" i="19"/>
  <c r="H6" i="19"/>
  <c r="H28" i="19"/>
  <c r="H20" i="19"/>
  <c r="H21" i="19"/>
  <c r="H13" i="19"/>
  <c r="H29" i="19"/>
  <c r="K23" i="19"/>
  <c r="K24" i="19"/>
  <c r="K25" i="19"/>
  <c r="K26" i="19"/>
  <c r="K27" i="19"/>
  <c r="K28" i="19"/>
  <c r="K29" i="19"/>
  <c r="K30" i="19"/>
  <c r="K31" i="19"/>
  <c r="K14" i="19"/>
  <c r="K15" i="19"/>
  <c r="K16" i="19"/>
  <c r="K17" i="19"/>
  <c r="K18" i="19"/>
  <c r="K19" i="19"/>
  <c r="K20" i="19"/>
  <c r="K21" i="19"/>
  <c r="K22" i="19"/>
  <c r="K12" i="19"/>
  <c r="K13" i="19"/>
  <c r="K11" i="19"/>
  <c r="K8" i="19"/>
  <c r="K9" i="19"/>
  <c r="K10" i="19"/>
  <c r="K6" i="19"/>
  <c r="K7" i="19"/>
  <c r="K3" i="19"/>
  <c r="K4" i="19"/>
  <c r="K5" i="19"/>
  <c r="K2" i="19"/>
  <c r="W19" i="18"/>
  <c r="K3" i="18"/>
  <c r="K4" i="18"/>
  <c r="K5" i="18"/>
  <c r="K6" i="18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H2" i="18"/>
  <c r="H4" i="18"/>
  <c r="H8" i="18"/>
  <c r="H6" i="18"/>
  <c r="H49" i="18"/>
  <c r="H48" i="18"/>
  <c r="H50" i="18"/>
  <c r="H23" i="18"/>
  <c r="H24" i="18"/>
  <c r="H69" i="18"/>
  <c r="H7" i="18"/>
  <c r="H25" i="18"/>
  <c r="H26" i="18"/>
  <c r="H17" i="18"/>
  <c r="H11" i="18"/>
  <c r="H27" i="18"/>
  <c r="H52" i="18"/>
  <c r="H57" i="18"/>
  <c r="H28" i="18"/>
  <c r="H58" i="18"/>
  <c r="H53" i="18"/>
  <c r="H54" i="18"/>
  <c r="H29" i="18"/>
  <c r="H30" i="18"/>
  <c r="H18" i="18"/>
  <c r="H31" i="18"/>
  <c r="H72" i="18"/>
  <c r="H66" i="18"/>
  <c r="H73" i="18"/>
  <c r="H55" i="18"/>
  <c r="H59" i="18"/>
  <c r="H12" i="18"/>
  <c r="H32" i="18"/>
  <c r="H33" i="18"/>
  <c r="H3" i="18"/>
  <c r="H60" i="18"/>
  <c r="H34" i="18"/>
  <c r="H35" i="18"/>
  <c r="H16" i="18"/>
  <c r="H13" i="18"/>
  <c r="H61" i="18"/>
  <c r="H71" i="18"/>
  <c r="H62" i="18"/>
  <c r="H74" i="18"/>
  <c r="H63" i="18"/>
  <c r="H75" i="18"/>
  <c r="H36" i="18"/>
  <c r="H19" i="18"/>
  <c r="H37" i="18"/>
  <c r="H20" i="18"/>
  <c r="H38" i="18"/>
  <c r="H21" i="18"/>
  <c r="H22" i="18"/>
  <c r="H39" i="18"/>
  <c r="H68" i="18"/>
  <c r="H14" i="18"/>
  <c r="H40" i="18"/>
  <c r="H15" i="18"/>
  <c r="H41" i="18"/>
  <c r="H42" i="18"/>
  <c r="H70" i="18"/>
  <c r="H43" i="18"/>
  <c r="H51" i="18"/>
  <c r="H47" i="18"/>
  <c r="H64" i="18"/>
  <c r="H44" i="18"/>
  <c r="H65" i="18"/>
  <c r="H5" i="18"/>
  <c r="H76" i="18"/>
  <c r="H9" i="18"/>
  <c r="H10" i="18"/>
  <c r="H45" i="18"/>
  <c r="H46" i="18"/>
  <c r="H67" i="18"/>
  <c r="H56" i="18"/>
  <c r="L77" i="18"/>
  <c r="K2" i="18"/>
  <c r="W19" i="17"/>
  <c r="L13" i="17"/>
  <c r="K12" i="17"/>
  <c r="H11" i="17"/>
  <c r="K10" i="17"/>
  <c r="K11" i="17"/>
  <c r="H12" i="17"/>
  <c r="H6" i="17"/>
  <c r="K4" i="17"/>
  <c r="K5" i="17"/>
  <c r="K6" i="17"/>
  <c r="K7" i="17"/>
  <c r="K8" i="17"/>
  <c r="K9" i="17"/>
  <c r="H9" i="17"/>
  <c r="H5" i="17"/>
  <c r="H4" i="17"/>
  <c r="H8" i="17"/>
  <c r="H7" i="17"/>
  <c r="H3" i="17"/>
  <c r="K2" i="17"/>
  <c r="K3" i="17"/>
  <c r="H10" i="17"/>
  <c r="H2" i="17"/>
  <c r="W19" i="15"/>
  <c r="K2" i="15"/>
  <c r="K3" i="15"/>
  <c r="K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H4" i="15"/>
  <c r="H11" i="15"/>
  <c r="H31" i="15"/>
  <c r="H12" i="15"/>
  <c r="H5" i="15"/>
  <c r="H25" i="15"/>
  <c r="H13" i="15"/>
  <c r="H6" i="15"/>
  <c r="H2" i="15"/>
  <c r="H14" i="15"/>
  <c r="H26" i="15"/>
  <c r="H24" i="15"/>
  <c r="H27" i="15"/>
  <c r="H15" i="15"/>
  <c r="H28" i="15"/>
  <c r="H16" i="15"/>
  <c r="H29" i="15"/>
  <c r="H7" i="15"/>
  <c r="H30" i="15"/>
  <c r="H17" i="15"/>
  <c r="H18" i="15"/>
  <c r="H8" i="15"/>
  <c r="H21" i="15"/>
  <c r="H3" i="15"/>
  <c r="H19" i="15"/>
  <c r="H9" i="15"/>
  <c r="H20" i="15"/>
  <c r="H22" i="15"/>
  <c r="H23" i="15"/>
  <c r="H10" i="15"/>
  <c r="L32" i="15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5" i="14"/>
  <c r="X42" i="13"/>
  <c r="L191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2" i="13"/>
  <c r="K187" i="13"/>
  <c r="K42" i="13"/>
  <c r="K43" i="13"/>
  <c r="K46" i="13"/>
  <c r="K47" i="13"/>
  <c r="K51" i="13"/>
  <c r="K52" i="13"/>
  <c r="K68" i="13"/>
  <c r="K69" i="13"/>
  <c r="K122" i="13"/>
  <c r="K123" i="13"/>
  <c r="K128" i="13"/>
  <c r="K129" i="13"/>
  <c r="K130" i="13"/>
  <c r="K131" i="13"/>
  <c r="K141" i="13"/>
  <c r="K142" i="13"/>
  <c r="K150" i="13"/>
  <c r="K151" i="13"/>
  <c r="K162" i="13"/>
  <c r="K163" i="13"/>
  <c r="K166" i="13"/>
  <c r="K167" i="13"/>
  <c r="K169" i="13"/>
  <c r="K170" i="13"/>
  <c r="K171" i="13"/>
  <c r="K172" i="13"/>
  <c r="K185" i="13"/>
  <c r="K186" i="13"/>
  <c r="K188" i="13"/>
  <c r="K34" i="13"/>
  <c r="K35" i="13"/>
  <c r="K36" i="13"/>
  <c r="K44" i="13"/>
  <c r="K53" i="13"/>
  <c r="K70" i="13"/>
  <c r="K124" i="13"/>
  <c r="K132" i="13"/>
  <c r="K143" i="13"/>
  <c r="K152" i="13"/>
  <c r="K164" i="13"/>
  <c r="K173" i="13"/>
  <c r="K189" i="13"/>
  <c r="K4" i="13"/>
  <c r="K5" i="13"/>
  <c r="K6" i="13"/>
  <c r="K7" i="13"/>
  <c r="K37" i="13"/>
  <c r="K45" i="13"/>
  <c r="K54" i="13"/>
  <c r="K71" i="13"/>
  <c r="K133" i="13"/>
  <c r="K144" i="13"/>
  <c r="K153" i="13"/>
  <c r="K174" i="13"/>
  <c r="K8" i="13"/>
  <c r="K55" i="13"/>
  <c r="K72" i="13"/>
  <c r="K134" i="13"/>
  <c r="K145" i="13"/>
  <c r="K154" i="13"/>
  <c r="K175" i="13"/>
  <c r="K9" i="13"/>
  <c r="K56" i="13"/>
  <c r="K73" i="13"/>
  <c r="K135" i="13"/>
  <c r="K146" i="13"/>
  <c r="K155" i="13"/>
  <c r="K176" i="13"/>
  <c r="K10" i="13"/>
  <c r="K57" i="13"/>
  <c r="K74" i="13"/>
  <c r="K136" i="13"/>
  <c r="K147" i="13"/>
  <c r="K156" i="13"/>
  <c r="K177" i="13"/>
  <c r="K11" i="13"/>
  <c r="K58" i="13"/>
  <c r="K75" i="13"/>
  <c r="K137" i="13"/>
  <c r="K148" i="13"/>
  <c r="K157" i="13"/>
  <c r="K178" i="13"/>
  <c r="K12" i="13"/>
  <c r="K59" i="13"/>
  <c r="K76" i="13"/>
  <c r="K77" i="13"/>
  <c r="K60" i="13"/>
  <c r="K61" i="13"/>
  <c r="K78" i="13"/>
  <c r="K138" i="13"/>
  <c r="K139" i="13"/>
  <c r="K140" i="13"/>
  <c r="K158" i="13"/>
  <c r="K159" i="13"/>
  <c r="K160" i="13"/>
  <c r="K179" i="13"/>
  <c r="K180" i="13"/>
  <c r="K181" i="13"/>
  <c r="K13" i="13"/>
  <c r="K14" i="13"/>
  <c r="K15" i="13"/>
  <c r="K62" i="13"/>
  <c r="K79" i="13"/>
  <c r="K63" i="13"/>
  <c r="K80" i="13"/>
  <c r="K182" i="13"/>
  <c r="K183" i="13"/>
  <c r="K16" i="13"/>
  <c r="K17" i="13"/>
  <c r="K64" i="13"/>
  <c r="K81" i="13"/>
  <c r="K184" i="13"/>
  <c r="K65" i="13"/>
  <c r="K82" i="13"/>
  <c r="K66" i="13"/>
  <c r="K83" i="13"/>
  <c r="K67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5" i="13"/>
  <c r="K126" i="13"/>
  <c r="K127" i="13"/>
  <c r="K149" i="13"/>
  <c r="K190" i="13"/>
  <c r="K28" i="13"/>
  <c r="K31" i="13"/>
  <c r="K33" i="13"/>
  <c r="K38" i="13"/>
  <c r="K39" i="13"/>
  <c r="K40" i="13"/>
  <c r="K41" i="13"/>
  <c r="K48" i="13"/>
  <c r="K161" i="13"/>
  <c r="K165" i="13"/>
  <c r="K3" i="13"/>
  <c r="K18" i="13"/>
  <c r="K19" i="13"/>
  <c r="K20" i="13"/>
  <c r="K21" i="13"/>
  <c r="K22" i="13"/>
  <c r="K49" i="13"/>
  <c r="K23" i="13"/>
  <c r="K25" i="13"/>
  <c r="K168" i="13"/>
  <c r="K32" i="13"/>
  <c r="K24" i="13"/>
  <c r="K29" i="13"/>
  <c r="K30" i="13"/>
  <c r="K50" i="13"/>
  <c r="K26" i="13"/>
  <c r="E11" i="12"/>
  <c r="E10" i="12"/>
  <c r="E9" i="12"/>
  <c r="E8" i="12"/>
  <c r="E7" i="12"/>
  <c r="E6" i="12"/>
  <c r="E5" i="12"/>
  <c r="E4" i="12"/>
  <c r="E3" i="12"/>
  <c r="E2" i="12"/>
  <c r="AB52" i="7"/>
  <c r="L271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H3" i="7"/>
  <c r="H4" i="7"/>
  <c r="H5" i="7"/>
  <c r="H6" i="7"/>
  <c r="H7" i="7"/>
  <c r="H8" i="7"/>
  <c r="H20" i="7"/>
  <c r="H21" i="7"/>
  <c r="H22" i="7"/>
  <c r="H26" i="7"/>
  <c r="H27" i="7"/>
  <c r="H31" i="7"/>
  <c r="H35" i="7"/>
  <c r="H36" i="7"/>
  <c r="H37" i="7"/>
  <c r="H38" i="7"/>
  <c r="H39" i="7"/>
  <c r="H40" i="7"/>
  <c r="H41" i="7"/>
  <c r="H42" i="7"/>
  <c r="H43" i="7"/>
  <c r="H44" i="7"/>
  <c r="H45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64" i="7"/>
  <c r="H165" i="7"/>
  <c r="H170" i="7"/>
  <c r="H171" i="7"/>
  <c r="H172" i="7"/>
  <c r="H174" i="7"/>
  <c r="H181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17" i="7"/>
  <c r="H220" i="7"/>
  <c r="H221" i="7"/>
  <c r="H222" i="7"/>
  <c r="H223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42" i="7"/>
  <c r="H244" i="7"/>
  <c r="H245" i="7"/>
  <c r="H246" i="7"/>
  <c r="H247" i="7"/>
  <c r="H248" i="7"/>
  <c r="H249" i="7"/>
  <c r="H250" i="7"/>
  <c r="H251" i="7"/>
  <c r="H254" i="7"/>
  <c r="H265" i="7"/>
  <c r="H266" i="7"/>
  <c r="H260" i="7"/>
  <c r="H261" i="7"/>
  <c r="H262" i="7"/>
  <c r="H263" i="7"/>
  <c r="H264" i="7"/>
  <c r="H255" i="7"/>
  <c r="H256" i="7"/>
  <c r="H257" i="7"/>
  <c r="H258" i="7"/>
  <c r="H259" i="7"/>
  <c r="H28" i="7"/>
  <c r="H138" i="7"/>
  <c r="H13" i="7"/>
  <c r="H12" i="7"/>
  <c r="H139" i="7"/>
  <c r="H166" i="7"/>
  <c r="H25" i="7"/>
  <c r="H9" i="7"/>
  <c r="H167" i="7"/>
  <c r="H204" i="7"/>
  <c r="H14" i="7"/>
  <c r="H175" i="7"/>
  <c r="H15" i="7"/>
  <c r="H33" i="7"/>
  <c r="H267" i="7"/>
  <c r="H176" i="7"/>
  <c r="H168" i="7"/>
  <c r="H238" i="7"/>
  <c r="H16" i="7"/>
  <c r="H205" i="7"/>
  <c r="H239" i="7"/>
  <c r="H17" i="7"/>
  <c r="H177" i="7"/>
  <c r="H206" i="7"/>
  <c r="H207" i="7"/>
  <c r="H18" i="7"/>
  <c r="H23" i="7"/>
  <c r="H29" i="7"/>
  <c r="H178" i="7"/>
  <c r="H173" i="7"/>
  <c r="H179" i="7"/>
  <c r="H140" i="7"/>
  <c r="H141" i="7"/>
  <c r="H240" i="7"/>
  <c r="H24" i="7"/>
  <c r="H142" i="7"/>
  <c r="H143" i="7"/>
  <c r="H76" i="7"/>
  <c r="H34" i="7"/>
  <c r="H144" i="7"/>
  <c r="H182" i="7"/>
  <c r="H208" i="7"/>
  <c r="H145" i="7"/>
  <c r="H209" i="7"/>
  <c r="H146" i="7"/>
  <c r="H183" i="7"/>
  <c r="H184" i="7"/>
  <c r="H147" i="7"/>
  <c r="H148" i="7"/>
  <c r="H77" i="7"/>
  <c r="H252" i="7"/>
  <c r="H218" i="7"/>
  <c r="H253" i="7"/>
  <c r="H185" i="7"/>
  <c r="H210" i="7"/>
  <c r="H46" i="7"/>
  <c r="H149" i="7"/>
  <c r="H150" i="7"/>
  <c r="H11" i="7"/>
  <c r="H211" i="7"/>
  <c r="H151" i="7"/>
  <c r="H152" i="7"/>
  <c r="H50" i="7"/>
  <c r="H47" i="7"/>
  <c r="H212" i="7"/>
  <c r="H243" i="7"/>
  <c r="H213" i="7"/>
  <c r="H268" i="7"/>
  <c r="H10" i="7"/>
  <c r="H214" i="7"/>
  <c r="H269" i="7"/>
  <c r="H153" i="7"/>
  <c r="H78" i="7"/>
  <c r="H154" i="7"/>
  <c r="H79" i="7"/>
  <c r="H155" i="7"/>
  <c r="H80" i="7"/>
  <c r="H156" i="7"/>
  <c r="H81" i="7"/>
  <c r="H224" i="7"/>
  <c r="H48" i="7"/>
  <c r="H157" i="7"/>
  <c r="H49" i="7"/>
  <c r="H158" i="7"/>
  <c r="H159" i="7"/>
  <c r="H241" i="7"/>
  <c r="H160" i="7"/>
  <c r="H180" i="7"/>
  <c r="H169" i="7"/>
  <c r="H215" i="7"/>
  <c r="H161" i="7"/>
  <c r="H216" i="7"/>
  <c r="H19" i="7"/>
  <c r="H270" i="7"/>
  <c r="H30" i="7"/>
  <c r="H32" i="7"/>
  <c r="H162" i="7"/>
  <c r="H163" i="7"/>
  <c r="H219" i="7"/>
  <c r="H2" i="7"/>
  <c r="K5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52" i="7"/>
  <c r="K118" i="7"/>
  <c r="K3" i="7"/>
  <c r="K53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54" i="7"/>
  <c r="K26" i="7"/>
  <c r="K13" i="7"/>
  <c r="K55" i="7"/>
  <c r="K56" i="7"/>
  <c r="K57" i="7"/>
  <c r="K2" i="7"/>
  <c r="K58" i="7"/>
  <c r="K28" i="7"/>
  <c r="K59" i="7"/>
  <c r="K29" i="7"/>
  <c r="K4" i="7"/>
  <c r="K60" i="7"/>
  <c r="K30" i="7"/>
  <c r="K61" i="7"/>
  <c r="K133" i="7"/>
  <c r="K134" i="7"/>
  <c r="K135" i="7"/>
  <c r="K136" i="7"/>
  <c r="K137" i="7"/>
  <c r="K138" i="7"/>
  <c r="K139" i="7"/>
  <c r="K62" i="7"/>
  <c r="K140" i="7"/>
  <c r="K31" i="7"/>
  <c r="K32" i="7"/>
  <c r="K63" i="7"/>
  <c r="K14" i="7"/>
  <c r="K15" i="7"/>
  <c r="K16" i="7"/>
  <c r="K64" i="7"/>
  <c r="K33" i="7"/>
  <c r="K65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66" i="7"/>
  <c r="K34" i="7"/>
  <c r="K67" i="7"/>
  <c r="K35" i="7"/>
  <c r="K17" i="7"/>
  <c r="K68" i="7"/>
  <c r="K69" i="7"/>
  <c r="K70" i="7"/>
  <c r="K36" i="7"/>
  <c r="K71" i="7"/>
  <c r="K72" i="7"/>
  <c r="K37" i="7"/>
  <c r="K18" i="7"/>
  <c r="K73" i="7"/>
  <c r="K38" i="7"/>
  <c r="K74" i="7"/>
  <c r="K75" i="7"/>
  <c r="K5" i="7"/>
  <c r="K6" i="7"/>
  <c r="K7" i="7"/>
  <c r="K8" i="7"/>
  <c r="K9" i="7"/>
  <c r="K76" i="7"/>
  <c r="K19" i="7"/>
  <c r="K77" i="7"/>
  <c r="K78" i="7"/>
  <c r="K39" i="7"/>
  <c r="K79" i="7"/>
  <c r="K80" i="7"/>
  <c r="K40" i="7"/>
  <c r="K81" i="7"/>
  <c r="K41" i="7"/>
  <c r="K42" i="7"/>
  <c r="K43" i="7"/>
  <c r="K160" i="7"/>
  <c r="K44" i="7"/>
  <c r="K45" i="7"/>
  <c r="K46" i="7"/>
  <c r="K20" i="7"/>
  <c r="K47" i="7"/>
  <c r="K161" i="7"/>
  <c r="K25" i="7"/>
  <c r="K21" i="7"/>
  <c r="K22" i="7"/>
  <c r="K23" i="7"/>
  <c r="K162" i="7"/>
  <c r="K163" i="7"/>
  <c r="K164" i="7"/>
  <c r="K165" i="7"/>
  <c r="K166" i="7"/>
  <c r="K167" i="7"/>
  <c r="K168" i="7"/>
  <c r="K24" i="7"/>
  <c r="K169" i="7"/>
  <c r="K48" i="7"/>
  <c r="K12" i="7"/>
  <c r="K49" i="7"/>
  <c r="K50" i="7"/>
  <c r="K10" i="7"/>
  <c r="K11" i="7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00" i="6"/>
  <c r="S201" i="6"/>
  <c r="S202" i="6"/>
  <c r="S203" i="6"/>
  <c r="S204" i="6"/>
  <c r="S205" i="6"/>
  <c r="S206" i="6"/>
  <c r="S207" i="6"/>
  <c r="S208" i="6"/>
  <c r="S209" i="6"/>
  <c r="S210" i="6"/>
  <c r="S211" i="6"/>
  <c r="S212" i="6"/>
  <c r="S213" i="6"/>
  <c r="S214" i="6"/>
  <c r="S215" i="6"/>
  <c r="S216" i="6"/>
  <c r="S217" i="6"/>
  <c r="S218" i="6"/>
  <c r="S219" i="6"/>
  <c r="S220" i="6"/>
  <c r="S221" i="6"/>
  <c r="S222" i="6"/>
  <c r="S223" i="6"/>
  <c r="S224" i="6"/>
  <c r="S225" i="6"/>
  <c r="S226" i="6"/>
  <c r="S227" i="6"/>
  <c r="S228" i="6"/>
  <c r="S229" i="6"/>
  <c r="S230" i="6"/>
  <c r="S231" i="6"/>
  <c r="S232" i="6"/>
  <c r="S233" i="6"/>
  <c r="S234" i="6"/>
  <c r="S235" i="6"/>
  <c r="S236" i="6"/>
  <c r="S237" i="6"/>
  <c r="S238" i="6"/>
  <c r="S239" i="6"/>
  <c r="S240" i="6"/>
  <c r="S241" i="6"/>
  <c r="S242" i="6"/>
  <c r="S243" i="6"/>
  <c r="S244" i="6"/>
  <c r="S245" i="6"/>
  <c r="S246" i="6"/>
  <c r="S247" i="6"/>
  <c r="S248" i="6"/>
  <c r="S249" i="6"/>
  <c r="S250" i="6"/>
  <c r="S251" i="6"/>
  <c r="S252" i="6"/>
  <c r="S253" i="6"/>
  <c r="S254" i="6"/>
  <c r="S255" i="6"/>
  <c r="S256" i="6"/>
  <c r="S257" i="6"/>
  <c r="S258" i="6"/>
  <c r="S259" i="6"/>
  <c r="S260" i="6"/>
  <c r="S261" i="6"/>
  <c r="S262" i="6"/>
  <c r="S263" i="6"/>
  <c r="S264" i="6"/>
  <c r="S265" i="6"/>
  <c r="S266" i="6"/>
  <c r="S267" i="6"/>
  <c r="S268" i="6"/>
  <c r="S269" i="6"/>
  <c r="S270" i="6"/>
  <c r="S271" i="6"/>
  <c r="S272" i="6"/>
  <c r="S273" i="6"/>
  <c r="S274" i="6"/>
  <c r="S275" i="6"/>
  <c r="S276" i="6"/>
  <c r="S277" i="6"/>
  <c r="S278" i="6"/>
  <c r="S279" i="6"/>
  <c r="S280" i="6"/>
  <c r="S281" i="6"/>
  <c r="S282" i="6"/>
  <c r="S283" i="6"/>
  <c r="S284" i="6"/>
  <c r="S285" i="6"/>
  <c r="S286" i="6"/>
  <c r="S287" i="6"/>
  <c r="S288" i="6"/>
  <c r="S289" i="6"/>
  <c r="S290" i="6"/>
  <c r="S291" i="6"/>
  <c r="S292" i="6"/>
  <c r="S293" i="6"/>
  <c r="S294" i="6"/>
  <c r="S295" i="6"/>
  <c r="S296" i="6"/>
  <c r="S297" i="6"/>
  <c r="S298" i="6"/>
  <c r="S299" i="6"/>
  <c r="S300" i="6"/>
  <c r="S301" i="6"/>
  <c r="S302" i="6"/>
  <c r="S303" i="6"/>
  <c r="S304" i="6"/>
  <c r="S305" i="6"/>
  <c r="S306" i="6"/>
  <c r="S307" i="6"/>
  <c r="S308" i="6"/>
  <c r="S309" i="6"/>
  <c r="S310" i="6"/>
  <c r="S311" i="6"/>
  <c r="S312" i="6"/>
  <c r="S313" i="6"/>
  <c r="S314" i="6"/>
  <c r="S315" i="6"/>
  <c r="S316" i="6"/>
  <c r="S317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S348" i="6"/>
  <c r="S349" i="6"/>
  <c r="S350" i="6"/>
  <c r="S351" i="6"/>
  <c r="S352" i="6"/>
  <c r="S353" i="6"/>
  <c r="S354" i="6"/>
  <c r="S355" i="6"/>
  <c r="S356" i="6"/>
  <c r="S357" i="6"/>
  <c r="S358" i="6"/>
  <c r="S359" i="6"/>
  <c r="S360" i="6"/>
  <c r="S361" i="6"/>
  <c r="S362" i="6"/>
  <c r="S363" i="6"/>
  <c r="S364" i="6"/>
  <c r="S365" i="6"/>
  <c r="S366" i="6"/>
  <c r="S367" i="6"/>
  <c r="S368" i="6"/>
  <c r="S369" i="6"/>
  <c r="S370" i="6"/>
  <c r="S371" i="6"/>
  <c r="S372" i="6"/>
  <c r="S373" i="6"/>
  <c r="S374" i="6"/>
  <c r="S375" i="6"/>
  <c r="S376" i="6"/>
  <c r="S377" i="6"/>
  <c r="S378" i="6"/>
  <c r="S379" i="6"/>
  <c r="S380" i="6"/>
  <c r="S381" i="6"/>
  <c r="S382" i="6"/>
  <c r="S383" i="6"/>
  <c r="S384" i="6"/>
  <c r="S385" i="6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0" i="6"/>
  <c r="S471" i="6"/>
  <c r="S472" i="6"/>
  <c r="S473" i="6"/>
  <c r="S474" i="6"/>
  <c r="S475" i="6"/>
  <c r="S476" i="6"/>
  <c r="S477" i="6"/>
  <c r="S478" i="6"/>
  <c r="S479" i="6"/>
  <c r="S480" i="6"/>
  <c r="S481" i="6"/>
  <c r="S482" i="6"/>
  <c r="S483" i="6"/>
  <c r="S484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590" i="6"/>
  <c r="S591" i="6"/>
  <c r="S592" i="6"/>
  <c r="S593" i="6"/>
  <c r="S594" i="6"/>
  <c r="S595" i="6"/>
  <c r="S596" i="6"/>
  <c r="S597" i="6"/>
  <c r="S598" i="6"/>
  <c r="S599" i="6"/>
  <c r="S2" i="6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R532" i="6"/>
  <c r="R533" i="6"/>
  <c r="R534" i="6"/>
  <c r="R535" i="6"/>
  <c r="R536" i="6"/>
  <c r="R537" i="6"/>
  <c r="R538" i="6"/>
  <c r="R539" i="6"/>
  <c r="R540" i="6"/>
  <c r="R541" i="6"/>
  <c r="R542" i="6"/>
  <c r="R543" i="6"/>
  <c r="R544" i="6"/>
  <c r="R545" i="6"/>
  <c r="R546" i="6"/>
  <c r="R547" i="6"/>
  <c r="R548" i="6"/>
  <c r="R549" i="6"/>
  <c r="R550" i="6"/>
  <c r="R551" i="6"/>
  <c r="R552" i="6"/>
  <c r="R553" i="6"/>
  <c r="R554" i="6"/>
  <c r="R555" i="6"/>
  <c r="R556" i="6"/>
  <c r="R557" i="6"/>
  <c r="R558" i="6"/>
  <c r="R559" i="6"/>
  <c r="R560" i="6"/>
  <c r="R561" i="6"/>
  <c r="R562" i="6"/>
  <c r="R563" i="6"/>
  <c r="R564" i="6"/>
  <c r="R565" i="6"/>
  <c r="R566" i="6"/>
  <c r="R567" i="6"/>
  <c r="R568" i="6"/>
  <c r="R569" i="6"/>
  <c r="R570" i="6"/>
  <c r="R571" i="6"/>
  <c r="R572" i="6"/>
  <c r="R573" i="6"/>
  <c r="R574" i="6"/>
  <c r="R575" i="6"/>
  <c r="R576" i="6"/>
  <c r="R577" i="6"/>
  <c r="R578" i="6"/>
  <c r="R579" i="6"/>
  <c r="R580" i="6"/>
  <c r="R581" i="6"/>
  <c r="R582" i="6"/>
  <c r="R583" i="6"/>
  <c r="R584" i="6"/>
  <c r="R585" i="6"/>
  <c r="R586" i="6"/>
  <c r="R587" i="6"/>
  <c r="R588" i="6"/>
  <c r="R589" i="6"/>
  <c r="R590" i="6"/>
  <c r="R591" i="6"/>
  <c r="R592" i="6"/>
  <c r="R593" i="6"/>
  <c r="R594" i="6"/>
  <c r="R595" i="6"/>
  <c r="R596" i="6"/>
  <c r="R597" i="6"/>
  <c r="R598" i="6"/>
  <c r="R599" i="6"/>
  <c r="R2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Q504" i="6"/>
  <c r="Q505" i="6"/>
  <c r="Q506" i="6"/>
  <c r="Q512" i="6"/>
  <c r="Q513" i="6"/>
  <c r="Q514" i="6"/>
  <c r="Q515" i="6"/>
  <c r="Q516" i="6"/>
  <c r="Q517" i="6"/>
  <c r="Q518" i="6"/>
  <c r="Q519" i="6"/>
  <c r="Q520" i="6"/>
  <c r="Q521" i="6"/>
  <c r="Q522" i="6"/>
  <c r="Q523" i="6"/>
  <c r="Q524" i="6"/>
  <c r="Q525" i="6"/>
  <c r="Q526" i="6"/>
  <c r="Q527" i="6"/>
  <c r="Q528" i="6"/>
  <c r="Q529" i="6"/>
  <c r="Q530" i="6"/>
  <c r="Q531" i="6"/>
  <c r="Q532" i="6"/>
  <c r="Q533" i="6"/>
  <c r="Q534" i="6"/>
  <c r="Q535" i="6"/>
  <c r="Q536" i="6"/>
  <c r="Q537" i="6"/>
  <c r="Q538" i="6"/>
  <c r="Q539" i="6"/>
  <c r="Q540" i="6"/>
  <c r="Q541" i="6"/>
  <c r="Q542" i="6"/>
  <c r="Q543" i="6"/>
  <c r="Q544" i="6"/>
  <c r="Q545" i="6"/>
  <c r="Q546" i="6"/>
  <c r="Q547" i="6"/>
  <c r="Q548" i="6"/>
  <c r="Q549" i="6"/>
  <c r="Q550" i="6"/>
  <c r="Q551" i="6"/>
  <c r="Q552" i="6"/>
  <c r="Q553" i="6"/>
  <c r="Q554" i="6"/>
  <c r="Q555" i="6"/>
  <c r="Q556" i="6"/>
  <c r="Q557" i="6"/>
  <c r="Q558" i="6"/>
  <c r="Q559" i="6"/>
  <c r="Q560" i="6"/>
  <c r="Q561" i="6"/>
  <c r="Q562" i="6"/>
  <c r="Q563" i="6"/>
  <c r="Q564" i="6"/>
  <c r="Q565" i="6"/>
  <c r="Q566" i="6"/>
  <c r="Q567" i="6"/>
  <c r="Q568" i="6"/>
  <c r="Q569" i="6"/>
  <c r="Q570" i="6"/>
  <c r="Q571" i="6"/>
  <c r="Q572" i="6"/>
  <c r="Q573" i="6"/>
  <c r="Q574" i="6"/>
  <c r="Q575" i="6"/>
  <c r="Q576" i="6"/>
  <c r="Q577" i="6"/>
  <c r="Q578" i="6"/>
  <c r="Q579" i="6"/>
  <c r="Q580" i="6"/>
  <c r="Q581" i="6"/>
  <c r="Q582" i="6"/>
  <c r="Q583" i="6"/>
  <c r="Q584" i="6"/>
  <c r="Q585" i="6"/>
  <c r="Q586" i="6"/>
  <c r="Q587" i="6"/>
  <c r="Q588" i="6"/>
  <c r="Q589" i="6"/>
  <c r="Q590" i="6"/>
  <c r="Q591" i="6"/>
  <c r="Q592" i="6"/>
  <c r="Q593" i="6"/>
  <c r="Q594" i="6"/>
  <c r="Q595" i="6"/>
  <c r="Q596" i="6"/>
  <c r="Q597" i="6"/>
  <c r="Q598" i="6"/>
  <c r="Q599" i="6"/>
  <c r="Q2" i="6"/>
  <c r="L174" i="10"/>
  <c r="H164" i="10"/>
  <c r="H5" i="10"/>
  <c r="H79" i="10"/>
  <c r="Q5" i="10"/>
  <c r="H169" i="10"/>
  <c r="H6" i="10"/>
  <c r="Q6" i="10"/>
  <c r="H80" i="10"/>
  <c r="H7" i="10"/>
  <c r="Q7" i="10"/>
  <c r="H81" i="10"/>
  <c r="H8" i="10"/>
  <c r="Q8" i="10"/>
  <c r="H32" i="10"/>
  <c r="H9" i="10"/>
  <c r="Q9" i="10"/>
  <c r="H161" i="10"/>
  <c r="H10" i="10"/>
  <c r="Q10" i="10"/>
  <c r="H82" i="10"/>
  <c r="H11" i="10"/>
  <c r="Q11" i="10"/>
  <c r="H83" i="10"/>
  <c r="H12" i="10"/>
  <c r="Q12" i="10"/>
  <c r="H33" i="10"/>
  <c r="H13" i="10"/>
  <c r="Q13" i="10"/>
  <c r="H84" i="10"/>
  <c r="H14" i="10"/>
  <c r="Q14" i="10"/>
  <c r="H34" i="10"/>
  <c r="H15" i="10"/>
  <c r="Q15" i="10"/>
  <c r="H85" i="10"/>
  <c r="H17" i="10"/>
  <c r="H16" i="10"/>
  <c r="Q16" i="10"/>
  <c r="H35" i="10"/>
  <c r="Q17" i="10"/>
  <c r="H162" i="10"/>
  <c r="H18" i="10"/>
  <c r="Q18" i="10"/>
  <c r="H86" i="10"/>
  <c r="H19" i="10"/>
  <c r="Q19" i="10"/>
  <c r="H87" i="10"/>
  <c r="H20" i="10"/>
  <c r="Q20" i="10"/>
  <c r="H36" i="10"/>
  <c r="H21" i="10"/>
  <c r="Q21" i="10"/>
  <c r="H88" i="10"/>
  <c r="H22" i="10"/>
  <c r="Q22" i="10"/>
  <c r="H37" i="10"/>
  <c r="H23" i="10"/>
  <c r="Q23" i="10"/>
  <c r="H171" i="10"/>
  <c r="H24" i="10"/>
  <c r="Q24" i="10"/>
  <c r="H89" i="10"/>
  <c r="H25" i="10"/>
  <c r="Q25" i="10"/>
  <c r="H90" i="10"/>
  <c r="H26" i="10"/>
  <c r="Q26" i="10"/>
  <c r="H38" i="10"/>
  <c r="H27" i="10"/>
  <c r="Q27" i="10"/>
  <c r="H91" i="10"/>
  <c r="H28" i="10"/>
  <c r="Q28" i="10"/>
  <c r="H39" i="10"/>
  <c r="H29" i="10"/>
  <c r="Q29" i="10"/>
  <c r="H92" i="10"/>
  <c r="H30" i="10"/>
  <c r="Q30" i="10"/>
  <c r="H40" i="10"/>
  <c r="H31" i="10"/>
  <c r="Q31" i="10"/>
  <c r="H93" i="10"/>
  <c r="Q32" i="10"/>
  <c r="H41" i="10"/>
  <c r="Q33" i="10"/>
  <c r="Q34" i="10"/>
  <c r="H163" i="10"/>
  <c r="Q35" i="10"/>
  <c r="H94" i="10"/>
  <c r="Q36" i="10"/>
  <c r="H42" i="10"/>
  <c r="Q37" i="10"/>
  <c r="H95" i="10"/>
  <c r="Q38" i="10"/>
  <c r="H43" i="10"/>
  <c r="Q39" i="10"/>
  <c r="H96" i="10"/>
  <c r="Q40" i="10"/>
  <c r="H44" i="10"/>
  <c r="Q41" i="10"/>
  <c r="H4" i="10"/>
  <c r="Q42" i="10"/>
  <c r="H97" i="10"/>
  <c r="Q43" i="10"/>
  <c r="Q44" i="10"/>
  <c r="H98" i="10"/>
  <c r="H45" i="10"/>
  <c r="Q45" i="10"/>
  <c r="H99" i="10"/>
  <c r="H46" i="10"/>
  <c r="Q46" i="10"/>
  <c r="H47" i="10"/>
  <c r="Q47" i="10"/>
  <c r="H48" i="10"/>
  <c r="Q48" i="10"/>
  <c r="H100" i="10"/>
  <c r="H49" i="10"/>
  <c r="Q49" i="10"/>
  <c r="H50" i="10"/>
  <c r="Q50" i="10"/>
  <c r="H101" i="10"/>
  <c r="H51" i="10"/>
  <c r="Q51" i="10"/>
  <c r="H52" i="10"/>
  <c r="Q52" i="10"/>
  <c r="H102" i="10"/>
  <c r="H53" i="10"/>
  <c r="Q53" i="10"/>
  <c r="H54" i="10"/>
  <c r="Q54" i="10"/>
  <c r="H103" i="10"/>
  <c r="H55" i="10"/>
  <c r="Q55" i="10"/>
  <c r="H56" i="10"/>
  <c r="Q56" i="10"/>
  <c r="H104" i="10"/>
  <c r="H57" i="10"/>
  <c r="Q57" i="10"/>
  <c r="H58" i="10"/>
  <c r="Q58" i="10"/>
  <c r="H105" i="10"/>
  <c r="H59" i="10"/>
  <c r="Q59" i="10"/>
  <c r="H60" i="10"/>
  <c r="Q60" i="10"/>
  <c r="H106" i="10"/>
  <c r="H61" i="10"/>
  <c r="Q61" i="10"/>
  <c r="H62" i="10"/>
  <c r="Q62" i="10"/>
  <c r="H107" i="10"/>
  <c r="H63" i="10"/>
  <c r="Q63" i="10"/>
  <c r="H108" i="10"/>
  <c r="H64" i="10"/>
  <c r="Q64" i="10"/>
  <c r="H65" i="10"/>
  <c r="Q65" i="10"/>
  <c r="H109" i="10"/>
  <c r="H66" i="10"/>
  <c r="Q66" i="10"/>
  <c r="H67" i="10"/>
  <c r="Q67" i="10"/>
  <c r="H110" i="10"/>
  <c r="H68" i="10"/>
  <c r="Q68" i="10"/>
  <c r="H69" i="10"/>
  <c r="Q69" i="10"/>
  <c r="H170" i="10"/>
  <c r="H70" i="10"/>
  <c r="Q70" i="10"/>
  <c r="H111" i="10"/>
  <c r="H71" i="10"/>
  <c r="Q71" i="10"/>
  <c r="H72" i="10"/>
  <c r="Q72" i="10"/>
  <c r="H112" i="10"/>
  <c r="H73" i="10"/>
  <c r="Q73" i="10"/>
  <c r="H113" i="10"/>
  <c r="H74" i="10"/>
  <c r="Q74" i="10"/>
  <c r="H75" i="10"/>
  <c r="Q75" i="10"/>
  <c r="H114" i="10"/>
  <c r="H76" i="10"/>
  <c r="Q76" i="10"/>
  <c r="H77" i="10"/>
  <c r="Q77" i="10"/>
  <c r="H166" i="10"/>
  <c r="H78" i="10"/>
  <c r="Q78" i="10"/>
  <c r="H115" i="10"/>
  <c r="Q79" i="10"/>
  <c r="Q80" i="10"/>
  <c r="H116" i="10"/>
  <c r="Q81" i="10"/>
  <c r="H167" i="10"/>
  <c r="Q82" i="10"/>
  <c r="H117" i="10"/>
  <c r="Q83" i="10"/>
  <c r="H118" i="10"/>
  <c r="Q84" i="10"/>
  <c r="Q85" i="10"/>
  <c r="H119" i="10"/>
  <c r="Q86" i="10"/>
  <c r="Q87" i="10"/>
  <c r="H120" i="10"/>
  <c r="Q88" i="10"/>
  <c r="Q89" i="10"/>
  <c r="Q90" i="10"/>
  <c r="H121" i="10"/>
  <c r="Q91" i="10"/>
  <c r="H122" i="10"/>
  <c r="Q92" i="10"/>
  <c r="Q93" i="10"/>
  <c r="Q94" i="10"/>
  <c r="H123" i="10"/>
  <c r="Q95" i="10"/>
  <c r="H124" i="10"/>
  <c r="Q96" i="10"/>
  <c r="H168" i="10"/>
  <c r="Q97" i="10"/>
  <c r="H125" i="10"/>
  <c r="Q98" i="10"/>
  <c r="Q99" i="10"/>
  <c r="Q100" i="10"/>
  <c r="H165" i="10"/>
  <c r="Q101" i="10"/>
  <c r="H126" i="10"/>
  <c r="Q102" i="10"/>
  <c r="H127" i="10"/>
  <c r="Q103" i="10"/>
  <c r="H128" i="10"/>
  <c r="Q104" i="10"/>
  <c r="Q105" i="10"/>
  <c r="H172" i="10"/>
  <c r="Q106" i="10"/>
  <c r="H129" i="10"/>
  <c r="Q107" i="10"/>
  <c r="H130" i="10"/>
  <c r="Q108" i="10"/>
  <c r="Q109" i="10"/>
  <c r="H131" i="10"/>
  <c r="Q110" i="10"/>
  <c r="Q111" i="10"/>
  <c r="H132" i="10"/>
  <c r="Q112" i="10"/>
  <c r="Q113" i="10"/>
  <c r="H133" i="10"/>
  <c r="Q114" i="10"/>
  <c r="Q115" i="10"/>
  <c r="H134" i="10"/>
  <c r="Q116" i="10"/>
  <c r="Q117" i="10"/>
  <c r="Q118" i="10"/>
  <c r="H135" i="10"/>
  <c r="Q119" i="10"/>
  <c r="Q120" i="10"/>
  <c r="H136" i="10"/>
  <c r="Q121" i="10"/>
  <c r="H137" i="10"/>
  <c r="Q122" i="10"/>
  <c r="Q123" i="10"/>
  <c r="H138" i="10"/>
  <c r="Q124" i="10"/>
  <c r="Q125" i="10"/>
  <c r="H139" i="10"/>
  <c r="Q126" i="10"/>
  <c r="Q127" i="10"/>
  <c r="H140" i="10"/>
  <c r="Q128" i="10"/>
  <c r="Q129" i="10"/>
  <c r="H141" i="10"/>
  <c r="Q130" i="10"/>
  <c r="Q131" i="10"/>
  <c r="H142" i="10"/>
  <c r="Q132" i="10"/>
  <c r="Q133" i="10"/>
  <c r="H143" i="10"/>
  <c r="Q134" i="10"/>
  <c r="Q135" i="10"/>
  <c r="Q136" i="10"/>
  <c r="H144" i="10"/>
  <c r="Q137" i="10"/>
  <c r="Q138" i="10"/>
  <c r="H145" i="10"/>
  <c r="Q139" i="10"/>
  <c r="Q140" i="10"/>
  <c r="H146" i="10"/>
  <c r="Q141" i="10"/>
  <c r="Q142" i="10"/>
  <c r="H147" i="10"/>
  <c r="Q143" i="10"/>
  <c r="Q144" i="10"/>
  <c r="H148" i="10"/>
  <c r="Q145" i="10"/>
  <c r="Q146" i="10"/>
  <c r="H149" i="10"/>
  <c r="Q147" i="10"/>
  <c r="Q148" i="10"/>
  <c r="Q149" i="10"/>
  <c r="H150" i="10"/>
  <c r="Q150" i="10"/>
  <c r="H151" i="10"/>
  <c r="Q151" i="10"/>
  <c r="H152" i="10"/>
  <c r="Q152" i="10"/>
  <c r="H153" i="10"/>
  <c r="Q153" i="10"/>
  <c r="H154" i="10"/>
  <c r="Q154" i="10"/>
  <c r="H155" i="10"/>
  <c r="Q155" i="10"/>
  <c r="H3" i="10"/>
  <c r="H156" i="10"/>
  <c r="Q156" i="10"/>
  <c r="H157" i="10"/>
  <c r="Q157" i="10"/>
  <c r="H158" i="10"/>
  <c r="Q158" i="10"/>
  <c r="H159" i="10"/>
  <c r="Q159" i="10"/>
  <c r="H160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K17" i="10"/>
  <c r="K18" i="10"/>
  <c r="K78" i="10"/>
  <c r="K79" i="10"/>
  <c r="K169" i="10"/>
  <c r="K80" i="10"/>
  <c r="K81" i="10"/>
  <c r="K161" i="10"/>
  <c r="K82" i="10"/>
  <c r="K83" i="10"/>
  <c r="K84" i="10"/>
  <c r="K85" i="10"/>
  <c r="K162" i="10"/>
  <c r="K86" i="10"/>
  <c r="K87" i="10"/>
  <c r="K88" i="10"/>
  <c r="K171" i="10"/>
  <c r="K89" i="10"/>
  <c r="K90" i="10"/>
  <c r="K91" i="10"/>
  <c r="K92" i="10"/>
  <c r="K93" i="10"/>
  <c r="K16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70" i="10"/>
  <c r="K111" i="10"/>
  <c r="K112" i="10"/>
  <c r="K113" i="10"/>
  <c r="K114" i="10"/>
  <c r="K166" i="10"/>
  <c r="K115" i="10"/>
  <c r="K116" i="10"/>
  <c r="K167" i="10"/>
  <c r="K117" i="10"/>
  <c r="K118" i="10"/>
  <c r="K119" i="10"/>
  <c r="K120" i="10"/>
  <c r="K121" i="10"/>
  <c r="K122" i="10"/>
  <c r="K123" i="10"/>
  <c r="K124" i="10"/>
  <c r="K168" i="10"/>
  <c r="K125" i="10"/>
  <c r="K165" i="10"/>
  <c r="K126" i="10"/>
  <c r="K127" i="10"/>
  <c r="K128" i="10"/>
  <c r="K172" i="10"/>
  <c r="K129" i="10"/>
  <c r="K130" i="10"/>
  <c r="K131" i="10"/>
  <c r="K132" i="10"/>
  <c r="K133" i="10"/>
  <c r="K134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19" i="10"/>
  <c r="K135" i="10"/>
  <c r="K20" i="10"/>
  <c r="K136" i="10"/>
  <c r="K137" i="10"/>
  <c r="K138" i="10"/>
  <c r="K21" i="10"/>
  <c r="K139" i="10"/>
  <c r="K140" i="10"/>
  <c r="K141" i="10"/>
  <c r="K142" i="10"/>
  <c r="K143" i="10"/>
  <c r="K144" i="10"/>
  <c r="K145" i="10"/>
  <c r="K146" i="10"/>
  <c r="K147" i="10"/>
  <c r="K148" i="10"/>
  <c r="K149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22" i="10"/>
  <c r="K150" i="10"/>
  <c r="K23" i="10"/>
  <c r="K151" i="10"/>
  <c r="K72" i="10"/>
  <c r="K24" i="10"/>
  <c r="K152" i="10"/>
  <c r="K153" i="10"/>
  <c r="K154" i="10"/>
  <c r="K73" i="10"/>
  <c r="K25" i="10"/>
  <c r="K155" i="10"/>
  <c r="K156" i="10"/>
  <c r="K74" i="10"/>
  <c r="K26" i="10"/>
  <c r="K157" i="10"/>
  <c r="K27" i="10"/>
  <c r="K28" i="10"/>
  <c r="K29" i="10"/>
  <c r="K30" i="10"/>
  <c r="K158" i="10"/>
  <c r="K75" i="10"/>
  <c r="K159" i="10"/>
  <c r="K76" i="10"/>
  <c r="K160" i="10"/>
  <c r="K77" i="10"/>
  <c r="K164" i="10"/>
  <c r="K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L36" i="6"/>
  <c r="L73" i="6"/>
  <c r="L336" i="6"/>
  <c r="L390" i="6"/>
  <c r="L459" i="6"/>
  <c r="L246" i="6"/>
  <c r="L397" i="6"/>
  <c r="L441" i="6"/>
  <c r="L412" i="6"/>
  <c r="L356" i="6"/>
  <c r="L112" i="6"/>
  <c r="L86" i="6"/>
  <c r="L431" i="6"/>
  <c r="L357" i="6"/>
  <c r="L237" i="6"/>
  <c r="L205" i="6"/>
  <c r="L498" i="6"/>
  <c r="L20" i="6"/>
  <c r="L407" i="6"/>
  <c r="L215" i="6"/>
  <c r="L319" i="6"/>
  <c r="L287" i="6"/>
  <c r="L240" i="6"/>
  <c r="L23" i="6"/>
  <c r="L56" i="6"/>
  <c r="L71" i="6"/>
  <c r="L98" i="6"/>
  <c r="L403" i="6"/>
  <c r="L424" i="6"/>
  <c r="L217" i="6"/>
  <c r="L282" i="6"/>
  <c r="L81" i="6"/>
  <c r="L481" i="6"/>
  <c r="L140" i="6"/>
  <c r="L435" i="6"/>
  <c r="L180" i="6"/>
  <c r="L42" i="6"/>
  <c r="L443" i="6"/>
  <c r="L389" i="6"/>
  <c r="L77" i="6"/>
  <c r="L101" i="6"/>
  <c r="L192" i="6"/>
  <c r="L28" i="6"/>
  <c r="L472" i="6"/>
  <c r="L479" i="6"/>
  <c r="L495" i="6"/>
  <c r="L485" i="6"/>
  <c r="L286" i="6"/>
  <c r="L206" i="6"/>
  <c r="L367" i="6"/>
  <c r="L458" i="6"/>
  <c r="L499" i="6"/>
  <c r="L181" i="6"/>
  <c r="L190" i="6"/>
  <c r="L127" i="6"/>
  <c r="L478" i="6"/>
  <c r="L57" i="6"/>
  <c r="L94" i="6"/>
  <c r="L163" i="6"/>
  <c r="L425" i="6"/>
  <c r="L462" i="6"/>
  <c r="L374" i="6"/>
  <c r="L307" i="6"/>
  <c r="L437" i="6"/>
  <c r="L323" i="6"/>
  <c r="L438" i="6"/>
  <c r="L51" i="6"/>
  <c r="L55" i="6"/>
  <c r="L54" i="6"/>
  <c r="L314" i="6"/>
  <c r="L119" i="6"/>
  <c r="L364" i="6"/>
  <c r="L118" i="6"/>
  <c r="L317" i="6"/>
  <c r="L331" i="6"/>
  <c r="L391" i="6"/>
  <c r="L9" i="6"/>
  <c r="L392" i="6"/>
  <c r="L148" i="6"/>
  <c r="L239" i="6"/>
  <c r="L333" i="6"/>
  <c r="L219" i="6"/>
  <c r="L25" i="6"/>
  <c r="L475" i="6"/>
  <c r="L289" i="6"/>
  <c r="L256" i="6"/>
  <c r="L170" i="6"/>
  <c r="L82" i="6"/>
  <c r="L102" i="6"/>
  <c r="L493" i="6"/>
  <c r="L126" i="6"/>
  <c r="L321" i="6"/>
  <c r="L273" i="6"/>
  <c r="L138" i="6"/>
  <c r="L199" i="6"/>
  <c r="L430" i="6"/>
  <c r="L467" i="6"/>
  <c r="L428" i="6"/>
  <c r="L134" i="6"/>
  <c r="L456" i="6"/>
  <c r="L421" i="6"/>
  <c r="L360" i="6"/>
  <c r="L427" i="6"/>
  <c r="L292" i="6"/>
  <c r="L152" i="6"/>
  <c r="L388" i="6"/>
  <c r="L477" i="6"/>
  <c r="L464" i="6"/>
  <c r="L30" i="6"/>
  <c r="L61" i="6"/>
  <c r="L120" i="6"/>
  <c r="L326" i="6"/>
  <c r="L503" i="6"/>
  <c r="L451" i="6"/>
  <c r="L385" i="6"/>
  <c r="L59" i="6"/>
  <c r="L62" i="6"/>
  <c r="L328" i="6"/>
  <c r="L361" i="6"/>
  <c r="L329" i="6"/>
  <c r="L89" i="6"/>
  <c r="L418" i="6"/>
  <c r="L116" i="6"/>
  <c r="L271" i="6"/>
  <c r="L325" i="6"/>
  <c r="L106" i="6"/>
  <c r="L466" i="6"/>
  <c r="L470" i="6"/>
  <c r="L224" i="6"/>
  <c r="L264" i="6"/>
  <c r="L165" i="6"/>
  <c r="L401" i="6"/>
  <c r="L345" i="6"/>
  <c r="L299" i="6"/>
  <c r="L131" i="6"/>
  <c r="L373" i="6"/>
  <c r="L123" i="6"/>
  <c r="L482" i="6"/>
  <c r="L179" i="6"/>
  <c r="L130" i="6"/>
  <c r="L115" i="6"/>
  <c r="L332" i="6"/>
  <c r="L52" i="6"/>
  <c r="L95" i="6"/>
  <c r="L449" i="6"/>
  <c r="L198" i="6"/>
  <c r="L58" i="6"/>
  <c r="L335" i="6"/>
  <c r="L208" i="6"/>
  <c r="L247" i="6"/>
  <c r="L399" i="6"/>
  <c r="L136" i="6"/>
  <c r="L276" i="6"/>
  <c r="L263" i="6"/>
  <c r="L202" i="6"/>
  <c r="L426" i="6"/>
  <c r="L313" i="6"/>
  <c r="L248" i="6"/>
  <c r="L417" i="6"/>
  <c r="L113" i="6"/>
  <c r="L236" i="6"/>
  <c r="L452" i="6"/>
  <c r="L259" i="6"/>
  <c r="L393" i="6"/>
  <c r="L105" i="6"/>
  <c r="L8" i="6"/>
  <c r="L35" i="6"/>
  <c r="L38" i="6"/>
  <c r="L67" i="6"/>
  <c r="L155" i="6"/>
  <c r="L72" i="6"/>
  <c r="L109" i="6"/>
  <c r="L394" i="6"/>
  <c r="L311" i="6"/>
  <c r="L330" i="6"/>
  <c r="L293" i="6"/>
  <c r="L176" i="6"/>
  <c r="L398" i="6"/>
  <c r="L310" i="6"/>
  <c r="L14" i="6"/>
  <c r="L76" i="6"/>
  <c r="L151" i="6"/>
  <c r="L108" i="6"/>
  <c r="L235" i="6"/>
  <c r="L16" i="6"/>
  <c r="L156" i="6"/>
  <c r="L233" i="6"/>
  <c r="L242" i="6"/>
  <c r="L366" i="6"/>
  <c r="L461" i="6"/>
  <c r="L396" i="6"/>
  <c r="L341" i="6"/>
  <c r="L342" i="6"/>
  <c r="L343" i="6"/>
  <c r="L344" i="6"/>
  <c r="L346" i="6"/>
  <c r="L347" i="6"/>
  <c r="L349" i="6"/>
  <c r="L295" i="6"/>
  <c r="L494" i="6"/>
  <c r="L339" i="6"/>
  <c r="L296" i="6"/>
  <c r="L39" i="6"/>
  <c r="L363" i="6"/>
  <c r="L160" i="6"/>
  <c r="L243" i="6"/>
  <c r="L27" i="6"/>
  <c r="L368" i="6"/>
  <c r="L460" i="6"/>
  <c r="L315" i="6"/>
  <c r="L484" i="6"/>
  <c r="L277" i="6"/>
  <c r="L254" i="6"/>
  <c r="L15" i="6"/>
  <c r="L251" i="6"/>
  <c r="L260" i="6"/>
  <c r="L213" i="6"/>
  <c r="L212" i="6"/>
  <c r="L200" i="6"/>
  <c r="L211" i="6"/>
  <c r="L70" i="6"/>
  <c r="L177" i="6"/>
  <c r="L420" i="6"/>
  <c r="L281" i="6"/>
  <c r="L267" i="6"/>
  <c r="L253" i="6"/>
  <c r="L92" i="6"/>
  <c r="L440" i="6"/>
  <c r="L104" i="6"/>
  <c r="L216" i="6"/>
  <c r="L45" i="6"/>
  <c r="L100" i="6"/>
  <c r="L186" i="6"/>
  <c r="L359" i="6"/>
  <c r="L446" i="6"/>
  <c r="L107" i="6"/>
  <c r="L79" i="6"/>
  <c r="L492" i="6"/>
  <c r="L419" i="6"/>
  <c r="L474" i="6"/>
  <c r="L241" i="6"/>
  <c r="L402" i="6"/>
  <c r="L11" i="6"/>
  <c r="L444" i="6"/>
  <c r="L223" i="6"/>
  <c r="L171" i="6"/>
  <c r="L283" i="6"/>
  <c r="L250" i="6"/>
  <c r="L278" i="6"/>
  <c r="L214" i="6"/>
  <c r="L96" i="6"/>
  <c r="L166" i="6"/>
  <c r="L501" i="6"/>
  <c r="L164" i="6"/>
  <c r="L369" i="6"/>
  <c r="L351" i="6"/>
  <c r="L284" i="6"/>
  <c r="L337" i="6"/>
  <c r="L377" i="6"/>
  <c r="L480" i="6"/>
  <c r="L193" i="6"/>
  <c r="L483" i="6"/>
  <c r="L312" i="6"/>
  <c r="L244" i="6"/>
  <c r="L141" i="6"/>
  <c r="L448" i="6"/>
  <c r="L231" i="6"/>
  <c r="L405" i="6"/>
  <c r="L84" i="6"/>
  <c r="L209" i="6"/>
  <c r="L290" i="6"/>
  <c r="L41" i="6"/>
  <c r="L80" i="6"/>
  <c r="L442" i="6"/>
  <c r="L150" i="6"/>
  <c r="L454" i="6"/>
  <c r="L3" i="6"/>
  <c r="L436" i="6"/>
  <c r="L227" i="6"/>
  <c r="L274" i="6"/>
  <c r="L203" i="6"/>
  <c r="L384" i="6"/>
  <c r="L143" i="6"/>
  <c r="L353" i="6"/>
  <c r="L6" i="6"/>
  <c r="L415" i="6"/>
  <c r="L162" i="6"/>
  <c r="L129" i="6"/>
  <c r="L158" i="6"/>
  <c r="L147" i="6"/>
  <c r="L29" i="6"/>
  <c r="L305" i="6"/>
  <c r="L75" i="6"/>
  <c r="L78" i="6"/>
  <c r="L376" i="6"/>
  <c r="L229" i="6"/>
  <c r="L189" i="6"/>
  <c r="L210" i="6"/>
  <c r="L69" i="6"/>
  <c r="L153" i="6"/>
  <c r="L354" i="6"/>
  <c r="L471" i="6"/>
  <c r="L309" i="6"/>
  <c r="L66" i="6"/>
  <c r="L83" i="6"/>
  <c r="L159" i="6"/>
  <c r="L139" i="6"/>
  <c r="L504" i="6"/>
  <c r="L352" i="6"/>
  <c r="L258" i="6"/>
  <c r="L301" i="6"/>
  <c r="L182" i="6"/>
  <c r="L268" i="6"/>
  <c r="L308" i="6"/>
  <c r="L154" i="6"/>
  <c r="L490" i="6"/>
  <c r="L145" i="6"/>
  <c r="L117" i="6"/>
  <c r="L378" i="6"/>
  <c r="L375" i="6"/>
  <c r="L31" i="6"/>
  <c r="L383" i="6"/>
  <c r="L487" i="6"/>
  <c r="L167" i="6"/>
  <c r="L146" i="6"/>
  <c r="L135" i="6"/>
  <c r="L7" i="6"/>
  <c r="L99" i="6"/>
  <c r="L144" i="6"/>
  <c r="L302" i="6"/>
  <c r="L114" i="6"/>
  <c r="L184" i="6"/>
  <c r="L169" i="6"/>
  <c r="L142" i="6"/>
  <c r="L12" i="6"/>
  <c r="L124" i="6"/>
  <c r="L348" i="6"/>
  <c r="L230" i="6"/>
  <c r="L32" i="6"/>
  <c r="L64" i="6"/>
  <c r="L306" i="6"/>
  <c r="L48" i="6"/>
  <c r="L195" i="6"/>
  <c r="L450" i="6"/>
  <c r="L285" i="6"/>
  <c r="L22" i="6"/>
  <c r="L355" i="6"/>
  <c r="L468" i="6"/>
  <c r="L447" i="6"/>
  <c r="L371" i="6"/>
  <c r="L433" i="6"/>
  <c r="L387" i="6"/>
  <c r="L358" i="6"/>
  <c r="L270" i="6"/>
  <c r="L197" i="6"/>
  <c r="L201" i="6"/>
  <c r="L318" i="6"/>
  <c r="L103" i="6"/>
  <c r="L125" i="6"/>
  <c r="L91" i="6"/>
  <c r="L97" i="6"/>
  <c r="L245" i="6"/>
  <c r="L380" i="6"/>
  <c r="L110" i="6"/>
  <c r="L238" i="6"/>
  <c r="L340" i="6"/>
  <c r="L218" i="6"/>
  <c r="L463" i="6"/>
  <c r="L185" i="6"/>
  <c r="L265" i="6"/>
  <c r="L220" i="6"/>
  <c r="L445" i="6"/>
  <c r="L408" i="6"/>
  <c r="L316" i="6"/>
  <c r="L294" i="6"/>
  <c r="L411" i="6"/>
  <c r="L188" i="6"/>
  <c r="L266" i="6"/>
  <c r="L297" i="6"/>
  <c r="L46" i="6"/>
  <c r="L497" i="6"/>
  <c r="L168" i="6"/>
  <c r="L338" i="6"/>
  <c r="L33" i="6"/>
  <c r="L37" i="6"/>
  <c r="L379" i="6"/>
  <c r="L228" i="6"/>
  <c r="L4" i="6"/>
  <c r="L413" i="6"/>
  <c r="L121" i="6"/>
  <c r="L232" i="6"/>
  <c r="L234" i="6"/>
  <c r="L111" i="6"/>
  <c r="L43" i="6"/>
  <c r="L49" i="6"/>
  <c r="L63" i="6"/>
  <c r="L194" i="6"/>
  <c r="L496" i="6"/>
  <c r="L133" i="6"/>
  <c r="L47" i="6"/>
  <c r="L60" i="6"/>
  <c r="L24" i="6"/>
  <c r="L486" i="6"/>
  <c r="L222" i="6"/>
  <c r="L279" i="6"/>
  <c r="L300" i="6"/>
  <c r="L488" i="6"/>
  <c r="L204" i="6"/>
  <c r="L172" i="6"/>
  <c r="L255" i="6"/>
  <c r="L434" i="6"/>
  <c r="L74" i="6"/>
  <c r="L175" i="6"/>
  <c r="L13" i="6"/>
  <c r="L19" i="6"/>
  <c r="L432" i="6"/>
  <c r="L183" i="6"/>
  <c r="L455" i="6"/>
  <c r="L491" i="6"/>
  <c r="L469" i="6"/>
  <c r="L252" i="6"/>
  <c r="L174" i="6"/>
  <c r="L122" i="6"/>
  <c r="L400" i="6"/>
  <c r="L68" i="6"/>
  <c r="L386" i="6"/>
  <c r="L372" i="6"/>
  <c r="L404" i="6"/>
  <c r="L362" i="6"/>
  <c r="L262" i="6"/>
  <c r="L207" i="6"/>
  <c r="L221" i="6"/>
  <c r="L275" i="6"/>
  <c r="L178" i="6"/>
  <c r="L280" i="6"/>
  <c r="L439" i="6"/>
  <c r="L422" i="6"/>
  <c r="L137" i="6"/>
  <c r="L304" i="6"/>
  <c r="L10" i="6"/>
  <c r="L500" i="6"/>
  <c r="L187" i="6"/>
  <c r="L416" i="6"/>
  <c r="L473" i="6"/>
  <c r="L93" i="6"/>
  <c r="L334" i="6"/>
  <c r="L414" i="6"/>
  <c r="L489" i="6"/>
  <c r="L365" i="6"/>
  <c r="L476" i="6"/>
  <c r="L26" i="6"/>
  <c r="L196" i="6"/>
  <c r="L173" i="6"/>
  <c r="L128" i="6"/>
  <c r="L40" i="6"/>
  <c r="L132" i="6"/>
  <c r="L410" i="6"/>
  <c r="L350" i="6"/>
  <c r="L53" i="6"/>
  <c r="L191" i="6"/>
  <c r="L161" i="6"/>
  <c r="L322" i="6"/>
  <c r="L149" i="6"/>
  <c r="L2" i="6"/>
  <c r="L5" i="6"/>
  <c r="L409" i="6"/>
  <c r="L87" i="6"/>
  <c r="L502" i="6"/>
  <c r="L291" i="6"/>
  <c r="L395" i="6"/>
  <c r="L157" i="6"/>
  <c r="L225" i="6"/>
  <c r="L261" i="6"/>
  <c r="L85" i="6"/>
  <c r="L320" i="6"/>
  <c r="L505" i="6"/>
  <c r="L457" i="6"/>
  <c r="L226" i="6"/>
  <c r="L44" i="6"/>
  <c r="L429" i="6"/>
  <c r="L506" i="6"/>
  <c r="L90" i="6"/>
  <c r="L249" i="6"/>
  <c r="L423" i="6"/>
  <c r="L257" i="6"/>
  <c r="L382" i="6"/>
  <c r="L453" i="6"/>
  <c r="L269" i="6"/>
  <c r="L65" i="6"/>
  <c r="L406" i="6"/>
  <c r="L381" i="6"/>
  <c r="L298" i="6"/>
  <c r="L88" i="6"/>
  <c r="L288" i="6"/>
  <c r="L465" i="6"/>
  <c r="L370" i="6"/>
  <c r="L327" i="6"/>
  <c r="L18" i="6"/>
  <c r="L17" i="6"/>
  <c r="L34" i="6"/>
  <c r="L50" i="6"/>
  <c r="L272" i="6"/>
  <c r="L324" i="6"/>
  <c r="L516" i="6"/>
  <c r="L533" i="6"/>
  <c r="L558" i="6"/>
  <c r="L542" i="6"/>
  <c r="L576" i="6"/>
  <c r="L523" i="6"/>
  <c r="L525" i="6"/>
  <c r="L579" i="6"/>
  <c r="L553" i="6"/>
  <c r="L518" i="6"/>
  <c r="L521" i="6"/>
  <c r="L532" i="6"/>
  <c r="L596" i="6"/>
  <c r="L524" i="6"/>
  <c r="L528" i="6"/>
  <c r="L530" i="6"/>
  <c r="L584" i="6"/>
  <c r="L582" i="6"/>
  <c r="L570" i="6"/>
  <c r="L578" i="6"/>
  <c r="L591" i="6"/>
  <c r="L569" i="6"/>
  <c r="L572" i="6"/>
  <c r="L515" i="6"/>
  <c r="L520" i="6"/>
  <c r="L534" i="6"/>
  <c r="L531" i="6"/>
  <c r="L592" i="6"/>
  <c r="L556" i="6"/>
  <c r="L598" i="6"/>
  <c r="L567" i="6"/>
  <c r="L560" i="6"/>
  <c r="L514" i="6"/>
  <c r="L561" i="6"/>
  <c r="L568" i="6"/>
  <c r="L529" i="6"/>
  <c r="L586" i="6"/>
  <c r="L595" i="6"/>
  <c r="L577" i="6"/>
  <c r="L552" i="6"/>
  <c r="L594" i="6"/>
  <c r="L554" i="6"/>
  <c r="L546" i="6"/>
  <c r="L587" i="6"/>
  <c r="L539" i="6"/>
  <c r="L585" i="6"/>
  <c r="L551" i="6"/>
  <c r="L535" i="6"/>
  <c r="L564" i="6"/>
  <c r="L544" i="6"/>
  <c r="L527" i="6"/>
  <c r="L550" i="6"/>
  <c r="L549" i="6"/>
  <c r="L536" i="6"/>
  <c r="L545" i="6"/>
  <c r="L513" i="6"/>
  <c r="L537" i="6"/>
  <c r="L555" i="6"/>
  <c r="L565" i="6"/>
  <c r="L593" i="6"/>
  <c r="L573" i="6"/>
  <c r="L574" i="6"/>
  <c r="L575" i="6"/>
  <c r="L522" i="6"/>
  <c r="L566" i="6"/>
  <c r="L547" i="6"/>
  <c r="L562" i="6"/>
  <c r="L548" i="6"/>
  <c r="L599" i="6"/>
  <c r="L563" i="6"/>
  <c r="L541" i="6"/>
  <c r="L581" i="6"/>
  <c r="L538" i="6"/>
  <c r="L590" i="6"/>
  <c r="L543" i="6"/>
  <c r="L519" i="6"/>
  <c r="L589" i="6"/>
  <c r="L557" i="6"/>
  <c r="L597" i="6"/>
  <c r="L580" i="6"/>
  <c r="L540" i="6"/>
  <c r="L512" i="6"/>
  <c r="L517" i="6"/>
  <c r="L526" i="6"/>
  <c r="L559" i="6"/>
  <c r="L583" i="6"/>
  <c r="L571" i="6"/>
  <c r="L303" i="6"/>
  <c r="L21" i="6"/>
  <c r="I600" i="6"/>
  <c r="J600" i="6"/>
  <c r="K600" i="6"/>
  <c r="I507" i="6"/>
  <c r="J507" i="6"/>
  <c r="K507" i="6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2" i="5"/>
</calcChain>
</file>

<file path=xl/sharedStrings.xml><?xml version="1.0" encoding="utf-8"?>
<sst xmlns="http://schemas.openxmlformats.org/spreadsheetml/2006/main" count="18583" uniqueCount="3749">
  <si>
    <t>e76e458213e77b329110cbf976ea738a4c16c817</t>
  </si>
  <si>
    <t>f5e2f19</t>
  </si>
  <si>
    <t>e59fdcf</t>
  </si>
  <si>
    <t>8060a13e57aeb4d15cfe8578c01ca3cc47dae03a</t>
  </si>
  <si>
    <t>5587d13</t>
  </si>
  <si>
    <t>a857ad2</t>
  </si>
  <si>
    <t>bc0b850510e149f1e2adafb864d045cbb46a7dea</t>
  </si>
  <si>
    <t>5d78f3c</t>
  </si>
  <si>
    <t>72fbaba</t>
  </si>
  <si>
    <t>44a20e7d0269e48f750ad5e67931fd65c5036fab</t>
  </si>
  <si>
    <t>105c573</t>
  </si>
  <si>
    <t>c690b1f</t>
  </si>
  <si>
    <t>3dc282f3f7b7a9e7b67aa781712889370ae8e4dd</t>
  </si>
  <si>
    <t>0b486b9</t>
  </si>
  <si>
    <t>e93e056</t>
  </si>
  <si>
    <t>f19ee8309262786c6dc141fecc1ecd42c53d3268</t>
  </si>
  <si>
    <t>9d8f300</t>
  </si>
  <si>
    <t>e87967c</t>
  </si>
  <si>
    <t>9c197b2421a6c2d0b34849859cd260c359060896</t>
  </si>
  <si>
    <t>85e1330</t>
  </si>
  <si>
    <t>19865f3</t>
  </si>
  <si>
    <t>2afdf3db7d4ed4e3839edae3f2704221087446c9</t>
  </si>
  <si>
    <t>9dd770a</t>
  </si>
  <si>
    <t>1d249b9</t>
  </si>
  <si>
    <t>37fbcf4da2926f95098044f3abf5fff7707a806c</t>
  </si>
  <si>
    <t>be88e01</t>
  </si>
  <si>
    <t>32e798d</t>
  </si>
  <si>
    <t>d8aa2225491d003743069f1dcff5217a38c7f71a</t>
  </si>
  <si>
    <t>3b01b29</t>
  </si>
  <si>
    <t>b106fe4</t>
  </si>
  <si>
    <t>f338e21b4f00d66f14b83af3f0c91a9ac15d8513</t>
  </si>
  <si>
    <t>7066daf</t>
  </si>
  <si>
    <t>d98926a</t>
  </si>
  <si>
    <t>ca3ad78017f64c6f3fec10dd9ba335ff770b57f3</t>
  </si>
  <si>
    <t>e465f72</t>
  </si>
  <si>
    <t>37fbcf4</t>
  </si>
  <si>
    <t>4aa2d39aaad93ade84cf125cf1e28a7917bbb99e</t>
  </si>
  <si>
    <t>de20547</t>
  </si>
  <si>
    <t>65c659d</t>
  </si>
  <si>
    <t>708b609ccce2ca8334acb9f5399a7d199a33880a</t>
  </si>
  <si>
    <t>c92c221</t>
  </si>
  <si>
    <t>207134d</t>
  </si>
  <si>
    <t>667f9cb199bf9ff3f7c40d99fa1f7a75ac5e74c9</t>
  </si>
  <si>
    <t>1ba1a0f</t>
  </si>
  <si>
    <t>5bda9c1</t>
  </si>
  <si>
    <t>7d40b9f00b9a4d5f8e3152d7baf84fae7a8a7f35</t>
  </si>
  <si>
    <t>afff123</t>
  </si>
  <si>
    <t>1a42a2f</t>
  </si>
  <si>
    <t>0235a5aeffecf428dd790ce32fa328c42afde9de</t>
  </si>
  <si>
    <t>795ff51</t>
  </si>
  <si>
    <t>c94ee12669a41743897f97d08a0c9fbeaa8cb209</t>
  </si>
  <si>
    <t>b5b73b8</t>
  </si>
  <si>
    <t>0414b05</t>
  </si>
  <si>
    <t>6ab4691effdd8bf750418d0222edc081cf765b7b</t>
  </si>
  <si>
    <t>d3f233d</t>
  </si>
  <si>
    <t>372e8cb</t>
  </si>
  <si>
    <t>e5463e3d53fdf74e917d63dc44ec60bab60a24d4</t>
  </si>
  <si>
    <t>8060a13</t>
  </si>
  <si>
    <t>6f841d4</t>
  </si>
  <si>
    <t>e1ea7ddb967bfac6556c025a4074450c5cea3425</t>
  </si>
  <si>
    <t>7bf8e8e</t>
  </si>
  <si>
    <t>8b6089b</t>
  </si>
  <si>
    <t>aa7bfd9bbec0e2ee17569070fe2484fe731ced1c</t>
  </si>
  <si>
    <t>a4ddfa7</t>
  </si>
  <si>
    <t>3cc8b21</t>
  </si>
  <si>
    <t>5379a8100cb6dfe5cae99cdf26afdcdd6c3ade50</t>
  </si>
  <si>
    <t>03a63ea</t>
  </si>
  <si>
    <t>c667523</t>
  </si>
  <si>
    <t>2b7bb6c6a413d14d575dbac69b3b9209ab3a8b46</t>
  </si>
  <si>
    <t>0551c8f</t>
  </si>
  <si>
    <t>c4dd892</t>
  </si>
  <si>
    <t>0aba1bcdc12707cd1dbd238765592795d39010d5</t>
  </si>
  <si>
    <t>8fff337</t>
  </si>
  <si>
    <t>e708c4e</t>
  </si>
  <si>
    <t>55d6f460a2c886bd57770a81968bb60cfbee124f</t>
  </si>
  <si>
    <t>5454d17</t>
  </si>
  <si>
    <t>8f17988</t>
  </si>
  <si>
    <t>edd7feae7de862140560fde2a97f9065bef1ee32</t>
  </si>
  <si>
    <t>9bdaf8d</t>
  </si>
  <si>
    <t>6c70afa</t>
  </si>
  <si>
    <t>d3f233ddf4faf64e2726ecb4a452aa85e85beea6</t>
  </si>
  <si>
    <t>752a7c7</t>
  </si>
  <si>
    <t>99b11d0</t>
  </si>
  <si>
    <t>de14777e599fb00ced12ce8cde6a47f173b68de4</t>
  </si>
  <si>
    <t>fe0c718</t>
  </si>
  <si>
    <t>e9ad7b2</t>
  </si>
  <si>
    <t>bb5d8814e8226e7117cf8d02d74a1c27c35c8930</t>
  </si>
  <si>
    <t>7a0bd97</t>
  </si>
  <si>
    <t>79153a6</t>
  </si>
  <si>
    <t>511b42a073230dde6a0f587b24886ba81f0515e8</t>
  </si>
  <si>
    <t>34e8117</t>
  </si>
  <si>
    <t>66e221e</t>
  </si>
  <si>
    <t>a68d644773dc75b69b2086eda1a85c31945e3427</t>
  </si>
  <si>
    <t>0032c50</t>
  </si>
  <si>
    <t>ddd6867</t>
  </si>
  <si>
    <t>32a95fc57caed0658eda9906833e26d879142957</t>
  </si>
  <si>
    <t>9fbd6d3</t>
  </si>
  <si>
    <t>afff123cc5cb46e80215c6ff3dd48332d265d8e5</t>
  </si>
  <si>
    <t>8b9b5d6</t>
  </si>
  <si>
    <t>e8137c8</t>
  </si>
  <si>
    <t>5d78f3c958394c645d7c65c6b7f8f01d7ccd66fb</t>
  </si>
  <si>
    <t>dea9588</t>
  </si>
  <si>
    <t>d5513b0</t>
  </si>
  <si>
    <t>b96bbd6c0c966d8497acb79eb20b73fa43d98b41</t>
  </si>
  <si>
    <t>bb55c07</t>
  </si>
  <si>
    <t>ca3ad78</t>
  </si>
  <si>
    <t>7e82ecb64f949ec5174fd0424493d940e09447ca</t>
  </si>
  <si>
    <t>e6b31e7</t>
  </si>
  <si>
    <t>3c349c0cd460bea2f017b52e92550bab0f91247e</t>
  </si>
  <si>
    <t>84f0837</t>
  </si>
  <si>
    <t>5f92a03</t>
  </si>
  <si>
    <t>91b3d3c544932c29e50d278e7782ff5c720df0af</t>
  </si>
  <si>
    <t>de14777</t>
  </si>
  <si>
    <t>ef442a8</t>
  </si>
  <si>
    <t>1166ba01cf947c34bdf4023b3cb5e96cd2d1a5f9</t>
  </si>
  <si>
    <t>f19ee83</t>
  </si>
  <si>
    <t>bb7cfd940dfdd8d0517c81083c14d67236a98287</t>
  </si>
  <si>
    <t>57c788a</t>
  </si>
  <si>
    <t>7057bd7</t>
  </si>
  <si>
    <t>6a029772a98f2d9a442a1c83293c5c247a9227e1</t>
  </si>
  <si>
    <t>48fc05d</t>
  </si>
  <si>
    <t>f6ad2e6</t>
  </si>
  <si>
    <t>f495a6edfe3c312dc0a48253c4a828da346372d5</t>
  </si>
  <si>
    <t>1323a4f</t>
  </si>
  <si>
    <t>1c041b4</t>
  </si>
  <si>
    <t>9b641b1518c7ef710aa00ad77c97b6feac443435</t>
  </si>
  <si>
    <t>e4244cc</t>
  </si>
  <si>
    <t>2df71d0</t>
  </si>
  <si>
    <t>0dfb3ee83c139929ae72c8d70c0f018bfcd5d4d7</t>
  </si>
  <si>
    <t>5a9f2c5</t>
  </si>
  <si>
    <t>0e12fe4</t>
  </si>
  <si>
    <t>7c51287f83140307262a9409c2157df32f59f932</t>
  </si>
  <si>
    <t>cd34e38</t>
  </si>
  <si>
    <t>18963ee</t>
  </si>
  <si>
    <t>425633442d34b004ac6be25ec89fca5d12b4bb66</t>
  </si>
  <si>
    <t>124706a</t>
  </si>
  <si>
    <t>7a84ab1</t>
  </si>
  <si>
    <t>7be3d2d2a40a404d58f2102b524380ea574d1bfe</t>
  </si>
  <si>
    <t>76edfd3</t>
  </si>
  <si>
    <t>bdaf5eadc276804e249fdcdebed110cf6329d0f6</t>
  </si>
  <si>
    <t>368bd24</t>
  </si>
  <si>
    <t>fed2d0f</t>
  </si>
  <si>
    <t>bb258d95fa0c14229b6fc30ad003c402aa5631d4</t>
  </si>
  <si>
    <t>4c53f02</t>
  </si>
  <si>
    <t>0b9fc0d</t>
  </si>
  <si>
    <t>e14a9a91deffbd8dc1d4dd0144e558e9e804f41d</t>
  </si>
  <si>
    <t>f49d625</t>
  </si>
  <si>
    <t>8234d48</t>
  </si>
  <si>
    <t>cbcdce36647123fc3c65f07fbcbd5147412d35a1</t>
  </si>
  <si>
    <t>0e70012</t>
  </si>
  <si>
    <t>da760ef</t>
  </si>
  <si>
    <t>bc0ae8e08debdbf6c156a56a966e7baa243dd452</t>
  </si>
  <si>
    <t>4535b18</t>
  </si>
  <si>
    <t>7b8bbb7e8d6df79f2dc94fc17bc522de243be14c</t>
  </si>
  <si>
    <t>aa7bfd9</t>
  </si>
  <si>
    <t>f98857b</t>
  </si>
  <si>
    <t>005effe68ed63b42a5d4ad7b6a8e695f00df3741</t>
  </si>
  <si>
    <t>7b8bbb7</t>
  </si>
  <si>
    <t>ad2912a</t>
  </si>
  <si>
    <t>7c8eea715768d754a1c2a19fdad97fa09ff3179c</t>
  </si>
  <si>
    <t>905a3c9</t>
  </si>
  <si>
    <t>5753ca5</t>
  </si>
  <si>
    <t>a4ddfa7eaa9d109d2a9a6e26594e48289484f5c6</t>
  </si>
  <si>
    <t>fc962ca</t>
  </si>
  <si>
    <t>c1ed25640325df79ea16c5657ce02b88e88b7710</t>
  </si>
  <si>
    <t>156e634</t>
  </si>
  <si>
    <t>2610d0e</t>
  </si>
  <si>
    <t>078ccd37a8e410c60c0481a1f1698df948d63781</t>
  </si>
  <si>
    <t>6cc90dd</t>
  </si>
  <si>
    <t>fdaee7e</t>
  </si>
  <si>
    <t>fa68f24292a492b3299467200fbb5339bf258f70</t>
  </si>
  <si>
    <t>1589ec4</t>
  </si>
  <si>
    <t>ec87354</t>
  </si>
  <si>
    <t>bacba61f4b63d79393c93bc622d6f12260bdfc12</t>
  </si>
  <si>
    <t>4ec7ebf</t>
  </si>
  <si>
    <t>18e6e67</t>
  </si>
  <si>
    <t>f945f9139999ae7990e736a1afa178a01194b71e</t>
  </si>
  <si>
    <t>95c1728</t>
  </si>
  <si>
    <t>be1f8f9</t>
  </si>
  <si>
    <t>d9b2681894bb245406b0c8185fe82b74b64e1fdb</t>
  </si>
  <si>
    <t>815c42c</t>
  </si>
  <si>
    <t>0cc1346</t>
  </si>
  <si>
    <t>51f1c0b72fbc6f9602df2d0332473fa05ea36f38</t>
  </si>
  <si>
    <t>ff4b025</t>
  </si>
  <si>
    <t>5a2d5eb</t>
  </si>
  <si>
    <t>f0130bf1b2410807fccf4f0c9af259201151228a</t>
  </si>
  <si>
    <t>0f08dc0</t>
  </si>
  <si>
    <t>1421ca1</t>
  </si>
  <si>
    <t>b9eda264e0cad3df549c2c53fafa7e5ecda57dbc</t>
  </si>
  <si>
    <t>7056ba3</t>
  </si>
  <si>
    <t>2c065f5</t>
  </si>
  <si>
    <t>9ffcbba5e96ea508419171c0ff1d18a5fdc88c4a</t>
  </si>
  <si>
    <t>4f44e61</t>
  </si>
  <si>
    <t>0aba1bc</t>
  </si>
  <si>
    <t>8663cf01b600a8a2fa13554e2a5940699a22b8e8</t>
  </si>
  <si>
    <t>5b5743c</t>
  </si>
  <si>
    <t>3c5d7cc</t>
  </si>
  <si>
    <t>97e00ae4855dc7dbaf759c5b947126a0849a79ec</t>
  </si>
  <si>
    <t>5fb009b</t>
  </si>
  <si>
    <t>9721b05</t>
  </si>
  <si>
    <t>905a3c9ea668fe8c465443208f2d284ad4c130d3</t>
  </si>
  <si>
    <t>c86aa67</t>
  </si>
  <si>
    <t>bbad34b</t>
  </si>
  <si>
    <t>52b9e14aad9f77b3915a311b5ed952ead10daaad</t>
  </si>
  <si>
    <t>0ffe9d5</t>
  </si>
  <si>
    <t>8b9b5d6ade24e900b249ecd36f97cb670bb3ea95</t>
  </si>
  <si>
    <t>3427f2c</t>
  </si>
  <si>
    <t>201bd2f</t>
  </si>
  <si>
    <t>246be7caeb79ca3d276852e88887bee5aff4abb5</t>
  </si>
  <si>
    <t>7681ab0</t>
  </si>
  <si>
    <t>b96bbd6</t>
  </si>
  <si>
    <t>0a8fb9bf6773ed33b7797b2a7c320ffc5468e951</t>
  </si>
  <si>
    <t>9d15a7a</t>
  </si>
  <si>
    <t>10c1eb3</t>
  </si>
  <si>
    <t>156e6348317247276b43a314c6a2794f313458c1</t>
  </si>
  <si>
    <t>5603f30</t>
  </si>
  <si>
    <t>e2db7a5</t>
  </si>
  <si>
    <t>749f4ffadff0afa4dfedd583da0a1eb6d38ef635</t>
  </si>
  <si>
    <t>58267c4</t>
  </si>
  <si>
    <t>35de7e7</t>
  </si>
  <si>
    <t>32e798df40f61afebf173cd1e9f6023ffb81e4b5</t>
  </si>
  <si>
    <t>95c8707</t>
  </si>
  <si>
    <t>c15ce7d</t>
  </si>
  <si>
    <t>f52c7f7da2f73b56eb2f4e9191a281acb9bea5e9</t>
  </si>
  <si>
    <t>0af54f0</t>
  </si>
  <si>
    <t>966b176</t>
  </si>
  <si>
    <t>6da5894f49aba524443fda11702fea33de43733d</t>
  </si>
  <si>
    <t>de5938b</t>
  </si>
  <si>
    <t>0dfb3ee</t>
  </si>
  <si>
    <t>6e58e07cb3ff9260426d5426fafc4e2d091c2834</t>
  </si>
  <si>
    <t>fe67909</t>
  </si>
  <si>
    <t>1f5bc9b</t>
  </si>
  <si>
    <t>e87967c4fa90e143c195f2437a10063265ce7051</t>
  </si>
  <si>
    <t>f9d8efb</t>
  </si>
  <si>
    <t>1ccc78b</t>
  </si>
  <si>
    <t>7bf8e8e894e0358401de4be1aa15986627efad11</t>
  </si>
  <si>
    <t>0c1f8e2</t>
  </si>
  <si>
    <t>f414de0</t>
  </si>
  <si>
    <t>951db7d589996fd6777a4468099b506e3828cb9c</t>
  </si>
  <si>
    <t>3629aeb</t>
  </si>
  <si>
    <t>398154f</t>
  </si>
  <si>
    <t>57c788a5c47393baf358fdd934e6214ac9623e86</t>
  </si>
  <si>
    <t>3b5e9f9</t>
  </si>
  <si>
    <t>b5a3453</t>
  </si>
  <si>
    <t>22583135300e45b1c3d4b6256215e5d3282f7c2f</t>
  </si>
  <si>
    <t>11c52ee</t>
  </si>
  <si>
    <t>444ab61</t>
  </si>
  <si>
    <t>e708c4e2adb8ea67d421ea4ecba4ae2c0d50e8bf</t>
  </si>
  <si>
    <t>8f39483</t>
  </si>
  <si>
    <t>a78e6e3</t>
  </si>
  <si>
    <t>368bd249b7cb7f349b0fc1b2864b7d8798783a21</t>
  </si>
  <si>
    <t>3445fe1</t>
  </si>
  <si>
    <t>ec9d403c63131206d9ca4a77c4c90ffb190129d8</t>
  </si>
  <si>
    <t>6e58e07</t>
  </si>
  <si>
    <t>4e8775f</t>
  </si>
  <si>
    <t>4fd8ce1cb10aa7d4876497d73c8217c979231eeb</t>
  </si>
  <si>
    <t>7d71f88</t>
  </si>
  <si>
    <t>860cc9eb61a6a3212e4b8589ac11a74b59b1fcf7</t>
  </si>
  <si>
    <t>e4abef2</t>
  </si>
  <si>
    <t>e330af12e6903fdcd166276e6e21b902dc9fb2f3</t>
  </si>
  <si>
    <t>f8a0fc0</t>
  </si>
  <si>
    <t>e4244cc8b71aad69f028be19836439dd7a5e5fdd</t>
  </si>
  <si>
    <t>e330af1</t>
  </si>
  <si>
    <t>2e2c302</t>
  </si>
  <si>
    <t>0032c5053ff4d59e450a10135792045ecc623180</t>
  </si>
  <si>
    <t>75c3992</t>
  </si>
  <si>
    <t>bbad34bf3ef210b3ec8b54830742c2768181571f</t>
  </si>
  <si>
    <t>5dd5129</t>
  </si>
  <si>
    <t>affd29160eb0b1556b69244cccadb10700cdaedb</t>
  </si>
  <si>
    <t>f65c348</t>
  </si>
  <si>
    <t>684fe36</t>
  </si>
  <si>
    <t>0abe6e13a060ad15eaad840a04410eedbb81bf3a</t>
  </si>
  <si>
    <t>bb258d9</t>
  </si>
  <si>
    <t>7ae303f</t>
  </si>
  <si>
    <t>4cd8478f7e6f66bb5361b3f1317b2764a5a70ecc</t>
  </si>
  <si>
    <t>12a2a3a</t>
  </si>
  <si>
    <t>359aca3</t>
  </si>
  <si>
    <t>e4abef20fbdb71971085e7507d7fff4b92676368</t>
  </si>
  <si>
    <t>07b3f2c</t>
  </si>
  <si>
    <t>51f1c0b</t>
  </si>
  <si>
    <t>d621c0009700b657aec15519750b0dc6cd7d3e89</t>
  </si>
  <si>
    <t>71debc2</t>
  </si>
  <si>
    <t>4aab81f</t>
  </si>
  <si>
    <t>8fac8d263f0bccdea1f1cffbbb995899f8e2169d</t>
  </si>
  <si>
    <t>5a0f1aa</t>
  </si>
  <si>
    <t>f0130bf</t>
  </si>
  <si>
    <t>First</t>
  </si>
  <si>
    <t>Second</t>
  </si>
  <si>
    <t>Kohsuke Kawaguchi</t>
  </si>
  <si>
    <t>Seiji Sogabe</t>
  </si>
  <si>
    <t>Ryan Campbell</t>
  </si>
  <si>
    <t>Vojtech Juranek</t>
  </si>
  <si>
    <t>bap2000</t>
  </si>
  <si>
    <t>Christoph Kutzinski</t>
  </si>
  <si>
    <t>Fred G</t>
  </si>
  <si>
    <t>Andrew Bayer</t>
  </si>
  <si>
    <t>Marc Guenther</t>
  </si>
  <si>
    <t>unknown</t>
  </si>
  <si>
    <t>olivier lamy</t>
  </si>
  <si>
    <t>Stephen Connolly</t>
  </si>
  <si>
    <t>Olivier Lamy</t>
  </si>
  <si>
    <t>OHTAKE Tomohiro</t>
  </si>
  <si>
    <t>Nicolas De loof</t>
  </si>
  <si>
    <t>Alex Lehmann</t>
  </si>
  <si>
    <t>lvotypko</t>
  </si>
  <si>
    <t>Sascha Scholz</t>
  </si>
  <si>
    <t>Nicolas De Loof</t>
  </si>
  <si>
    <t>Thomas Van Doren</t>
  </si>
  <si>
    <t>Tim Pizey</t>
  </si>
  <si>
    <t>Jerome Lacoste</t>
  </si>
  <si>
    <t>Carl Quinn</t>
  </si>
  <si>
    <t>Ariel Peltz</t>
  </si>
  <si>
    <t>vjuranek</t>
  </si>
  <si>
    <t>Cliffano Subagio</t>
  </si>
  <si>
    <t>imod</t>
  </si>
  <si>
    <t>Vincent Latombe</t>
  </si>
  <si>
    <t>Erik Lindblad</t>
  </si>
  <si>
    <t>Adrien Gallou</t>
  </si>
  <si>
    <t>Manolo Carrasco</t>
  </si>
  <si>
    <t>Adrian Cole</t>
  </si>
  <si>
    <t>Andrew Stone</t>
  </si>
  <si>
    <t>Hayato ITO</t>
  </si>
  <si>
    <t>IanKemp</t>
  </si>
  <si>
    <t>Greg Temchenko</t>
  </si>
  <si>
    <t>Alex Earl</t>
  </si>
  <si>
    <t>Jesse Farinacci</t>
  </si>
  <si>
    <t>MF</t>
  </si>
  <si>
    <t>TF</t>
  </si>
  <si>
    <t>BF</t>
  </si>
  <si>
    <t>Devs</t>
  </si>
  <si>
    <t>S.No</t>
  </si>
  <si>
    <t>Prefs</t>
  </si>
  <si>
    <t>Id</t>
  </si>
  <si>
    <t>Date</t>
  </si>
  <si>
    <t>Dev</t>
  </si>
  <si>
    <t>,</t>
  </si>
  <si>
    <t>Kohsuke</t>
  </si>
  <si>
    <t>296c06d85d71ee62a9a759d3ca5a9fa3f0c0d896</t>
  </si>
  <si>
    <t>willemv</t>
  </si>
  <si>
    <t>776008c</t>
  </si>
  <si>
    <t>733954e</t>
  </si>
  <si>
    <t>35b357f62a87ccbdfb07aad88073ee089a639052</t>
  </si>
  <si>
    <t>505661e</t>
  </si>
  <si>
    <t>cf2a725</t>
  </si>
  <si>
    <t>817366e5900c1a008841a7ce23de8bf0a1612243</t>
  </si>
  <si>
    <t>b4bbafc</t>
  </si>
  <si>
    <t>5465f5d</t>
  </si>
  <si>
    <t>4c10efe1a9285bcc6eed193ede82c0bdd39d658a</t>
  </si>
  <si>
    <t>Brian Atkinson</t>
  </si>
  <si>
    <t>1d1c188</t>
  </si>
  <si>
    <t>be5438b</t>
  </si>
  <si>
    <t>153c989bfb24732c9cf68966fe51dc159212d2e2</t>
  </si>
  <si>
    <t>4745dbc</t>
  </si>
  <si>
    <t>ccdbd83</t>
  </si>
  <si>
    <t>Mike Power</t>
  </si>
  <si>
    <t>8580f732e1ad38d2484d7e84fd5f5e8db64315bf</t>
  </si>
  <si>
    <t>7360f45</t>
  </si>
  <si>
    <t>2b2877e</t>
  </si>
  <si>
    <t>ikikko</t>
  </si>
  <si>
    <t>05131ef1b311f625bcfa836372479b4a7f7a2a49</t>
  </si>
  <si>
    <t>65678ad</t>
  </si>
  <si>
    <t>ee077a0</t>
  </si>
  <si>
    <t>6f0a7b4d5bb0e141cd56c319752978a1237004c0</t>
  </si>
  <si>
    <t>1ac4872</t>
  </si>
  <si>
    <t>e85a292</t>
  </si>
  <si>
    <t>2dc52c155c953bd8a56d728e97a0b865bdee4074</t>
  </si>
  <si>
    <t>bfa7d1e</t>
  </si>
  <si>
    <t>992158b</t>
  </si>
  <si>
    <t>4797b7f0368e43f218cffd7ba95f99a5a3f63ab9</t>
  </si>
  <si>
    <t>283cb18</t>
  </si>
  <si>
    <t>81d5129</t>
  </si>
  <si>
    <t>Olav Reinert</t>
  </si>
  <si>
    <t>9a62931614c2e10f3c828113d4fc48050f06880c</t>
  </si>
  <si>
    <t>0c19666</t>
  </si>
  <si>
    <t>ec38211</t>
  </si>
  <si>
    <t>André Twupack</t>
  </si>
  <si>
    <t>1fe71dd8c407ccf84ef4942546433a8f920a166e</t>
  </si>
  <si>
    <t>e645c17</t>
  </si>
  <si>
    <t>70fb68e</t>
  </si>
  <si>
    <t>David M. Carr</t>
  </si>
  <si>
    <t>405f9134ec89bdaf77587ba83327ecd5e91f6ba2</t>
  </si>
  <si>
    <t>556ef07</t>
  </si>
  <si>
    <t>855f0db</t>
  </si>
  <si>
    <t>db0dcf0d257fcc6c47d116e7958fcbd107312c93</t>
  </si>
  <si>
    <t>b1926cf</t>
  </si>
  <si>
    <t>Arnaud Héritier</t>
  </si>
  <si>
    <t>d39852bcf4b394aa3d6ab703bc2f1cc61680a6d7</t>
  </si>
  <si>
    <t>e605d33</t>
  </si>
  <si>
    <t>6e011bc</t>
  </si>
  <si>
    <t>jtnord</t>
  </si>
  <si>
    <t>1ba1a0f59bf0e969aa13a046526fa1eaea053f97</t>
  </si>
  <si>
    <t>6baefcc</t>
  </si>
  <si>
    <t>2e8cb00</t>
  </si>
  <si>
    <t>5abc651ceeab92833791f7c0922aabe42eb78930</t>
  </si>
  <si>
    <t>77290b9</t>
  </si>
  <si>
    <t>5ea48db</t>
  </si>
  <si>
    <t>951d169d93bbc5b59bfd71d85be24ea085fa09bd</t>
  </si>
  <si>
    <t>2b7cbeb</t>
  </si>
  <si>
    <t>d2c9d73</t>
  </si>
  <si>
    <t>afc0c2231b2ad631670364e8c130e7a5df7d9df3</t>
  </si>
  <si>
    <t>9a3b928</t>
  </si>
  <si>
    <t>e981264</t>
  </si>
  <si>
    <t>8cce884841e22abb83a28db9ed0cbcc187070c25</t>
  </si>
  <si>
    <t>63a2916</t>
  </si>
  <si>
    <t>90eae9b4a4a29bd666fe3ce5936ad78671cf6cba</t>
  </si>
  <si>
    <t>James Nord</t>
  </si>
  <si>
    <t>56ebe8f</t>
  </si>
  <si>
    <t>bdb4df1</t>
  </si>
  <si>
    <t>fb8c4f025a62c335abd23f2851a228189f7abb75</t>
  </si>
  <si>
    <t>dc7e05a</t>
  </si>
  <si>
    <t>cd29343</t>
  </si>
  <si>
    <t>Mykola Nikishov</t>
  </si>
  <si>
    <t>58166dfb2b7250414a8a257f95e055907c18a4de</t>
  </si>
  <si>
    <t>85a8dd0</t>
  </si>
  <si>
    <t>9005eb6</t>
  </si>
  <si>
    <t>30e25a4f7bf404b084ae0ad2c197b0c41bb24511</t>
  </si>
  <si>
    <t>René Moser</t>
  </si>
  <si>
    <t>0be28b9</t>
  </si>
  <si>
    <t>3a97ded</t>
  </si>
  <si>
    <t>3a753c56fe92382bfc627e04a636c1e1377f04d0</t>
  </si>
  <si>
    <t>8cce8dd</t>
  </si>
  <si>
    <t>8d220fb</t>
  </si>
  <si>
    <t>d5c24703706b5afc6f62664251d1bfb1b0e0668f</t>
  </si>
  <si>
    <t>Nigel Magnay</t>
  </si>
  <si>
    <t>dbe586c</t>
  </si>
  <si>
    <t>8cd638a</t>
  </si>
  <si>
    <t>17ab5d59a2a1ddd3a985088e86f361cf3ea1c349</t>
  </si>
  <si>
    <t>f2f1e72</t>
  </si>
  <si>
    <t>4f573d1</t>
  </si>
  <si>
    <t>c15378ef53bbcbaac1df11662ac4e16d28a008ea</t>
  </si>
  <si>
    <t>a402e97</t>
  </si>
  <si>
    <t>99bf806</t>
  </si>
  <si>
    <t>3c718664e323d5758645f383072cf9bdec6ea28c</t>
  </si>
  <si>
    <t>9b03bf4</t>
  </si>
  <si>
    <t>2b7ebb5</t>
  </si>
  <si>
    <t>20c6fd4ddb0d295c62ce21fe47059e847f02a19c</t>
  </si>
  <si>
    <t>825dc6d</t>
  </si>
  <si>
    <t>9578bf7</t>
  </si>
  <si>
    <t>Ulli Hafner</t>
  </si>
  <si>
    <t>0dff1ddeb7bd3c175b2de7932330d252ecdd37ba</t>
  </si>
  <si>
    <t>mleinart</t>
  </si>
  <si>
    <t>1f2ba8f</t>
  </si>
  <si>
    <t>4add69a</t>
  </si>
  <si>
    <t>a73d15b70e29fc6a14195f4160c0626663b688ee</t>
  </si>
  <si>
    <t>65339ff</t>
  </si>
  <si>
    <t>5a95baf</t>
  </si>
  <si>
    <t>997bfd16eec597ad2f0fd0f07b413d76d2b0560a</t>
  </si>
  <si>
    <t>bf8f2f7</t>
  </si>
  <si>
    <t>e0879e8</t>
  </si>
  <si>
    <t>382abb96a536190b34470e495fea8dc92da6e284</t>
  </si>
  <si>
    <t>ef3fd82</t>
  </si>
  <si>
    <t>ea99014</t>
  </si>
  <si>
    <t>1e9720dc55738471e84fbbdcda7aeaad7f6f0dca</t>
  </si>
  <si>
    <t>d7dcb96</t>
  </si>
  <si>
    <t>e3a0be9</t>
  </si>
  <si>
    <t>laurents59</t>
  </si>
  <si>
    <t>2d2f311e5f2f9f4f10da828ac564b39418c645eb</t>
  </si>
  <si>
    <t>Tom Huybrechts</t>
  </si>
  <si>
    <t>2e7989f</t>
  </si>
  <si>
    <t>5d1ea36</t>
  </si>
  <si>
    <t>c4acebffdb59a60ca8c670abc94854ba5852ae7d</t>
  </si>
  <si>
    <t>e632df6</t>
  </si>
  <si>
    <t>71e1ae7</t>
  </si>
  <si>
    <t>c3eef5b5430763aee8cec18a2aaa242b3cb40ba8</t>
  </si>
  <si>
    <t>c4d9fe8</t>
  </si>
  <si>
    <t>d5b8cf4</t>
  </si>
  <si>
    <t>8fe3f1f028d16f56e2f20fa3b68290e9f7493293</t>
  </si>
  <si>
    <t>Ignacio Albors</t>
  </si>
  <si>
    <t>695c26f</t>
  </si>
  <si>
    <t>7bba3ab</t>
  </si>
  <si>
    <t>b27cc46805ec9e9d2da1fd732c8bebc091d8c1ec</t>
  </si>
  <si>
    <t>84b90dd</t>
  </si>
  <si>
    <t>688e81c</t>
  </si>
  <si>
    <t>ee8de0f903506a5a658a0229f1d2d9488ef51073</t>
  </si>
  <si>
    <t>0667a43</t>
  </si>
  <si>
    <t>821bf00757728a703ace5e2aa79c417028920711</t>
  </si>
  <si>
    <t>e9992be</t>
  </si>
  <si>
    <t>4129ac5</t>
  </si>
  <si>
    <t>ca22c456dcfd062456f06e6fe499936883884f8d</t>
  </si>
  <si>
    <t>Monty Taylor</t>
  </si>
  <si>
    <t>b167b98</t>
  </si>
  <si>
    <t>d14ca2c</t>
  </si>
  <si>
    <t>4c7d65cb9d5bd8c68e8f666e377f61b87479f0a7</t>
  </si>
  <si>
    <t>077aa6f</t>
  </si>
  <si>
    <t>5e86a38</t>
  </si>
  <si>
    <t>92606d7c843b3816d971430df398d19fdaa183c9</t>
  </si>
  <si>
    <t>c36b35f</t>
  </si>
  <si>
    <t>0d3e461</t>
  </si>
  <si>
    <t>Erwan de FERRIERES</t>
  </si>
  <si>
    <t>917b3dff6ca74d88bc22e419f5839cbc3cc26524</t>
  </si>
  <si>
    <t>e295fdf</t>
  </si>
  <si>
    <t>78792b3</t>
  </si>
  <si>
    <t>e8e9ac008160c6127a2f43dd8877d2560d959553</t>
  </si>
  <si>
    <t>cc1f75c</t>
  </si>
  <si>
    <t>c7b673f</t>
  </si>
  <si>
    <t>d5fb8a34a4050692dd9323365a0bb7e2e15f235d</t>
  </si>
  <si>
    <t>8ca078e</t>
  </si>
  <si>
    <t>87f18ec</t>
  </si>
  <si>
    <t>64b8e6e5ea1e74446ebd15ece2762fc43fda8b2c</t>
  </si>
  <si>
    <t>32a344f</t>
  </si>
  <si>
    <t>92be052</t>
  </si>
  <si>
    <t>d8b0296978e1894eac08273f0149130c51d8a99e</t>
  </si>
  <si>
    <t>0a0f040</t>
  </si>
  <si>
    <t>a1eee0b91f5822b5cc0af9140a1836acc86ee717</t>
  </si>
  <si>
    <t>945d04a</t>
  </si>
  <si>
    <t>2951e6a</t>
  </si>
  <si>
    <t>Dirk Pahl</t>
  </si>
  <si>
    <t>0cfb33c4731beba733ff5ee52badf4ff16b07497</t>
  </si>
  <si>
    <t>56f2492</t>
  </si>
  <si>
    <t>206b691</t>
  </si>
  <si>
    <t>a1003269ce60c1b85d1e428a422f231148ad44a9</t>
  </si>
  <si>
    <t>c21918d</t>
  </si>
  <si>
    <t>b22a064</t>
  </si>
  <si>
    <t>86ce56c40156111d5a4c002932087d92de192400</t>
  </si>
  <si>
    <t>8a9260f</t>
  </si>
  <si>
    <t>7c63543</t>
  </si>
  <si>
    <t>fbec27bb875d367a47fd5d40a87a5857c1550b14</t>
  </si>
  <si>
    <t>33b796d</t>
  </si>
  <si>
    <t>d5c2873</t>
  </si>
  <si>
    <t>5470411a6a490510a9bdaa891c809dcdc6c35dc4</t>
  </si>
  <si>
    <t>829ccf0</t>
  </si>
  <si>
    <t>06f88e0</t>
  </si>
  <si>
    <t>4dd48c5d3906a62c1b1056ce62e4fb39eb6dd0ef</t>
  </si>
  <si>
    <t>Flavio Costa</t>
  </si>
  <si>
    <t>ebb122d</t>
  </si>
  <si>
    <t>c172859</t>
  </si>
  <si>
    <t>b6e38cceef6a6e9ed68462e8a0a98c135872caa8</t>
  </si>
  <si>
    <t>939d13c</t>
  </si>
  <si>
    <t>fa2908b</t>
  </si>
  <si>
    <t>0ed1a3581d14cbb4b86ad888e6dc8ae9776077a7</t>
  </si>
  <si>
    <t>kohsuke</t>
  </si>
  <si>
    <t>ba87adf</t>
  </si>
  <si>
    <t>ea0ed93</t>
  </si>
  <si>
    <t>bc3766f41f379fe517d0a4931690698e3110dfdf</t>
  </si>
  <si>
    <t>puug</t>
  </si>
  <si>
    <t>2e656fc</t>
  </si>
  <si>
    <t>b6e38cc</t>
  </si>
  <si>
    <t>58a58aaa397206a1095b51fa07a67c95a291cf30</t>
  </si>
  <si>
    <t>f3c44a0</t>
  </si>
  <si>
    <t>31e7dae</t>
  </si>
  <si>
    <t>5f9a586d13b45a44b20669036fd13902b0d0517c</t>
  </si>
  <si>
    <t>9323b34</t>
  </si>
  <si>
    <t>c83d2cf</t>
  </si>
  <si>
    <t>Mike Robinet</t>
  </si>
  <si>
    <t>e5f9cfda140428097fbc955eaeff5fc445d135fe</t>
  </si>
  <si>
    <t>8af1559</t>
  </si>
  <si>
    <t>f05f62c</t>
  </si>
  <si>
    <t>285741a5240f3658c6e5191edc9ba65fe7d5793c</t>
  </si>
  <si>
    <t>3fb0fb2</t>
  </si>
  <si>
    <t>4f569c8</t>
  </si>
  <si>
    <t>8130df6995f994678c7a7e51b782ea3de04c18df</t>
  </si>
  <si>
    <t>10e9f8f</t>
  </si>
  <si>
    <t>e78bd45</t>
  </si>
  <si>
    <t>Jesse Glick</t>
  </si>
  <si>
    <t>d386f03adc31a0613fa2662cd5a3f5e2396f5072</t>
  </si>
  <si>
    <t>74febb1</t>
  </si>
  <si>
    <t>50b4fe2</t>
  </si>
  <si>
    <t>9d0153fc5f38666cd03eaab781b1d33a0ca2b366</t>
  </si>
  <si>
    <t>289e8b4</t>
  </si>
  <si>
    <t>5853b54</t>
  </si>
  <si>
    <t>0cc7fda64934eeb3eecef6fe903bfbed5606f370</t>
  </si>
  <si>
    <t>2ec192b</t>
  </si>
  <si>
    <t>24eb579d0c7710d0360c13d032386475938135ec</t>
  </si>
  <si>
    <t>Mikko Peltonen</t>
  </si>
  <si>
    <t>042a4cd</t>
  </si>
  <si>
    <t>028e7a8</t>
  </si>
  <si>
    <t>890325e48e22c222a1be583fea8a403b6ace477b</t>
  </si>
  <si>
    <t>70d1039</t>
  </si>
  <si>
    <t>cf87c8f</t>
  </si>
  <si>
    <t>260f8f28cccbac47e60fca7070313213371a9738</t>
  </si>
  <si>
    <t>55debe8</t>
  </si>
  <si>
    <t>92e7aa0</t>
  </si>
  <si>
    <t>1d9f16848ee1381873ea77a4f6b59f8667e2942f</t>
  </si>
  <si>
    <t>a117dc0</t>
  </si>
  <si>
    <t>506d09a</t>
  </si>
  <si>
    <t>9144caad2a18fc5ec3a6d0bacb588f492e9188c2</t>
  </si>
  <si>
    <t>df3192a</t>
  </si>
  <si>
    <t>f36368b</t>
  </si>
  <si>
    <t>5cfc4baa52c8f3646d31eeba4ef5936b51d31d08</t>
  </si>
  <si>
    <t>9a9ac35</t>
  </si>
  <si>
    <t>c5d1b428812259d13f81703bf14fcbe6d5d7cf47</t>
  </si>
  <si>
    <t>be03ace</t>
  </si>
  <si>
    <t>84a78d5</t>
  </si>
  <si>
    <t>Dimitri BAELI</t>
  </si>
  <si>
    <t>427a8aba4a55c36de971814eb7c1660cc76d0d3e</t>
  </si>
  <si>
    <t>782f7f7</t>
  </si>
  <si>
    <t>5bbc78f</t>
  </si>
  <si>
    <t>75b4cc50b563114a11f16349845bd4a2f72bfe02</t>
  </si>
  <si>
    <t>Giulio D'Ambrosi</t>
  </si>
  <si>
    <t>5e9713d</t>
  </si>
  <si>
    <t>5b634a3</t>
  </si>
  <si>
    <t>9ce4d7c3a1aedbc686de9dda029ca94ba2d9d44b</t>
  </si>
  <si>
    <t>e1d4b80</t>
  </si>
  <si>
    <t>9a33396</t>
  </si>
  <si>
    <t>0ecb07bd36f334e906c0e0a71da38fd62f9ce5d4</t>
  </si>
  <si>
    <t>ffcf4c5</t>
  </si>
  <si>
    <t>ebcc791</t>
  </si>
  <si>
    <t>dfc7cc08d6e0b3f534dd5f7269f322c191e1f9c8</t>
  </si>
  <si>
    <t>6d61c80</t>
  </si>
  <si>
    <t>a979808</t>
  </si>
  <si>
    <t>c662b147347f6ea9d7484e0f68cb8254101777f3</t>
  </si>
  <si>
    <t>b57b097</t>
  </si>
  <si>
    <t>fa22815</t>
  </si>
  <si>
    <t>31a76bc4cbb75ec74cf11e9d7e8a048dde9c4701</t>
  </si>
  <si>
    <t>46631d0</t>
  </si>
  <si>
    <t>3dad960</t>
  </si>
  <si>
    <t>af04d72cf566aa0d4280fa98b6ad1243f1c1c53c</t>
  </si>
  <si>
    <t>eadb72f</t>
  </si>
  <si>
    <t>c236f9d18e2c90fd9706476a0ec4e768a68ae914</t>
  </si>
  <si>
    <t>906d164</t>
  </si>
  <si>
    <t>bed2a27</t>
  </si>
  <si>
    <t>57a4e6c37b43167630618e105d9a2cc85dc79b4e</t>
  </si>
  <si>
    <t>ba4fd14</t>
  </si>
  <si>
    <t>05419eb</t>
  </si>
  <si>
    <t>f88e491ac85c58d96c26ba4c19c823c185bcdbc5</t>
  </si>
  <si>
    <t>31a76bc</t>
  </si>
  <si>
    <t>ec3fbdf</t>
  </si>
  <si>
    <t>8e432f8f714de339aab71c6267fd07e1a16cb471</t>
  </si>
  <si>
    <t>5c91eb1</t>
  </si>
  <si>
    <t>5de5b68</t>
  </si>
  <si>
    <t>cd024812929b7ac6902a1958466fde3d74054c47</t>
  </si>
  <si>
    <t>Sami Tikka</t>
  </si>
  <si>
    <t>0955a19</t>
  </si>
  <si>
    <t>e77305cfe951e8cafbd754399e17318a8df5e8e0</t>
  </si>
  <si>
    <t>d755cda</t>
  </si>
  <si>
    <t>4b14ef5</t>
  </si>
  <si>
    <t>de1ab1e629fe0ebb6b24e6fe0afadf0ae5e18f24</t>
  </si>
  <si>
    <t>Ingo Richter</t>
  </si>
  <si>
    <t>cd02481</t>
  </si>
  <si>
    <t>c8c5c13</t>
  </si>
  <si>
    <t>lucinka</t>
  </si>
  <si>
    <t>709c55d5de1cd8de0b69322a056e3307019b12cb</t>
  </si>
  <si>
    <t>b7a6c5d</t>
  </si>
  <si>
    <t>371993e9f75c4c208b989d309e3d331dbf8121c5</t>
  </si>
  <si>
    <t>29dc1d5</t>
  </si>
  <si>
    <t>df0b554</t>
  </si>
  <si>
    <t>4cefed93170a706b6fcd9cac56ea1b92c800538e</t>
  </si>
  <si>
    <t>f48249d</t>
  </si>
  <si>
    <t>c24a2b1ec93064eb2e085ba6d07ca4c85b2c7675</t>
  </si>
  <si>
    <t>0f2f7be</t>
  </si>
  <si>
    <t>1d5cddd</t>
  </si>
  <si>
    <t>fb3e8a9c21c25e15144cde53bec215049bf50f92</t>
  </si>
  <si>
    <t>7d46b22</t>
  </si>
  <si>
    <t>836fc8b</t>
  </si>
  <si>
    <t>d644c08f1c297a5ed47dc8d3f033e2e6b001ca55</t>
  </si>
  <si>
    <t>8007d83</t>
  </si>
  <si>
    <t>c61ffdd</t>
  </si>
  <si>
    <t>68ae55c934967bd8bf9222cbd8f10bfccc0b1506</t>
  </si>
  <si>
    <t>9580ae6</t>
  </si>
  <si>
    <t>b3581db</t>
  </si>
  <si>
    <t>e2283a51325caafad53fc5dca88886fe7aaa9895</t>
  </si>
  <si>
    <t>Mirko Friedenhagen</t>
  </si>
  <si>
    <t>39d738f</t>
  </si>
  <si>
    <t>c465b6e</t>
  </si>
  <si>
    <t>48661984c9b31675fa5857a298df6c958e1bfc31</t>
  </si>
  <si>
    <t>42dbb2d</t>
  </si>
  <si>
    <t>d0c9ee6</t>
  </si>
  <si>
    <t>be1bc456090b0904c07316dccd23e57629234dbf</t>
  </si>
  <si>
    <t>Stephan Pauxberger</t>
  </si>
  <si>
    <t>8a2137f</t>
  </si>
  <si>
    <t>a7ce870</t>
  </si>
  <si>
    <t>28deae772e92a11b6ee423ab02169ea6e2ace384</t>
  </si>
  <si>
    <t>acd14d1</t>
  </si>
  <si>
    <t>f9e6fd0</t>
  </si>
  <si>
    <t>31cd6033a1dc98dc5de6c2fa86d8344eb1aef7dc</t>
  </si>
  <si>
    <t>ff05abe</t>
  </si>
  <si>
    <t>e295fdf1d706b32a070ae5b68d9387f9342f142a</t>
  </si>
  <si>
    <t>ce2c0c5</t>
  </si>
  <si>
    <t>2d958cd</t>
  </si>
  <si>
    <t>b5756b1af0cfda7aef6bc876721e957553e5baa2</t>
  </si>
  <si>
    <t>2b9b4d0</t>
  </si>
  <si>
    <t>cf7bc42</t>
  </si>
  <si>
    <t>92aa65da2ebaeff58f4d33b8f0a067510043a20f</t>
  </si>
  <si>
    <t>8b09a58</t>
  </si>
  <si>
    <t>20c6fd4</t>
  </si>
  <si>
    <t>782f7f7236a98bfb8f3fff56992088a0d42222c3</t>
  </si>
  <si>
    <t>205fea6</t>
  </si>
  <si>
    <t>9194d14</t>
  </si>
  <si>
    <t>049c0ea473b87839741088c347bdfb102d84b56c</t>
  </si>
  <si>
    <t>04584b8</t>
  </si>
  <si>
    <t>c17285967adb789410c33e812dbfb8261326f151</t>
  </si>
  <si>
    <t>08214f2</t>
  </si>
  <si>
    <t>64b953d</t>
  </si>
  <si>
    <t>373397f561e0d5af6f67085fd26f64c8b1d3aa4c</t>
  </si>
  <si>
    <t>fbb5453</t>
  </si>
  <si>
    <t>64b8e6e</t>
  </si>
  <si>
    <t>f9349524fe5bc643483088de266c7875e3b2e1a0</t>
  </si>
  <si>
    <t>David Strauss</t>
  </si>
  <si>
    <t>1b67e20</t>
  </si>
  <si>
    <t>6c7933c</t>
  </si>
  <si>
    <t>a36572795146f0bd3c7c399a2ee4a9e1b63cc77f</t>
  </si>
  <si>
    <t>3c88fc5</t>
  </si>
  <si>
    <t>a84188e</t>
  </si>
  <si>
    <t>a178194fb5a9562d79b8e0bb28f7b63ddf2e78fd</t>
  </si>
  <si>
    <t>Stefan Wolf</t>
  </si>
  <si>
    <t>0ffa032</t>
  </si>
  <si>
    <t>237dbe3</t>
  </si>
  <si>
    <t>da13c76057af1add3f0e2671cad07030c2e4d1c3</t>
  </si>
  <si>
    <t>d2b16af</t>
  </si>
  <si>
    <t>ff8585c</t>
  </si>
  <si>
    <t>005b75d6383a21bc1fa12a017a299ec179dc50b7</t>
  </si>
  <si>
    <t>3f13f6d</t>
  </si>
  <si>
    <t>c3eef5b</t>
  </si>
  <si>
    <t>592e444f6a2b4b4a2e2f92bd3459293e3c6424df</t>
  </si>
  <si>
    <t>Sebastian Rahlf</t>
  </si>
  <si>
    <t>577e913</t>
  </si>
  <si>
    <t>491b857</t>
  </si>
  <si>
    <t>bbcf2867f0f017dd574a762681314375bd927882</t>
  </si>
  <si>
    <t>Ed Bartosh</t>
  </si>
  <si>
    <t>15665b4</t>
  </si>
  <si>
    <t>689b397</t>
  </si>
  <si>
    <t>6b3b55579a96e39b5de3853c14f25b0f76bb1bb1</t>
  </si>
  <si>
    <t>bafc4f6</t>
  </si>
  <si>
    <t>244ff567cc002b002014c25ce160fd50294a4b1d</t>
  </si>
  <si>
    <t>3df6408</t>
  </si>
  <si>
    <t>91fafb4</t>
  </si>
  <si>
    <t>731863610a2fd799e33b94b540c5203de3bb341c</t>
  </si>
  <si>
    <t>e4ffe6d</t>
  </si>
  <si>
    <t>009db74</t>
  </si>
  <si>
    <t>ed51d4d68ce8977dc31224622c8ec786fbf1eec5</t>
  </si>
  <si>
    <t>08b6855f362b7a13960e7e96d343a4cfeb75754f</t>
  </si>
  <si>
    <t>b1f1dbf</t>
  </si>
  <si>
    <t>952f19f</t>
  </si>
  <si>
    <t>Richard Mortimer</t>
  </si>
  <si>
    <t>217d8d016483c53d9f522077ef5d26114be8027e</t>
  </si>
  <si>
    <t>f6facf4</t>
  </si>
  <si>
    <t>bc99134</t>
  </si>
  <si>
    <t>fred-o</t>
  </si>
  <si>
    <t>2066157dc37ad494e3d44dcdfca268f29520d030</t>
  </si>
  <si>
    <t>dfead9c</t>
  </si>
  <si>
    <t>44cdde5b58b145fd6c03ed89987dd2246dfc6661</t>
  </si>
  <si>
    <t>Kevin Connor</t>
  </si>
  <si>
    <t>6be5275</t>
  </si>
  <si>
    <t>78cdd29</t>
  </si>
  <si>
    <t>bf08281f579ba3a4eae003e6ff225aed66c344d2</t>
  </si>
  <si>
    <t>2ad3dfc</t>
  </si>
  <si>
    <t>95d49f547ace51cabbc6316feb265e18e495d87d</t>
  </si>
  <si>
    <t>36012c2</t>
  </si>
  <si>
    <t>1bdedc2</t>
  </si>
  <si>
    <t>5c4cc605ffd0a2236d4e319dc626ca1ce2f448da</t>
  </si>
  <si>
    <t>4a6b5c1</t>
  </si>
  <si>
    <t>c3fc099</t>
  </si>
  <si>
    <t>2308cfae793f11eb46fc5c10f7e367a24a9fb68c</t>
  </si>
  <si>
    <t>f8644cf</t>
  </si>
  <si>
    <t>5465f5dacddeb3a8a604c8ab5fab62a7649c43b6</t>
  </si>
  <si>
    <t>18f4a8e</t>
  </si>
  <si>
    <t>c85e60f</t>
  </si>
  <si>
    <t>7d03f133f13b8e2751eeb5898c3bf657f4f7eef8</t>
  </si>
  <si>
    <t>817366e</t>
  </si>
  <si>
    <t>6cd2326</t>
  </si>
  <si>
    <t>f8515e96fe968c84937201e122d2f66a08d59ab9</t>
  </si>
  <si>
    <t>f134bd6</t>
  </si>
  <si>
    <t>91f7906</t>
  </si>
  <si>
    <t>bd0c937394e40bb836058e79f7718387655f9f21</t>
  </si>
  <si>
    <t>1369c4f</t>
  </si>
  <si>
    <t>31bb961</t>
  </si>
  <si>
    <t>774f65539841c82208ad62b5a458d3fb38a4eff8</t>
  </si>
  <si>
    <t>Nathan Parry</t>
  </si>
  <si>
    <t>a88920a</t>
  </si>
  <si>
    <t>f40b4ff</t>
  </si>
  <si>
    <t>4e9c9bd8eed3382e85714c54bc00fd1366095fdb</t>
  </si>
  <si>
    <t>d6a9559</t>
  </si>
  <si>
    <t>3e0b5a6</t>
  </si>
  <si>
    <t>alanharder</t>
  </si>
  <si>
    <t>991785054ddb2a01864196e96bf861d287073ddc</t>
  </si>
  <si>
    <t>fda370b</t>
  </si>
  <si>
    <t>4a2c185</t>
  </si>
  <si>
    <t>cb0a95e98510210d211a468f453c1c56eadd6f4d</t>
  </si>
  <si>
    <t>Dean Yu</t>
  </si>
  <si>
    <t>ca7e9d7</t>
  </si>
  <si>
    <t>085c910</t>
  </si>
  <si>
    <t>John Pederzolli</t>
  </si>
  <si>
    <t>00740fb6522685d59f44010a5f5bdfa397f2c8c8</t>
  </si>
  <si>
    <t>4808f82</t>
  </si>
  <si>
    <t>bac65b5</t>
  </si>
  <si>
    <t>e17760256e0c4cd48ce68f372d5f631cb507ddc9</t>
  </si>
  <si>
    <t>731c8aa</t>
  </si>
  <si>
    <t>f67476c</t>
  </si>
  <si>
    <t>f0bdf8668081edd55cc32d3ebade738c717ed4a0</t>
  </si>
  <si>
    <t>86d077d</t>
  </si>
  <si>
    <t>505a0bb</t>
  </si>
  <si>
    <t>e00729ea4bbe7316058534fd0b96289375bb1250</t>
  </si>
  <si>
    <t>9db1436</t>
  </si>
  <si>
    <t>24dc000</t>
  </si>
  <si>
    <t>ca7e9d7964c696b2de7a59e671b7143ddd02ef03</t>
  </si>
  <si>
    <t>08b6855</t>
  </si>
  <si>
    <t>bedd109</t>
  </si>
  <si>
    <t>2e7989fb2531bdcb254d81c34765ef7cde11f5af</t>
  </si>
  <si>
    <t>0594bdc</t>
  </si>
  <si>
    <t>12eeca5</t>
  </si>
  <si>
    <t>dty</t>
  </si>
  <si>
    <t>e0879e8f75a608d73d1367d9b35b1a0845563f6c</t>
  </si>
  <si>
    <t>d1d8123</t>
  </si>
  <si>
    <t>0aba9f97e7e2e2dd1e7a421287407b77c893e493</t>
  </si>
  <si>
    <t>4bf8f09</t>
  </si>
  <si>
    <t>b013c4d</t>
  </si>
  <si>
    <t>4a6b5c131ef0815779890d2245765a3d582a31e2</t>
  </si>
  <si>
    <t>cbe2677</t>
  </si>
  <si>
    <t>18eb948</t>
  </si>
  <si>
    <t>3ff20f4436bca904da2c9daad94139aef543ff9a</t>
  </si>
  <si>
    <t>8ce6893</t>
  </si>
  <si>
    <t>405f913</t>
  </si>
  <si>
    <t>d971be137c531f2d2e02e5afd2c2da6f4ab0744e</t>
  </si>
  <si>
    <t>607ea34</t>
  </si>
  <si>
    <t>2f7f5c9</t>
  </si>
  <si>
    <t>831e746182f4f8fbdf0211c6596102fb058b3981</t>
  </si>
  <si>
    <t>3755b4c</t>
  </si>
  <si>
    <t>071c51a</t>
  </si>
  <si>
    <t>06b1009b09888c89b8180316aac7040c376376b2</t>
  </si>
  <si>
    <t>cf3104d</t>
  </si>
  <si>
    <t>b2a9ccd</t>
  </si>
  <si>
    <t>e4cf6d9529a9dcf960c150c15a122ae77ae93173</t>
  </si>
  <si>
    <t>Will Ross</t>
  </si>
  <si>
    <t>547c8d6</t>
  </si>
  <si>
    <t>89bd7cd</t>
  </si>
  <si>
    <t>9b033f412c09b189881d576f3bad82f828d09642</t>
  </si>
  <si>
    <t>0db035a</t>
  </si>
  <si>
    <t>f461f5609b37e76c159594e314bc96dc57cd06bb</t>
  </si>
  <si>
    <t>968c19d</t>
  </si>
  <si>
    <t>f278916</t>
  </si>
  <si>
    <t>8f413024770f95d5e62ca19dcde4662c395cfbd9</t>
  </si>
  <si>
    <t>3a52395</t>
  </si>
  <si>
    <t>7c53833</t>
  </si>
  <si>
    <t>2b461b190cb8c5e82b1d9d28bd06b6fbbcb809d3</t>
  </si>
  <si>
    <t>528ee7e</t>
  </si>
  <si>
    <t>18e1926</t>
  </si>
  <si>
    <t>dfda1dfe16baff05cf7d016f57559a5682d9557c</t>
  </si>
  <si>
    <t>c857792</t>
  </si>
  <si>
    <t>580d8f2</t>
  </si>
  <si>
    <t>39eb2522165ab190d82cacfe692360471cf38dec</t>
  </si>
  <si>
    <t>c24a2b1</t>
  </si>
  <si>
    <t>5c0d955</t>
  </si>
  <si>
    <t>454e93764bd56d475bcf7bed0b9019542893ad32</t>
  </si>
  <si>
    <t>8a3d9c0</t>
  </si>
  <si>
    <t>9ef8a5c</t>
  </si>
  <si>
    <t>6424a80c98e64acc25a8a9252995475a15eed4c6</t>
  </si>
  <si>
    <t>8fdbedb</t>
  </si>
  <si>
    <t>1f0ed962b22d0b24cdfca44d62197a7ee3317180</t>
  </si>
  <si>
    <t>5b3990e</t>
  </si>
  <si>
    <t>45dbab7</t>
  </si>
  <si>
    <t>Aitor Alzola</t>
  </si>
  <si>
    <t>e0bccdde29fbf1bc292e923519c655030d8d4b75</t>
  </si>
  <si>
    <t>8b9c741</t>
  </si>
  <si>
    <t>8cbbc20</t>
  </si>
  <si>
    <t>74358e70861af449a95e157802441e5ec5a16686</t>
  </si>
  <si>
    <t>8c95d32</t>
  </si>
  <si>
    <t>5d90351</t>
  </si>
  <si>
    <t>febc86d0b7e939a43ff3525cd70b440788df6b72</t>
  </si>
  <si>
    <t>350f5c4</t>
  </si>
  <si>
    <t>6643d1f</t>
  </si>
  <si>
    <t>bfdfe527c6c1667c3632b2bd54b7b217469faa2e</t>
  </si>
  <si>
    <t>1c9262e</t>
  </si>
  <si>
    <t>879b3f0</t>
  </si>
  <si>
    <t>d77e7f21a39e3b177c0cab32853d000a509d8430</t>
  </si>
  <si>
    <t>7540d09</t>
  </si>
  <si>
    <t>ac1c08c</t>
  </si>
  <si>
    <t>ffd73a2e72abf67f1b93bad26032638daa7b0806</t>
  </si>
  <si>
    <t>cjo9900</t>
  </si>
  <si>
    <t>591cbfd</t>
  </si>
  <si>
    <t>9f526b3</t>
  </si>
  <si>
    <t>aab2e616317fdfa0ebb22c67f41ba9a7e3089bdd</t>
  </si>
  <si>
    <t>fb38fc1</t>
  </si>
  <si>
    <t>89f159f</t>
  </si>
  <si>
    <t>9d3fc6d930d214882142382363ee19ebd7a009bf</t>
  </si>
  <si>
    <t>c5bee09</t>
  </si>
  <si>
    <t>8bfbd43</t>
  </si>
  <si>
    <t>8ab8682c5ef51d53a7afbf1fb0328db67e4826e6</t>
  </si>
  <si>
    <t>f994a4c</t>
  </si>
  <si>
    <t>db30b67</t>
  </si>
  <si>
    <t>Erik Ramfelt</t>
  </si>
  <si>
    <t>211231d12b2d5e998421ab7a332f955800d5b601</t>
  </si>
  <si>
    <t>2dbe144</t>
  </si>
  <si>
    <t>244ff56</t>
  </si>
  <si>
    <t>047382c71ccb9ef376faca6d0ed7216702d9142a</t>
  </si>
  <si>
    <t>982d563</t>
  </si>
  <si>
    <t>9cd26cd</t>
  </si>
  <si>
    <t>067fcb824bc1d9bb8c62ff1437e3a9a6be11a427</t>
  </si>
  <si>
    <t>7da580e</t>
  </si>
  <si>
    <t>d488238</t>
  </si>
  <si>
    <t>mindless</t>
  </si>
  <si>
    <t>039e43cf488dc5ce22f2da7f2aa6f088aa816e82</t>
  </si>
  <si>
    <t>ce27914</t>
  </si>
  <si>
    <t>4f0ea9d</t>
  </si>
  <si>
    <t>7228d6f0cb0af8eacbc3bb05dee0aa01010d3300</t>
  </si>
  <si>
    <t>8369b7d</t>
  </si>
  <si>
    <t>2166cf0</t>
  </si>
  <si>
    <t>d9e6602194916fc3328a9533ff03d18b6026c489</t>
  </si>
  <si>
    <t>Dominic Mitchell</t>
  </si>
  <si>
    <t>e4a846d</t>
  </si>
  <si>
    <t>2ff3cab</t>
  </si>
  <si>
    <t>5020077c0099fea3c61b69c3915674316491b20c</t>
  </si>
  <si>
    <t>514b5fd</t>
  </si>
  <si>
    <t>82a26a5</t>
  </si>
  <si>
    <t>5aa72298366aa748fc65ae645c61e6c16cde5ee5</t>
  </si>
  <si>
    <t>a2c2088</t>
  </si>
  <si>
    <t>1a7001b</t>
  </si>
  <si>
    <t>bfab817b956dc0c59245e6c293bbebe05637254e</t>
  </si>
  <si>
    <t>495779d</t>
  </si>
  <si>
    <t>d2f90ce</t>
  </si>
  <si>
    <t>3106a80bcfb26e85c128704306d34b0c8377ae5c</t>
  </si>
  <si>
    <t>a70f6b1</t>
  </si>
  <si>
    <t>fe9d526e4dfec8d6ea2dba827ef5b7c7106a25c7</t>
  </si>
  <si>
    <t>119aea8</t>
  </si>
  <si>
    <t>9015b0bd0a40602eac35c55abc7c3829848752ce</t>
  </si>
  <si>
    <t>6f38923</t>
  </si>
  <si>
    <t>15b2a8b</t>
  </si>
  <si>
    <t>47e82f1a4fd29de3d7a102da227b616f4f3543b7</t>
  </si>
  <si>
    <t>481b43f</t>
  </si>
  <si>
    <t>732accc</t>
  </si>
  <si>
    <t>2b65cdac9e73ea995e6eb4d191b3df1ffcb4f4cc</t>
  </si>
  <si>
    <t>6b5b9dc</t>
  </si>
  <si>
    <t>72f6f68</t>
  </si>
  <si>
    <t>7219e3af4b8e1f464cb034546cdb16059f1ec4d3</t>
  </si>
  <si>
    <t>8eea720</t>
  </si>
  <si>
    <t>a95c3e6</t>
  </si>
  <si>
    <t>09e4891843616efc32173a474acea5fe0fe2bfcc</t>
  </si>
  <si>
    <t>a92526b</t>
  </si>
  <si>
    <t>51beb72</t>
  </si>
  <si>
    <t>Paul Sandoz</t>
  </si>
  <si>
    <t>dbe586ce9260b113caab7ac115a2f8382b88eaa8</t>
  </si>
  <si>
    <t>79eb909</t>
  </si>
  <si>
    <t>677f96118cf1ea2b954ccd169686facbf496363f</t>
  </si>
  <si>
    <t>4895dbe</t>
  </si>
  <si>
    <t>89d0d84</t>
  </si>
  <si>
    <t>e0b31e10e56cb01d1623efc993d28138a84bcd39</t>
  </si>
  <si>
    <t>ed44cc3</t>
  </si>
  <si>
    <t>8045c5e</t>
  </si>
  <si>
    <t>a7bbf52b77acfb563f7ce6fdb8a521c979bc0db9</t>
  </si>
  <si>
    <t>642f301</t>
  </si>
  <si>
    <t>5f0492de19dad55509c187eb8f594c3c1c25e21d</t>
  </si>
  <si>
    <t>c7ea4b7</t>
  </si>
  <si>
    <t>f8a220d</t>
  </si>
  <si>
    <t>f1f1e162c8fae765e5bfd2da87f9580efa837248</t>
  </si>
  <si>
    <t>5c4cc60</t>
  </si>
  <si>
    <t>803d111</t>
  </si>
  <si>
    <t>7ef707390d5eb8df2e0244dad1a1708cdca055e2</t>
  </si>
  <si>
    <t>9c96561</t>
  </si>
  <si>
    <t>fa9c558</t>
  </si>
  <si>
    <t>2109e28d7ed8f00a97c952ac2d7191a93069e4fa</t>
  </si>
  <si>
    <t>2b8930c</t>
  </si>
  <si>
    <t>34e8a40</t>
  </si>
  <si>
    <t>30c229f2245ff850909b318d0a18e348d32102ab</t>
  </si>
  <si>
    <t>51a53ab</t>
  </si>
  <si>
    <t>Jakub Štiller</t>
  </si>
  <si>
    <t>2f50f49517b20cfd1b933e4871249aa489234977</t>
  </si>
  <si>
    <t>e1ab16c</t>
  </si>
  <si>
    <t>a04320c</t>
  </si>
  <si>
    <t>ef05e4ccfbad590ad3ab4f099a9d35fabf46dac0</t>
  </si>
  <si>
    <t>e03ba7d</t>
  </si>
  <si>
    <t>06770c3</t>
  </si>
  <si>
    <t>appr</t>
  </si>
  <si>
    <t>b2e09c5f9f62fec4d72b16bbffdc4040cb80bc91</t>
  </si>
  <si>
    <t>fe452bf</t>
  </si>
  <si>
    <t>70a2a69</t>
  </si>
  <si>
    <t>93493707839132febc47da116fd106452ccd2c99</t>
  </si>
  <si>
    <t>4df292d</t>
  </si>
  <si>
    <t>8bf3c53</t>
  </si>
  <si>
    <t>fcd1a794b7680b5b0dccbd4915ddc0ed273b5cef</t>
  </si>
  <si>
    <t>Wil Moore III</t>
  </si>
  <si>
    <t>258a5bc</t>
  </si>
  <si>
    <t>15e9b26</t>
  </si>
  <si>
    <t>2de6b59e85bbbb4c75a9d27469448af9505acca0</t>
  </si>
  <si>
    <t>9ab5f56</t>
  </si>
  <si>
    <t>143fddc</t>
  </si>
  <si>
    <t>2adef6719ab50a2b54c3fda8a5cadfd37174b22e</t>
  </si>
  <si>
    <t>017e445</t>
  </si>
  <si>
    <t>d9e6602</t>
  </si>
  <si>
    <t>5e63aa5ce83576e2111d85db5338b1bf04b9801e</t>
  </si>
  <si>
    <t>244609b</t>
  </si>
  <si>
    <t>f934952</t>
  </si>
  <si>
    <t>c267d498d44090975ef301331b75b79a8e47f3e1</t>
  </si>
  <si>
    <t>7b15c23</t>
  </si>
  <si>
    <t>92606d7</t>
  </si>
  <si>
    <t>39d738f2a3fcbb98271fbc6724059afc2366185f</t>
  </si>
  <si>
    <t>rseguy</t>
  </si>
  <si>
    <t>d0eef1f</t>
  </si>
  <si>
    <t>cae5ea0</t>
  </si>
  <si>
    <t>f4966f7cd3fafc0b7937be44b4dcdb79f414d2bc</t>
  </si>
  <si>
    <t>753d625</t>
  </si>
  <si>
    <t>2acc9a83c637176b7d1f53345cdcb05a1b2cea91</t>
  </si>
  <si>
    <t>b835fb1</t>
  </si>
  <si>
    <t>67a8fae</t>
  </si>
  <si>
    <t>58503ade3a54bd293bc05d32b0c4b0d3d75e5107</t>
  </si>
  <si>
    <t>fca7ccf</t>
  </si>
  <si>
    <t>38e5d11</t>
  </si>
  <si>
    <t>f5a449af5f5bcaa8cdd77cc95e8d51870b01ed63</t>
  </si>
  <si>
    <t>dfffcf0</t>
  </si>
  <si>
    <t>a834807</t>
  </si>
  <si>
    <t>dd8cdda6eeb4a29d991a61d58e06167b51ffa20f</t>
  </si>
  <si>
    <t>James Page</t>
  </si>
  <si>
    <t>09d06a9</t>
  </si>
  <si>
    <t>0ba1bc0</t>
  </si>
  <si>
    <t>27974bb6bc05991273f4505111bc78d475b8c86b</t>
  </si>
  <si>
    <t>819c852</t>
  </si>
  <si>
    <t>cb86f97</t>
  </si>
  <si>
    <t>56f2492359bc7927d5d2ba1af06891534c1d0aa0</t>
  </si>
  <si>
    <t>cb0a95e</t>
  </si>
  <si>
    <t>7fad4e6fcca9d2fb77872c6bb1064eaf0b903947</t>
  </si>
  <si>
    <t>d741fd9</t>
  </si>
  <si>
    <t>d546378</t>
  </si>
  <si>
    <t>62697b6c3cafcd6ad85e8c4c478b98a664d6f788</t>
  </si>
  <si>
    <t>177a932</t>
  </si>
  <si>
    <t>f987e4e</t>
  </si>
  <si>
    <t>40ffd566a2bad3fd28e30a87355ddb121e209317</t>
  </si>
  <si>
    <t>26fc0c8</t>
  </si>
  <si>
    <t>5dddebc</t>
  </si>
  <si>
    <t>a1b4f795ca8cf810697fccc805d41fc3cff2107f</t>
  </si>
  <si>
    <t>73c3c20</t>
  </si>
  <si>
    <t>64adabf</t>
  </si>
  <si>
    <t>88969544e152427e5503d1f38d1702816681c679</t>
  </si>
  <si>
    <t>6938d80</t>
  </si>
  <si>
    <t>cc40af0</t>
  </si>
  <si>
    <t>a5f8484b9ad41c49b85baa8a310fd9831397674b</t>
  </si>
  <si>
    <t>005b75d</t>
  </si>
  <si>
    <t>2ca3836</t>
  </si>
  <si>
    <t>97b934206977421ec0d045dfb472da0198264f26</t>
  </si>
  <si>
    <t>3b00a37</t>
  </si>
  <si>
    <t>4add1da</t>
  </si>
  <si>
    <t>8325b4eb1dd22c037e752d662694aa39f9f6311d</t>
  </si>
  <si>
    <t>fcbc062</t>
  </si>
  <si>
    <t>ec84ee4</t>
  </si>
  <si>
    <t>a402e97ebcc748bd53273316c0a34a5a0367bdba</t>
  </si>
  <si>
    <t>997bfd1</t>
  </si>
  <si>
    <t>4bf8f09bae4bad1aaf2f946b4126de91cb999080</t>
  </si>
  <si>
    <t>2d629d6</t>
  </si>
  <si>
    <t>9c7e08b</t>
  </si>
  <si>
    <t>4b47fd523a35253f88cb10db5b1dc5dcc05a50e4</t>
  </si>
  <si>
    <t>33ae00e</t>
  </si>
  <si>
    <t>687e584</t>
  </si>
  <si>
    <t>2b14fe3de5812ecd6b0cf4e69bdc44f229aa8aef</t>
  </si>
  <si>
    <t>slide</t>
  </si>
  <si>
    <t>8a2fc3b</t>
  </si>
  <si>
    <t>3ac5a04</t>
  </si>
  <si>
    <t>50a82775e183d5f4291958d8a36583c238342931</t>
  </si>
  <si>
    <t>8dfa5e1</t>
  </si>
  <si>
    <t>2fa4018</t>
  </si>
  <si>
    <t>1a7001b7e43b5aaacd7a7a355a5ebbaa5a10474d</t>
  </si>
  <si>
    <t>a0fb3a8</t>
  </si>
  <si>
    <t>fe30ad8</t>
  </si>
  <si>
    <t>cd897a6a7697f6436eb5e6b7c66c8f84260815e6</t>
  </si>
  <si>
    <t>606742c</t>
  </si>
  <si>
    <t>921359c</t>
  </si>
  <si>
    <t>c54c7e5c49a099a236313bb98fa723fcb48e73d0</t>
  </si>
  <si>
    <t>54d9840</t>
  </si>
  <si>
    <t>6065a95</t>
  </si>
  <si>
    <t>334ff7c921287f9dcf3f632453d406d8ecdd5c87</t>
  </si>
  <si>
    <t>Jyrki Puttonen</t>
  </si>
  <si>
    <t>142a7bb</t>
  </si>
  <si>
    <t>e10ddf6</t>
  </si>
  <si>
    <t>8cc55159ca935b0d982d9b27cff2ec49fe5ccbec</t>
  </si>
  <si>
    <t>d3244f0</t>
  </si>
  <si>
    <t>02c8ae7</t>
  </si>
  <si>
    <t>jglick</t>
  </si>
  <si>
    <t>fdf96b3a2cd1ab46307a78cd92dee58e1e645ddf</t>
  </si>
  <si>
    <t>8d29f47</t>
  </si>
  <si>
    <t>539ea13</t>
  </si>
  <si>
    <t>2bd1f1b3f263e7876f5590ffa4d2d5ce63db3bd8</t>
  </si>
  <si>
    <t>afa9e5b</t>
  </si>
  <si>
    <t>41ef51a2dba021b9c5628178b2300d6779c62603</t>
  </si>
  <si>
    <t>23daeee</t>
  </si>
  <si>
    <t>2220b7f</t>
  </si>
  <si>
    <t>56a1d03fab23b8f42d3f3cd5b0c92999a4f67780</t>
  </si>
  <si>
    <t>fcf7f46</t>
  </si>
  <si>
    <t>8efe598df7ccf1fcb212e247d5c967cae01a5ed3</t>
  </si>
  <si>
    <t>2d2f311</t>
  </si>
  <si>
    <t>3d5d53a</t>
  </si>
  <si>
    <t>2ec651eae2b73d5c61b4d7757de09826bb1a65e8</t>
  </si>
  <si>
    <t>663897c</t>
  </si>
  <si>
    <t>Julien Carsique</t>
  </si>
  <si>
    <t>d1d8123a9bfbaac1aecd561b687ebdd8fcb147c6</t>
  </si>
  <si>
    <t>Dave Brosius</t>
  </si>
  <si>
    <t>e7d0ba5</t>
  </si>
  <si>
    <t>8e6929f</t>
  </si>
  <si>
    <t>fa9c55884194def3a034115f4b875050dfaf6f2f</t>
  </si>
  <si>
    <t>f6bd1f3</t>
  </si>
  <si>
    <t>b5973a4a1da2285d4a814dd88b1f48f48376fc8d</t>
  </si>
  <si>
    <t>24d561f</t>
  </si>
  <si>
    <t>5c0b36d</t>
  </si>
  <si>
    <t>7839da21b3904073b2446b0f65ff8de098d66b9c</t>
  </si>
  <si>
    <t>bfddacf</t>
  </si>
  <si>
    <t>c1c487b</t>
  </si>
  <si>
    <t>0667a43f5811def6de8087363065c7fb367f544d</t>
  </si>
  <si>
    <t>Christopher Orr</t>
  </si>
  <si>
    <t>70da17e</t>
  </si>
  <si>
    <t>208c7b6</t>
  </si>
  <si>
    <t>514b5fdf51d93a24bfbca991ae263e0fd8136dd7</t>
  </si>
  <si>
    <t>e76b021</t>
  </si>
  <si>
    <t>d24afe9</t>
  </si>
  <si>
    <t>f88a2ba3336714a7d03b1d7b0f5a32b3c106cffd</t>
  </si>
  <si>
    <t>6c52125</t>
  </si>
  <si>
    <t>36d9b56</t>
  </si>
  <si>
    <t>0f143271345d6d9c989135492bd5d05c74ab0ac4</t>
  </si>
  <si>
    <t>1d4abe2</t>
  </si>
  <si>
    <t>4150d11fa468ce24188732b6ebe73bc5d0eac326</t>
  </si>
  <si>
    <t>e1355a4</t>
  </si>
  <si>
    <t>0db7b74</t>
  </si>
  <si>
    <t>2bd40df44439ae04ecc2db306de70230f520c1a7</t>
  </si>
  <si>
    <t>Ciprian Ciubotariu</t>
  </si>
  <si>
    <t>f967fea</t>
  </si>
  <si>
    <t>e8e9ac0</t>
  </si>
  <si>
    <t>758aedf885d4eee2c24ec9889e5886826af9a500</t>
  </si>
  <si>
    <t>c628bdd</t>
  </si>
  <si>
    <t>b7a6c5d5d18ac4a00781919788e5c57360f05529</t>
  </si>
  <si>
    <t>354956f</t>
  </si>
  <si>
    <t>817b5dba3bc19899fdedcc35679f9239a80bc02b</t>
  </si>
  <si>
    <t>50f7aa3</t>
  </si>
  <si>
    <t>7c5da9b</t>
  </si>
  <si>
    <t>3abc2d5b1ce50b15c3cac1bf821dbc1aeab88601</t>
  </si>
  <si>
    <t>ad343a6</t>
  </si>
  <si>
    <t>995f402</t>
  </si>
  <si>
    <t>27bd5c9b549083469bf8aa94dbe5784c65c2effb</t>
  </si>
  <si>
    <t>c167f52</t>
  </si>
  <si>
    <t>9519de1</t>
  </si>
  <si>
    <t>229fc4eccaeeb5d07f238dceb9e389d3f7509921</t>
  </si>
  <si>
    <t>39a20e7</t>
  </si>
  <si>
    <t>11ee013</t>
  </si>
  <si>
    <t>09bc78aec7e1e114949ca926d9907f7067a3015c</t>
  </si>
  <si>
    <t>20e9ab6</t>
  </si>
  <si>
    <t>17baab5</t>
  </si>
  <si>
    <t>68f4bd5dcfa5cf186065697d17dc76ade211846b</t>
  </si>
  <si>
    <t>e14c13c</t>
  </si>
  <si>
    <t>2836ae4</t>
  </si>
  <si>
    <t>39d15d9ed5898769049e00fe10d13253ae7bec8a</t>
  </si>
  <si>
    <t>Rob van Oostrum</t>
  </si>
  <si>
    <t>be0720c</t>
  </si>
  <si>
    <t>6b5ef4b</t>
  </si>
  <si>
    <t>004d50a25970425b9c777b4a3265765b2e5f4c86</t>
  </si>
  <si>
    <t>b68aaa6</t>
  </si>
  <si>
    <t>e039f38f3934cc3b3a658e00bab6678315b75f34</t>
  </si>
  <si>
    <t>d1f862d</t>
  </si>
  <si>
    <t>redsolo</t>
  </si>
  <si>
    <t>6a2dad3134cecc50fa343ec184dfcdc9273fa06f</t>
  </si>
  <si>
    <t>ff1f609</t>
  </si>
  <si>
    <t>b8152f4</t>
  </si>
  <si>
    <t>cabd3dbaa82a969804b2ca2c6d3f1f08ff48c2aa</t>
  </si>
  <si>
    <t>4b63591</t>
  </si>
  <si>
    <t>ea3452c</t>
  </si>
  <si>
    <t>75d8cbb8b3b21f6f90f6b429546a56a1550f7487</t>
  </si>
  <si>
    <t>b1d1127</t>
  </si>
  <si>
    <t>2ac1df4b91ea5bf0ee94d4d89e135d8a355bd8c8</t>
  </si>
  <si>
    <t>a2f9583</t>
  </si>
  <si>
    <t>4a6cee4</t>
  </si>
  <si>
    <t>6051a1b214e1ac0006bba24f9eec95b7be52024b</t>
  </si>
  <si>
    <t>e64b616</t>
  </si>
  <si>
    <t>90dbe1b</t>
  </si>
  <si>
    <t>652df3338f92d380d23f4c95a344d49f4249cd64</t>
  </si>
  <si>
    <t>c8ccee1</t>
  </si>
  <si>
    <t>Jørgen P. Tjernø</t>
  </si>
  <si>
    <t>3e01ab2458aa93ea8af133383a4cc4ae230af833</t>
  </si>
  <si>
    <t>831e746</t>
  </si>
  <si>
    <t>c267d49</t>
  </si>
  <si>
    <t>156d7040a9b54e1c227129ab330883962e1131a6</t>
  </si>
  <si>
    <t>7e14d2e</t>
  </si>
  <si>
    <t>5c990b4</t>
  </si>
  <si>
    <t>edcde6d14aac4a6320519013826d96b991fa1977</t>
  </si>
  <si>
    <t>55d1f1f</t>
  </si>
  <si>
    <t>427a8ab</t>
  </si>
  <si>
    <t>f88a9502a586b5562059e1a2364bdae10e8f9fd1</t>
  </si>
  <si>
    <t>3f9a630</t>
  </si>
  <si>
    <t>15e4a36</t>
  </si>
  <si>
    <t>d43050887a786ba6ba5bf427617ee6329f8fed19</t>
  </si>
  <si>
    <t>9f09e8a</t>
  </si>
  <si>
    <t>6f636b5</t>
  </si>
  <si>
    <t>70613748db877ac4500454207984704afa890c8f</t>
  </si>
  <si>
    <t>5b0fcc6</t>
  </si>
  <si>
    <t>d3d564c</t>
  </si>
  <si>
    <t>4266fc62ddbb1202d9f24df19a1be511e868225e</t>
  </si>
  <si>
    <t>d6ef420</t>
  </si>
  <si>
    <t>a97c918</t>
  </si>
  <si>
    <t>Julien HENRY</t>
  </si>
  <si>
    <t>36ddba6bfbf2f563dbd4cb1254f273a5f499bb06</t>
  </si>
  <si>
    <t>3f81160</t>
  </si>
  <si>
    <t>e76b021d958359faa9caa4df6dc1822d4789e977</t>
  </si>
  <si>
    <t>68f4bd5</t>
  </si>
  <si>
    <t>f10b5eb</t>
  </si>
  <si>
    <t>Christian Wolfgang</t>
  </si>
  <si>
    <t>ba414842c442e2f4fde4ff7da3f6567c17c2cabe</t>
  </si>
  <si>
    <t>80c9fe8</t>
  </si>
  <si>
    <t>350ab552b590c6079dcff2a640a460fdd7898f15</t>
  </si>
  <si>
    <t>5cbe179</t>
  </si>
  <si>
    <t>be85b9c</t>
  </si>
  <si>
    <t>49a113463a92f05a3e292ad2c6120e6fe15b14b4</t>
  </si>
  <si>
    <t>Gunnar Wrobel</t>
  </si>
  <si>
    <t>dee464f</t>
  </si>
  <si>
    <t>2ae2e1d</t>
  </si>
  <si>
    <t>05f36b4772bf554105ec79706ff326fc5873b5b6</t>
  </si>
  <si>
    <t>40983ba</t>
  </si>
  <si>
    <t>51562a2</t>
  </si>
  <si>
    <t>dacce5febe85b7132ea1c967d04ce6e88ac20726</t>
  </si>
  <si>
    <t>33cab21</t>
  </si>
  <si>
    <t>cce1364f0b52f1b1f90d8350ef64f0a0c365de21</t>
  </si>
  <si>
    <t>a3354b1</t>
  </si>
  <si>
    <t>7b20516</t>
  </si>
  <si>
    <t>8da18af2cbc6de17f5c4d86360b61babf3e1a63b</t>
  </si>
  <si>
    <t>fc01d62</t>
  </si>
  <si>
    <t>4b9fb70</t>
  </si>
  <si>
    <t>d990fbb3f1875c59202cdeb411bff0ea9dfa16dc</t>
  </si>
  <si>
    <t>287208f</t>
  </si>
  <si>
    <t>657c487</t>
  </si>
  <si>
    <t>c7b673ff0f5db92c49f363bde19cafba853b581b</t>
  </si>
  <si>
    <t>Werner Beroux</t>
  </si>
  <si>
    <t>8b54bc4</t>
  </si>
  <si>
    <t>004d50a</t>
  </si>
  <si>
    <t>f25c59ada0451d6f2e0cbf492b88928148818f34</t>
  </si>
  <si>
    <t>de92093</t>
  </si>
  <si>
    <t>0f4a76f</t>
  </si>
  <si>
    <t>018b75e662b6c1c97f7768d112c93c6e5a1d240b</t>
  </si>
  <si>
    <t>531f439</t>
  </si>
  <si>
    <t>cee7a85</t>
  </si>
  <si>
    <t>62cbe7b3377819b5a7a60388f2307a6027c09201</t>
  </si>
  <si>
    <t>5668a06</t>
  </si>
  <si>
    <t>733954ee9e73b32c8cd707b9f6e56665b70915a2</t>
  </si>
  <si>
    <t>f3b0042</t>
  </si>
  <si>
    <t>06cec8b</t>
  </si>
  <si>
    <t>bfa7d1e26499c0b4624e2fcdd5e3b4d5a3a65923</t>
  </si>
  <si>
    <t>4150d11</t>
  </si>
  <si>
    <t>38e155e38899b86dbcf4705cc0fabc59d1d1f77e</t>
  </si>
  <si>
    <t>mc1arke</t>
  </si>
  <si>
    <t>927f7e0</t>
  </si>
  <si>
    <t>689eef2</t>
  </si>
  <si>
    <t>dc6f8b996df6576f4883b66faf1066be7fb14a9d</t>
  </si>
  <si>
    <t>e013b56</t>
  </si>
  <si>
    <t>645851e</t>
  </si>
  <si>
    <t>5e9713d71f5ca58cf4681e17c2c514a8283fdf20</t>
  </si>
  <si>
    <t>cf9034f</t>
  </si>
  <si>
    <t>825dc4b19e2a2236e633d4e3a9c3ffbf87964c65</t>
  </si>
  <si>
    <t>22d01a1</t>
  </si>
  <si>
    <t>0bc46556cd1b5cf7fe946aae2948e2d84312e8c8</t>
  </si>
  <si>
    <t>018b75e</t>
  </si>
  <si>
    <t>cd48b4e</t>
  </si>
  <si>
    <t>620401683fab6bf369e94f1eb5566a2f8c49c370</t>
  </si>
  <si>
    <t>0bc4655</t>
  </si>
  <si>
    <t>5aa7229</t>
  </si>
  <si>
    <t>14dee6e52c197f45f0a4775ac26cf62d92b0ac36</t>
  </si>
  <si>
    <t>7f82940</t>
  </si>
  <si>
    <t>0d660f0</t>
  </si>
  <si>
    <t>39f1944b9b25b5d79642e81ac0f62750ff0378e5</t>
  </si>
  <si>
    <t>5e3000f</t>
  </si>
  <si>
    <t>9194d14cce5944ccd91795699b7967b34df0e49b</t>
  </si>
  <si>
    <t>049c0ea</t>
  </si>
  <si>
    <t>63c356b19040e5a5947b8766d3571e4179dee9be</t>
  </si>
  <si>
    <t>49ca465</t>
  </si>
  <si>
    <t>c12848f</t>
  </si>
  <si>
    <t>3a97deda6fe1d4e0c5e47f4b277b3695ff25bfca</t>
  </si>
  <si>
    <t>543dc87</t>
  </si>
  <si>
    <t>e71bfe4</t>
  </si>
  <si>
    <t>fe3f951e37bea2b50eb1a015b2dc3b352563b1ca</t>
  </si>
  <si>
    <t>98b7c4e</t>
  </si>
  <si>
    <t>0da7863</t>
  </si>
  <si>
    <t>c937126b314a3a7d7b102a57a98ac7e8305ea805</t>
  </si>
  <si>
    <t>Michael Clarke</t>
  </si>
  <si>
    <t>3f86179</t>
  </si>
  <si>
    <t>ed06d14</t>
  </si>
  <si>
    <t>43898c4fb8f2cda7993be3091f6ab613fbc34451</t>
  </si>
  <si>
    <t>c5bc472</t>
  </si>
  <si>
    <t>951580f</t>
  </si>
  <si>
    <t>98698e3d53ccae738da93c24d9e58a640cb6bf31</t>
  </si>
  <si>
    <t>06b1009</t>
  </si>
  <si>
    <t>8cbbc209f04067c018aef074880e6b11041f0e27</t>
  </si>
  <si>
    <t>40d55da</t>
  </si>
  <si>
    <t>9e73abd</t>
  </si>
  <si>
    <t>b668a23c9d93907c21c55b7c2a16d80443b313f7</t>
  </si>
  <si>
    <t>6de74a5</t>
  </si>
  <si>
    <t>11b96b748cbb1fccb50470bb4c238f3be2881867</t>
  </si>
  <si>
    <t>31d3620</t>
  </si>
  <si>
    <t>200bcaf</t>
  </si>
  <si>
    <t>bc390f762dccf40d9d2d6d52794a5f0430f9c772</t>
  </si>
  <si>
    <t>f6373f7</t>
  </si>
  <si>
    <t>29ed470</t>
  </si>
  <si>
    <t>04ca8b61ae413ac63a5af1b65bd3df4f7f5ec9d5</t>
  </si>
  <si>
    <t>e7dc6f1</t>
  </si>
  <si>
    <t>e78248c</t>
  </si>
  <si>
    <t>829ccf0f641686cf014f6d79d1aa48982f6b2d53</t>
  </si>
  <si>
    <t>968442b844863df2cee83d19f1d22af4d2a0ede2</t>
  </si>
  <si>
    <t>Baptiste Mathus</t>
  </si>
  <si>
    <t>b817ebd</t>
  </si>
  <si>
    <t>d18d77570bd1d79f2c5dd11ca65ab0a42e4b26f3</t>
  </si>
  <si>
    <t>008bb9d</t>
  </si>
  <si>
    <t>1ead9d3</t>
  </si>
  <si>
    <t>f6373f7ada14a7914f4ae08b6af4c1b27d343c21</t>
  </si>
  <si>
    <t>58d2024</t>
  </si>
  <si>
    <t>82e57cb</t>
  </si>
  <si>
    <t>013daf67722a2bea743cc82aa040f4d8a1b2705e</t>
  </si>
  <si>
    <t>653f70b</t>
  </si>
  <si>
    <t>18c7da3</t>
  </si>
  <si>
    <t>4470cb306c97151a1ea7b18f62f40b054be01ee8</t>
  </si>
  <si>
    <t>1a9f3c6</t>
  </si>
  <si>
    <t>62cb08d</t>
  </si>
  <si>
    <t>7149903f081e1722a38df3b4b8e43953d8f8d1a5</t>
  </si>
  <si>
    <t>ba41484</t>
  </si>
  <si>
    <t>b89b418</t>
  </si>
  <si>
    <t>17554fa1368ee26a6623fe5895b524480e46d223</t>
  </si>
  <si>
    <t>e1691a1</t>
  </si>
  <si>
    <t>5dbe2fd</t>
  </si>
  <si>
    <t>87450503def17e42a06e80450992f58cacef3635</t>
  </si>
  <si>
    <t>226b35c</t>
  </si>
  <si>
    <t>7cf3f7f</t>
  </si>
  <si>
    <t>6cd2326083d471facdaac17ea1a959c7a9b34d3b</t>
  </si>
  <si>
    <t>1b6b8f1</t>
  </si>
  <si>
    <t>53e6864</t>
  </si>
  <si>
    <t>eae53ce7467a97d749616f0954056e22494c165a</t>
  </si>
  <si>
    <t>70838bf</t>
  </si>
  <si>
    <t>7534dc1</t>
  </si>
  <si>
    <t>20c43e51eb01dff7f48faf1c23ab34b9ba124965</t>
  </si>
  <si>
    <t>a2d8257</t>
  </si>
  <si>
    <t>2b14fe3</t>
  </si>
  <si>
    <t>27fcc28facd27335263af73d5be7695e0841b44b</t>
  </si>
  <si>
    <t>d38f7a8</t>
  </si>
  <si>
    <t>dabb351</t>
  </si>
  <si>
    <t>d02076c171ab346de81b4cd359b9d8728d3fb78b</t>
  </si>
  <si>
    <t>174ad3b</t>
  </si>
  <si>
    <t>8403e8e</t>
  </si>
  <si>
    <t>cf3104d8e05e29444b114423625ab3817e3aaa2f</t>
  </si>
  <si>
    <t>40ffd56</t>
  </si>
  <si>
    <t>312861f</t>
  </si>
  <si>
    <t>5b858c695d7f0a152f51f8b6fa85ee572f05dfde</t>
  </si>
  <si>
    <t>63dbe8a</t>
  </si>
  <si>
    <t>2c04b28ce6fe4e4b0a1d1cf1c348a2eb336ae550</t>
  </si>
  <si>
    <t>c9d54a4</t>
  </si>
  <si>
    <t>9e788b4</t>
  </si>
  <si>
    <t>9f9d1c0a1ab454b41216810a43bea3bbf2142fc4</t>
  </si>
  <si>
    <t>0a3f6c0</t>
  </si>
  <si>
    <t>a09a76f</t>
  </si>
  <si>
    <t>a7f34c0a2cb9c05b491abb2307a898c15af42254</t>
  </si>
  <si>
    <t>872c664</t>
  </si>
  <si>
    <t>f92550e</t>
  </si>
  <si>
    <t>657c48777e044c8dd32ba9e9824c4d8f2f0016d9</t>
  </si>
  <si>
    <t>a41c871</t>
  </si>
  <si>
    <t>c3e7be3</t>
  </si>
  <si>
    <t>87143520ae7be030d0b5e4f102f8e984908b7259</t>
  </si>
  <si>
    <t>0cfbe3f</t>
  </si>
  <si>
    <t>073734f</t>
  </si>
  <si>
    <t>5bbc78f6d8fc04fd6ffdb34f25ef942d71ef356c</t>
  </si>
  <si>
    <t>6b3b555</t>
  </si>
  <si>
    <t>de9209326237e56c18de34b1f2477d1721d1452b</t>
  </si>
  <si>
    <t>4470cb3</t>
  </si>
  <si>
    <t>c490e88</t>
  </si>
  <si>
    <t>3dad9602fe622f30d9de3423447de74ea3e2fe60</t>
  </si>
  <si>
    <t>d44eef2</t>
  </si>
  <si>
    <t>31b9a2f</t>
  </si>
  <si>
    <t>petehayes</t>
  </si>
  <si>
    <t>e36c259af0985bbafbfc502162f6598fcc03db3f</t>
  </si>
  <si>
    <t>9a45f78</t>
  </si>
  <si>
    <t>6be060a</t>
  </si>
  <si>
    <t>8007d83fc95794ecdb65efa299fe50313bef76d3</t>
  </si>
  <si>
    <t>17a835d</t>
  </si>
  <si>
    <t>ef05e4c</t>
  </si>
  <si>
    <t>9a48907ab03b7ee308a6d9793e4437f481734f34</t>
  </si>
  <si>
    <t>977f446</t>
  </si>
  <si>
    <t>39e7108</t>
  </si>
  <si>
    <t>d6ef42005070f23276e7fcbda2ca4828c796c271</t>
  </si>
  <si>
    <t>09bc78a</t>
  </si>
  <si>
    <t>7f332b2</t>
  </si>
  <si>
    <t>e004d2ece4f946fcba8e937a1065a1cbef2da738</t>
  </si>
  <si>
    <t>a365727</t>
  </si>
  <si>
    <t>ed51d4d</t>
  </si>
  <si>
    <t>69cdef29118d14cc8e619adb6fe0c144af9c0724</t>
  </si>
  <si>
    <t>b2e09c5</t>
  </si>
  <si>
    <t>c217ff1</t>
  </si>
  <si>
    <t>adefdfb978cece3f4d63ef602ed8a9848f3e2475</t>
  </si>
  <si>
    <t>0cd9640</t>
  </si>
  <si>
    <t>047382c</t>
  </si>
  <si>
    <t>dce0d2aff0a440d7405b9ba10fafa2f3fe98a27a</t>
  </si>
  <si>
    <t>63f67f3</t>
  </si>
  <si>
    <t>1d65057</t>
  </si>
  <si>
    <t>a3f6bb7fc030cf9521bd0c511d1793bd105ce6a9</t>
  </si>
  <si>
    <t>c617653</t>
  </si>
  <si>
    <t>f9ee867</t>
  </si>
  <si>
    <t>89c445367c4c856b3035d4b2fdd55eb939dd92bd</t>
  </si>
  <si>
    <t>Kai Inkinen</t>
  </si>
  <si>
    <t>b52d73f</t>
  </si>
  <si>
    <t>1ee0988</t>
  </si>
  <si>
    <t>4c93e9452b33ee159e6989753755cce7fafef88a</t>
  </si>
  <si>
    <t>Alexandre Garnier</t>
  </si>
  <si>
    <t>ab80dd2</t>
  </si>
  <si>
    <t>99ccaa8</t>
  </si>
  <si>
    <t>31d36201705d3c86e377a2fbf3dd1890ce015ca5</t>
  </si>
  <si>
    <t>4c580ebdfeb7677687ff0735162349f661abc22e</t>
  </si>
  <si>
    <t>ad413c5</t>
  </si>
  <si>
    <t>c3bafa4</t>
  </si>
  <si>
    <t>f91247565ad30a5ba5eb4166d9f704fd7e75d631</t>
  </si>
  <si>
    <t>6243cf5</t>
  </si>
  <si>
    <t>9fc9401</t>
  </si>
  <si>
    <t>2b9b4d032293d67aab6781beb9bf24fea35282d4</t>
  </si>
  <si>
    <t>39eb87c</t>
  </si>
  <si>
    <t>af04d72</t>
  </si>
  <si>
    <t>a885a2391378bab20ee431f6296f6768a4b3a083</t>
  </si>
  <si>
    <t>bbcf286</t>
  </si>
  <si>
    <t>05937f5</t>
  </si>
  <si>
    <t>691f23051989f85284a7c7739478e21af4ff5716</t>
  </si>
  <si>
    <t>fd93cf0</t>
  </si>
  <si>
    <t>329a020</t>
  </si>
  <si>
    <t>d6286026a3161057e8730541e5d41592a8c51fb4</t>
  </si>
  <si>
    <t>dfda1df</t>
  </si>
  <si>
    <t>acef92c</t>
  </si>
  <si>
    <t>922b2c7f2174b6e6c3dec9c83ec8c800b2b58307</t>
  </si>
  <si>
    <t>38e155e</t>
  </si>
  <si>
    <t>41f19a9</t>
  </si>
  <si>
    <t>Cliff Maury</t>
  </si>
  <si>
    <t>20572e4ad19f7e226f00d09b4daf027adcf21117</t>
  </si>
  <si>
    <t>4d27250</t>
  </si>
  <si>
    <t>c1d2c94</t>
  </si>
  <si>
    <t>George Shakhnazaryan</t>
  </si>
  <si>
    <t>4756d58747eccb12b89f42ac5c2098fc72fa0d6c</t>
  </si>
  <si>
    <t>ad6a638</t>
  </si>
  <si>
    <t>65af34a</t>
  </si>
  <si>
    <t>f217327db0ed74698c5c483f385a7e160a2f80c4</t>
  </si>
  <si>
    <t>eea67c7</t>
  </si>
  <si>
    <t>549bfea</t>
  </si>
  <si>
    <t>3f13f6da74f9773aa0734dcebaf63d52c7721e0b</t>
  </si>
  <si>
    <t>4f103ee6a88109649dd4cfc9df8797de6c3ab616</t>
  </si>
  <si>
    <t>bb06bd1</t>
  </si>
  <si>
    <t>0aca5e5</t>
  </si>
  <si>
    <t>91fafb4e9e98c43ccf48ef813969855c2cb2435c</t>
  </si>
  <si>
    <t>f381517</t>
  </si>
  <si>
    <t>758b06e</t>
  </si>
  <si>
    <t>5894c53da8e7072a39d581922d95214f0caa3f71</t>
  </si>
  <si>
    <t>23da993</t>
  </si>
  <si>
    <t>393e397</t>
  </si>
  <si>
    <t>39b19fb61e653de60aa7ea034cfe23c2074fd206</t>
  </si>
  <si>
    <t>Drew Repasky</t>
  </si>
  <si>
    <t>920e8cd</t>
  </si>
  <si>
    <t>17ab5d5</t>
  </si>
  <si>
    <t>54d98401a04184228f00f7ee91bcb9e3eac42135</t>
  </si>
  <si>
    <t>821bf00</t>
  </si>
  <si>
    <t>334ec7e43263250cefbe53f490c1cfe4b3d0db4f</t>
  </si>
  <si>
    <t>00410a8</t>
  </si>
  <si>
    <t>0fc7a71</t>
  </si>
  <si>
    <t>f092e9f0a5c5a00ac442c2b7facee082b6176e20</t>
  </si>
  <si>
    <t>R. Tyler Ballance</t>
  </si>
  <si>
    <t>c59e4c5</t>
  </si>
  <si>
    <t>fb0be6e</t>
  </si>
  <si>
    <t>swiest</t>
  </si>
  <si>
    <t>1fbf02aed964328f3e9243bfbffcd4687e2683d1</t>
  </si>
  <si>
    <t>6ae77ed</t>
  </si>
  <si>
    <t>872b4df</t>
  </si>
  <si>
    <t>b7304fa827c5e0ab123403a9abc3b70c45ea5699</t>
  </si>
  <si>
    <t>a545a39</t>
  </si>
  <si>
    <t>ebf4146</t>
  </si>
  <si>
    <t>c8cb887f9a2ae31a9789e4cccd04dc7029e209b3</t>
  </si>
  <si>
    <t>f2401d1</t>
  </si>
  <si>
    <t>609b321</t>
  </si>
  <si>
    <t>13668d3fce020b893eaa9f9f84fff372afba21b2</t>
  </si>
  <si>
    <t>3fd9889</t>
  </si>
  <si>
    <t>86ce56c</t>
  </si>
  <si>
    <t>d13dabd672cdd8e12761b7a7be962b6cf0476eae</t>
  </si>
  <si>
    <t>452479f6219f85178f1da5b009a88dde310cd60a</t>
  </si>
  <si>
    <t>Benjamin Cabé</t>
  </si>
  <si>
    <t>c565c56</t>
  </si>
  <si>
    <t>c0628ee</t>
  </si>
  <si>
    <t>cf31426daaa6e19f30bea0ee98ab270a2bf1c407</t>
  </si>
  <si>
    <t>69cdef2</t>
  </si>
  <si>
    <t>e57f40d</t>
  </si>
  <si>
    <t>afa9e5b3b1f4198a5fcaaa60401963b6732bc42e</t>
  </si>
  <si>
    <t>cd083bf</t>
  </si>
  <si>
    <t>d8096f2</t>
  </si>
  <si>
    <t>b2b36ae9e917444c954b5bf874eb61a64486ad36</t>
  </si>
  <si>
    <t>ce36242</t>
  </si>
  <si>
    <t>3f72e02</t>
  </si>
  <si>
    <t>5067a4cea559e11eb4b148723dfc8d1440daba4c</t>
  </si>
  <si>
    <t>97f1d02</t>
  </si>
  <si>
    <t>f675eade6b333e4a6a25603b064e1b9929e57925</t>
  </si>
  <si>
    <t>7025cf3</t>
  </si>
  <si>
    <t>b15409a</t>
  </si>
  <si>
    <t>2f6171c19f6a343b6cbf098ecd1bcf50b3ce51c7</t>
  </si>
  <si>
    <t>f0ed371</t>
  </si>
  <si>
    <t>46f2f02</t>
  </si>
  <si>
    <t>450b76ca8b14a0870218c13f8143f4d0273c4fb1</t>
  </si>
  <si>
    <t>Slide</t>
  </si>
  <si>
    <t>9610fe5</t>
  </si>
  <si>
    <t>ee8de0f</t>
  </si>
  <si>
    <t>017afea22533089b05e1f1b0fd1d76aaf9a28d99</t>
  </si>
  <si>
    <t>307af57</t>
  </si>
  <si>
    <t>95b9ff4</t>
  </si>
  <si>
    <t>87f18ecdd169682af033a976f3594174226cb3bf</t>
  </si>
  <si>
    <t>e672bf0</t>
  </si>
  <si>
    <t>2b461b1</t>
  </si>
  <si>
    <t>ce551284bb2f8dcf8bebecc0c3f7bc2a2049fc0e</t>
  </si>
  <si>
    <t>5c21f12</t>
  </si>
  <si>
    <t>0ecb07b</t>
  </si>
  <si>
    <t>4f89f013eadafc05b24c473494800d9530308505</t>
  </si>
  <si>
    <t>8297f1e</t>
  </si>
  <si>
    <t>73e8164</t>
  </si>
  <si>
    <t>af9ccc42bd055f1cbb9f8eb5ad156ca95dcb19da</t>
  </si>
  <si>
    <t>ab7b9c5</t>
  </si>
  <si>
    <t>7ba1b69</t>
  </si>
  <si>
    <t>f757e5ee3579037a5165327f56a563a039bad560</t>
  </si>
  <si>
    <t>9a62931</t>
  </si>
  <si>
    <t>6e8e2d5</t>
  </si>
  <si>
    <t>61b572e4a444f282dffe774312309830acd64814</t>
  </si>
  <si>
    <t>9ce4d7c</t>
  </si>
  <si>
    <t>23c2176</t>
  </si>
  <si>
    <t>acad637198f585c75fb7accd768f29a0d0d0a2f0</t>
  </si>
  <si>
    <t>58e0ea4</t>
  </si>
  <si>
    <t>36148686942ae0455a63973113df9bfdd73bf216</t>
  </si>
  <si>
    <t>f28409e</t>
  </si>
  <si>
    <t>f5209cd</t>
  </si>
  <si>
    <t>305987215cb48096fb7926671e2815ed5c38009d</t>
  </si>
  <si>
    <t>2cd6960</t>
  </si>
  <si>
    <t>Kevin Sawicki</t>
  </si>
  <si>
    <t>c5cb67be9d3f8c21de744ba67c9df2df01a33502</t>
  </si>
  <si>
    <t>29270bf</t>
  </si>
  <si>
    <t>599c015</t>
  </si>
  <si>
    <t>6e8e2d5d1ade48aa44a6a4be5706eb4cff78279d</t>
  </si>
  <si>
    <t>c307735</t>
  </si>
  <si>
    <t>53a265e</t>
  </si>
  <si>
    <t>aitor alzola</t>
  </si>
  <si>
    <t>737a7dfe79405d0affaccbf0a6430b83de57ea9e</t>
  </si>
  <si>
    <t>b4ad3fb</t>
  </si>
  <si>
    <t>2f9fff9</t>
  </si>
  <si>
    <t>Reynald Borer</t>
  </si>
  <si>
    <t>848c7e8350dbdaf9e441e7cf36c754208e1ab258</t>
  </si>
  <si>
    <t>985f378</t>
  </si>
  <si>
    <t>2637f6b6276c994991fa6b4b4bbfb72e64b75b3d</t>
  </si>
  <si>
    <t>b97ad46</t>
  </si>
  <si>
    <t>e9fe92c</t>
  </si>
  <si>
    <t>bd9250dbef0dd53ff7433bc02d806b433426597f</t>
  </si>
  <si>
    <t>6d96631</t>
  </si>
  <si>
    <t>8de9db3</t>
  </si>
  <si>
    <t>c505ad2ea199e013469c708930f1c30a7ab5b095</t>
  </si>
  <si>
    <t>592e444</t>
  </si>
  <si>
    <t>00a99d6</t>
  </si>
  <si>
    <t>39a20e7aca7eb1c5f7ad0b0a6dc2f50bfc450667</t>
  </si>
  <si>
    <t>315d2b6</t>
  </si>
  <si>
    <t>a70e867</t>
  </si>
  <si>
    <t>8c412ca033ff32f46fd9bf7935524b2f058c2c94</t>
  </si>
  <si>
    <t>cc571a3</t>
  </si>
  <si>
    <t>16ca4e7</t>
  </si>
  <si>
    <t>2503f8c0acab31571f243757c4c476b2f925802b</t>
  </si>
  <si>
    <t>39d15d9</t>
  </si>
  <si>
    <t>c3f0946</t>
  </si>
  <si>
    <t>4077b5da1c6fa9b9b38aae21f2dfe135cbb2dc94</t>
  </si>
  <si>
    <t>020a4ee</t>
  </si>
  <si>
    <t>6baefcccb6648913303cf4e005952ce2910cb5a4</t>
  </si>
  <si>
    <t>40e8952</t>
  </si>
  <si>
    <t>1acb830</t>
  </si>
  <si>
    <t>cc571a3a2cef5a5bb68384088158e9977e34db42</t>
  </si>
  <si>
    <t>255a3e6</t>
  </si>
  <si>
    <t>c937126</t>
  </si>
  <si>
    <t>4386a8aa31d2dd1a0b3bf229477348d71b031a65</t>
  </si>
  <si>
    <t>29c5354</t>
  </si>
  <si>
    <t>02e7384</t>
  </si>
  <si>
    <t>089499ff27256b6fe1ba2297209c312a206862f2</t>
  </si>
  <si>
    <t>f757e5e</t>
  </si>
  <si>
    <t>f188442</t>
  </si>
  <si>
    <t>8baa4f3974b7130e6b300ed8ab29d3093c64ceb9</t>
  </si>
  <si>
    <t>8b7b11a</t>
  </si>
  <si>
    <t>ec43fae</t>
  </si>
  <si>
    <t>acaf41aaee57cb730de8692da890f1ed4f5f273a</t>
  </si>
  <si>
    <t>af0b6f8</t>
  </si>
  <si>
    <t>17ac083</t>
  </si>
  <si>
    <t>52471787c6c5c9474e46cc396bf3b91e20036255</t>
  </si>
  <si>
    <t>c236f9d</t>
  </si>
  <si>
    <t>e31dbf7</t>
  </si>
  <si>
    <t>142f8dcc619df011cd483e3d2586d19410717c98</t>
  </si>
  <si>
    <t>00e7372</t>
  </si>
  <si>
    <t>3bce100</t>
  </si>
  <si>
    <t>768abac9b1c6c83c6f56a62fa162b52900d14905</t>
  </si>
  <si>
    <t>55b7d25</t>
  </si>
  <si>
    <t>494ac30</t>
  </si>
  <si>
    <t>f734de24819d8cd61a55ddc471e3eaf541b9bdff</t>
  </si>
  <si>
    <t>c4ad972</t>
  </si>
  <si>
    <t>535e968</t>
  </si>
  <si>
    <t>380b7269126898bce7151890b90c3fe9db7a4209</t>
  </si>
  <si>
    <t>520900a</t>
  </si>
  <si>
    <t>5b8f472</t>
  </si>
  <si>
    <t>df3192a44b4c23b2c30af5d069c2e9aaba530561</t>
  </si>
  <si>
    <t>9522cec</t>
  </si>
  <si>
    <t>bcdff8c</t>
  </si>
  <si>
    <t>38bdaba3b5ca2319eff7ccea6ef1c6846db790c6</t>
  </si>
  <si>
    <t>623bcc8</t>
  </si>
  <si>
    <t>bfb579a</t>
  </si>
  <si>
    <t>8578e58</t>
  </si>
  <si>
    <t>816e080</t>
  </si>
  <si>
    <t>5150e71</t>
  </si>
  <si>
    <t>6629e49</t>
  </si>
  <si>
    <t>Brian</t>
  </si>
  <si>
    <t>Olivier</t>
  </si>
  <si>
    <t>Nicolas</t>
  </si>
  <si>
    <t>imodT</t>
  </si>
  <si>
    <t>Arnaud</t>
  </si>
  <si>
    <t>Stephen</t>
  </si>
  <si>
    <t>Storm</t>
  </si>
  <si>
    <t>8c63426af2f277ffece05e3fd45cf90131d39a80</t>
  </si>
  <si>
    <t>Patrick Houk</t>
  </si>
  <si>
    <t>52f051d</t>
  </si>
  <si>
    <t>bc104ce</t>
  </si>
  <si>
    <t>Nathan Marz</t>
  </si>
  <si>
    <t>bcbc1c831ba4fb32de278570edbcbb2e15e9cfad</t>
  </si>
  <si>
    <t>haitao.yao</t>
  </si>
  <si>
    <t>c6712a1</t>
  </si>
  <si>
    <t>45a62dd</t>
  </si>
  <si>
    <t>3e99760ecf7d4ca606aa48ccdbe27bae08ed8246</t>
  </si>
  <si>
    <t>James Xu</t>
  </si>
  <si>
    <t>8581cce</t>
  </si>
  <si>
    <t>6d32c6c</t>
  </si>
  <si>
    <t>1b4e89bc9cd4e3f16f8cbae038fa0336c642c961</t>
  </si>
  <si>
    <t>Kang Xiao</t>
  </si>
  <si>
    <t>2a0cb9e</t>
  </si>
  <si>
    <t>8bf19c2</t>
  </si>
  <si>
    <t>14a842d308ef040ca1192cc6e3e86e769d07043a</t>
  </si>
  <si>
    <t>b18321b</t>
  </si>
  <si>
    <t>ca93795</t>
  </si>
  <si>
    <t>f2266958346807d8f62f3c790bccf26cb7880def</t>
  </si>
  <si>
    <t>Trevor Summers Smith</t>
  </si>
  <si>
    <t>5046c24</t>
  </si>
  <si>
    <t>20e1ef9</t>
  </si>
  <si>
    <t>a62fcce5e672dcf777673941c864aa93b0cc6d5a</t>
  </si>
  <si>
    <t>46f860b</t>
  </si>
  <si>
    <t>468ed6ab77e7a223dd8a74201e64e6b3e4faafed</t>
  </si>
  <si>
    <t>4b1ccd9</t>
  </si>
  <si>
    <t>edbddf2</t>
  </si>
  <si>
    <t>d3269be3ac4028d2dc92cf1d177f5f87c7d79ca2</t>
  </si>
  <si>
    <t>f597bb1</t>
  </si>
  <si>
    <t>c1b8943</t>
  </si>
  <si>
    <t>ab5935cf7d0cb9d9b1dea68ecd68bb24b9ce5bbd</t>
  </si>
  <si>
    <t>a8a5536</t>
  </si>
  <si>
    <t>393357b</t>
  </si>
  <si>
    <t>fc5ae41661724a03e06d8352e94b18fe29c149b9</t>
  </si>
  <si>
    <t>998b792</t>
  </si>
  <si>
    <t>896ec13</t>
  </si>
  <si>
    <t>526dcc0ae86968a36a90502a77de9ab2a8db1f14</t>
  </si>
  <si>
    <t>Ben Hughes</t>
  </si>
  <si>
    <t>8a64e43</t>
  </si>
  <si>
    <t>d4e3d3d</t>
  </si>
  <si>
    <t>41d0e3315e7cb04d002b0f8a03ade444a04c472c</t>
  </si>
  <si>
    <t>f2a7046</t>
  </si>
  <si>
    <t>1e35566</t>
  </si>
  <si>
    <t>46f860bf5ca1dab7c485e8b193998da6883d085e</t>
  </si>
  <si>
    <t>d3f28a6</t>
  </si>
  <si>
    <t>0876c31</t>
  </si>
  <si>
    <t>33272f32fad813fe062a239fca527f1019e17d25</t>
  </si>
  <si>
    <t>Dan Dillinger</t>
  </si>
  <si>
    <t>09372b1</t>
  </si>
  <si>
    <t>df4692c</t>
  </si>
  <si>
    <t>Sam Ritchie</t>
  </si>
  <si>
    <t>fc63b2d286a73944ca9035b2ac3665b5d187d90b</t>
  </si>
  <si>
    <t>26cc00a</t>
  </si>
  <si>
    <t>238f1c9</t>
  </si>
  <si>
    <t>dabd1a9c0bb553e59f119ab867dad095d591466e</t>
  </si>
  <si>
    <t>6f99d47</t>
  </si>
  <si>
    <t>58aeabf</t>
  </si>
  <si>
    <t>b74d32322c0b89b2e3870b1b74aee210374f0fe4</t>
  </si>
  <si>
    <t>2cf102d</t>
  </si>
  <si>
    <t>2f66e58</t>
  </si>
  <si>
    <t>e253bc9eab74bd804417997171e07884613efb28</t>
  </si>
  <si>
    <t>3e048a1</t>
  </si>
  <si>
    <t>edbddf234bdd4003ef3b1b5fe88b460e42c3cf40</t>
  </si>
  <si>
    <t>19c79c1</t>
  </si>
  <si>
    <t>aa91046</t>
  </si>
  <si>
    <t>0d8a195f48af016b65c3d42df37ef77ab0a65e2f</t>
  </si>
  <si>
    <t>ashley</t>
  </si>
  <si>
    <t>8c3918b</t>
  </si>
  <si>
    <t>d64c8e5</t>
  </si>
  <si>
    <t>3e048a140c140e7d87d40b19766919be588af421</t>
  </si>
  <si>
    <t>3d0692a</t>
  </si>
  <si>
    <t>45d0640</t>
  </si>
  <si>
    <t>0c7cf730c259d336347c4e1861df543f1b14b3e7</t>
  </si>
  <si>
    <t>0f5740f</t>
  </si>
  <si>
    <t>695f977</t>
  </si>
  <si>
    <t>18dd7423be41313c7476b8981a650dab9b3429a6</t>
  </si>
  <si>
    <t>eadd18742af28ba18bdf663b604028e1e4bb8733</t>
  </si>
  <si>
    <t>abeecaf</t>
  </si>
  <si>
    <t>d0e6831</t>
  </si>
  <si>
    <t>7013666812f01580b11b46615e370eaf7e3c6f1a</t>
  </si>
  <si>
    <t>b3c3239</t>
  </si>
  <si>
    <t>bcbc1c8</t>
  </si>
  <si>
    <t>2ba30d21159de6592165e7d7d68dc74784a48223</t>
  </si>
  <si>
    <t>eeb7f55</t>
  </si>
  <si>
    <t>e70fa8c</t>
  </si>
  <si>
    <t>fbe2047e2412927b6e1137adcc96415402159b9e</t>
  </si>
  <si>
    <t>fce5783</t>
  </si>
  <si>
    <t>a6af7ef2b8f7c3107027c1a2af9e2e013bd4b73d</t>
  </si>
  <si>
    <t>c6058e6</t>
  </si>
  <si>
    <t>668da62</t>
  </si>
  <si>
    <t>12fde1426aab1cf9cf85590e73a1de10901063b4</t>
  </si>
  <si>
    <t>2240ad3</t>
  </si>
  <si>
    <t>5df7182</t>
  </si>
  <si>
    <t>3b2917d3478952065ab0dd84fa5b50e11be386f6</t>
  </si>
  <si>
    <t>e01055f</t>
  </si>
  <si>
    <t>9bfb89e</t>
  </si>
  <si>
    <t>49cd5cda3d2c479cc304305a32c4ef9c32b2cd1b</t>
  </si>
  <si>
    <t>62db063</t>
  </si>
  <si>
    <t>35c70ed</t>
  </si>
  <si>
    <t>26409830d4c0a59b7236269b041bbed6a81f7960</t>
  </si>
  <si>
    <t>Tom Payne</t>
  </si>
  <si>
    <t>31f06a9</t>
  </si>
  <si>
    <t>3226a1c</t>
  </si>
  <si>
    <t>e9efb3993653ed78cdcff2d6f99d3eea3c4ea718</t>
  </si>
  <si>
    <t>Fabian Neumann</t>
  </si>
  <si>
    <t>a2556b6</t>
  </si>
  <si>
    <t>875d679c25ebfa954164baf1d42295efac76c72b</t>
  </si>
  <si>
    <t>3b2917d</t>
  </si>
  <si>
    <t>22ca072</t>
  </si>
  <si>
    <t>66c1dfd15945c87a7e8adf970d890efe65f787f0</t>
  </si>
  <si>
    <t>66810d6</t>
  </si>
  <si>
    <t>33272f3</t>
  </si>
  <si>
    <t>dba0286b473be702e72bdfc24ae034dd1e48dd83</t>
  </si>
  <si>
    <t>748ecd1</t>
  </si>
  <si>
    <t>7db6aa8</t>
  </si>
  <si>
    <t>3dc29e0dfde9923b54239714f5d7333cd1d11495</t>
  </si>
  <si>
    <t>436ae85</t>
  </si>
  <si>
    <t>d84ac47</t>
  </si>
  <si>
    <t>4b1ccd9676532429ffdadcac93434a61396da7a2</t>
  </si>
  <si>
    <t>5b37123</t>
  </si>
  <si>
    <t>066cd0a</t>
  </si>
  <si>
    <t>5ab6711b71f185e78f2b4677e548754cf3c1d8aa</t>
  </si>
  <si>
    <t>Thomas Jack</t>
  </si>
  <si>
    <t>a3431a9</t>
  </si>
  <si>
    <t>156560d</t>
  </si>
  <si>
    <t>f2a704607267952359c9ccfe96d6dcc18e67bebc</t>
  </si>
  <si>
    <t>365eaeb</t>
  </si>
  <si>
    <t>b7699f0b28420d7c3b79b07e03d9385ca0ce4f9e</t>
  </si>
  <si>
    <t>e712c45</t>
  </si>
  <si>
    <t>3f3ce81</t>
  </si>
  <si>
    <t>02cda16b0a8724d86956072fa08e4a723affcd88</t>
  </si>
  <si>
    <t>Travis Wellman</t>
  </si>
  <si>
    <t>d1bc264</t>
  </si>
  <si>
    <t>61cc199</t>
  </si>
  <si>
    <t>601d54aee16dc5938fa81b7d19e2a0a3006fa4f8</t>
  </si>
  <si>
    <t>8475a74</t>
  </si>
  <si>
    <t>28a0a27</t>
  </si>
  <si>
    <t>e2d2adec9b29eafb63dd8f8f44c03ae2e9db2984</t>
  </si>
  <si>
    <t>506c8ad</t>
  </si>
  <si>
    <t>3651b49</t>
  </si>
  <si>
    <t>748ecd14324e83223de618b6c6e814bbbb54cb08</t>
  </si>
  <si>
    <t>8c011bf</t>
  </si>
  <si>
    <t>345cdc2</t>
  </si>
  <si>
    <t>1b12455403356937509279fc68f750ae95a4704b</t>
  </si>
  <si>
    <t>Kasper Madsen</t>
  </si>
  <si>
    <t>d5cc24f</t>
  </si>
  <si>
    <t>ba71589</t>
  </si>
  <si>
    <t>b88a8fd874031efdf7fffa55518aa2e8f859705c</t>
  </si>
  <si>
    <t>Alexey S. Kachayev</t>
  </si>
  <si>
    <t>b9f2cbf</t>
  </si>
  <si>
    <t>5d245da</t>
  </si>
  <si>
    <t>55ceb6d7f10b5b0c3d49ef48cc6585c5240835bc</t>
  </si>
  <si>
    <t>f84d181</t>
  </si>
  <si>
    <t>7918fad</t>
  </si>
  <si>
    <t>8cf23578728fdee421a838965c285d10ffcee722</t>
  </si>
  <si>
    <t>d20a7a3</t>
  </si>
  <si>
    <t>4762dd3</t>
  </si>
  <si>
    <t>2d72b94c6fbdbb72ad1e5d39e2ca4481f26d41fa</t>
  </si>
  <si>
    <t>74a7947</t>
  </si>
  <si>
    <t>51359f3</t>
  </si>
  <si>
    <t>e7b00ef53b8df27020e94bd5450644ec67456806</t>
  </si>
  <si>
    <t>554c49e</t>
  </si>
  <si>
    <t>3343cc8</t>
  </si>
  <si>
    <t>33c9cfdfd06ef3894f678aa53b5ad9e212d3cf9a</t>
  </si>
  <si>
    <t>7a9ff26</t>
  </si>
  <si>
    <t>66275c1</t>
  </si>
  <si>
    <t>Michael Cetrulo</t>
  </si>
  <si>
    <t>3244f193b52e274c860f0c9c656c7a43c206df88</t>
  </si>
  <si>
    <t>dennis zhuang</t>
  </si>
  <si>
    <t>de3de42</t>
  </si>
  <si>
    <t>b34a753</t>
  </si>
  <si>
    <t>7401175c52682d89dcfa5bdc08329df644732c73</t>
  </si>
  <si>
    <t>8cf2357</t>
  </si>
  <si>
    <t>2fd62d9e00461a4f470717ac80bf06b53770dac3</t>
  </si>
  <si>
    <t>4e7a187</t>
  </si>
  <si>
    <t>Sam Stokes</t>
  </si>
  <si>
    <t>943561f4adcff1fa156a45d47014b3b6f94ca986</t>
  </si>
  <si>
    <t>Dan Harvey</t>
  </si>
  <si>
    <t>06d716c</t>
  </si>
  <si>
    <t>df6a418</t>
  </si>
  <si>
    <t>df45a8dce1cbb78cd78475b608482186e99573cf</t>
  </si>
  <si>
    <t>a2512e9</t>
  </si>
  <si>
    <t>4052d16</t>
  </si>
  <si>
    <t>ca4c0dbd44b8da77cfb90f482ec123c457068221</t>
  </si>
  <si>
    <t>xumingming</t>
  </si>
  <si>
    <t>3a2e9b1</t>
  </si>
  <si>
    <t>efd8ad7</t>
  </si>
  <si>
    <t>ea2e088271e18d702475f92e032c00fa7fa47dfa</t>
  </si>
  <si>
    <t>ebe8246</t>
  </si>
  <si>
    <t>fbe2047</t>
  </si>
  <si>
    <t>3c1065273c1f389afb30688e8972417bf8d53f41</t>
  </si>
  <si>
    <t>5bb217d</t>
  </si>
  <si>
    <t>9771cf6</t>
  </si>
  <si>
    <t>6b5e5635f31c3caed94c2e9f2640c55e7733a650</t>
  </si>
  <si>
    <t>1df18c3</t>
  </si>
  <si>
    <t>73866f6</t>
  </si>
  <si>
    <t>b18321b5fcb77e0aa3e8820ba6cead9e59e494f4</t>
  </si>
  <si>
    <t>aca15ef</t>
  </si>
  <si>
    <t>43426c7</t>
  </si>
  <si>
    <t>02dabc54ee827bcf46a2a469bab2215235ebed81</t>
  </si>
  <si>
    <t>fc5ae41</t>
  </si>
  <si>
    <t>a3094ef</t>
  </si>
  <si>
    <t>d99f13d0ac93feeea1cb53c8eebc9a4009e51b75</t>
  </si>
  <si>
    <t>b7d7962</t>
  </si>
  <si>
    <t>a942da6</t>
  </si>
  <si>
    <t>358608254ea6c1398319455f7e4673684961ee8b</t>
  </si>
  <si>
    <t>8e34af7</t>
  </si>
  <si>
    <t>93e731d</t>
  </si>
  <si>
    <t>ce2c9923605061db95eb0e27340e4afc3c3b997e</t>
  </si>
  <si>
    <t>Soren Macbeth</t>
  </si>
  <si>
    <t>aaaa759</t>
  </si>
  <si>
    <t>8283fba12859c819375489b58467c8d232f1e2a2</t>
  </si>
  <si>
    <t>a8d3d44</t>
  </si>
  <si>
    <t>bfcfc1a932b3d49d792721a76ee9d131877d06e0</t>
  </si>
  <si>
    <t>c4a711a</t>
  </si>
  <si>
    <t>39f41e6</t>
  </si>
  <si>
    <t>df18ab0166be8fb233001a6d464c1bc6587b5a5b</t>
  </si>
  <si>
    <t>c72758b</t>
  </si>
  <si>
    <t>a4ca346b0703a8a8c7fc3eb331eb2e8d1e0fef51</t>
  </si>
  <si>
    <t>Gabriel Grant</t>
  </si>
  <si>
    <t>9359ebb</t>
  </si>
  <si>
    <t>b5b3a62</t>
  </si>
  <si>
    <t>2cf102df91b3b454b4a94bd0344c69bb0f5dec73</t>
  </si>
  <si>
    <t>c36bd0d</t>
  </si>
  <si>
    <t>b568f93</t>
  </si>
  <si>
    <t>506c8ad941cc0b9eb122b8339636eb921962198c</t>
  </si>
  <si>
    <t>8d3e385</t>
  </si>
  <si>
    <t>980d0ca</t>
  </si>
  <si>
    <t>678adb6371245ec471c5f639a691bfa0d6ac3cec</t>
  </si>
  <si>
    <t>1bc4665</t>
  </si>
  <si>
    <t>182572b</t>
  </si>
  <si>
    <t>d20a7a38f8c2c552f2c4bc327f4df5772ab66f37</t>
  </si>
  <si>
    <t>1b4e89b</t>
  </si>
  <si>
    <t>39ec53e</t>
  </si>
  <si>
    <t>1989897c018bfb64955e304c5df83e2b8aba1925</t>
  </si>
  <si>
    <t>1e8707c</t>
  </si>
  <si>
    <t>e455ceb</t>
  </si>
  <si>
    <t>9c14f8f3e0ea28b994f9b77b4f97f81bf4908a78</t>
  </si>
  <si>
    <t>3dfa3e7</t>
  </si>
  <si>
    <t>4b38429</t>
  </si>
  <si>
    <t>acf4ef4b51960edb7cbf37dc2b05d04f54c861fd</t>
  </si>
  <si>
    <t>4baf72e</t>
  </si>
  <si>
    <t>0d863929027453aafdd65f81772604d03986c8fb</t>
  </si>
  <si>
    <t>41d0e33</t>
  </si>
  <si>
    <t>ac3f9eb</t>
  </si>
  <si>
    <t>9aa2d64b8b672eab50b3269dff5fb0867136e709</t>
  </si>
  <si>
    <t>dc511b6</t>
  </si>
  <si>
    <t>17afe9291929579fae714b7b8bcd52cd0038f3e9</t>
  </si>
  <si>
    <t>0357d95</t>
  </si>
  <si>
    <t>62b5817</t>
  </si>
  <si>
    <t>a8d85e4d6e6b736cd94235d4eaf37686b7887cb8</t>
  </si>
  <si>
    <t>3e84ddf</t>
  </si>
  <si>
    <t>969df63</t>
  </si>
  <si>
    <t>d6ff4555ed22706486cd8c66a54a32a957dab327</t>
  </si>
  <si>
    <t>b7ca3f4</t>
  </si>
  <si>
    <t>862e1c7</t>
  </si>
  <si>
    <t>0b5135f5e2e60ad9297f12021c209344919f1d44</t>
  </si>
  <si>
    <t>baae324</t>
  </si>
  <si>
    <t>a6cf888896d772ab2a2efb942e7bf6ee992727d4</t>
  </si>
  <si>
    <t>ec812fa</t>
  </si>
  <si>
    <t>469cd6b</t>
  </si>
  <si>
    <t>939c77a6c6a47c4a5caba4c0d453465c19eb8c30</t>
  </si>
  <si>
    <t>468ed6a</t>
  </si>
  <si>
    <t>b74d323</t>
  </si>
  <si>
    <t>96ae4a828535a9030b9e93827a47ac0cf33ce7d6</t>
  </si>
  <si>
    <t>8f1a4be</t>
  </si>
  <si>
    <t>adf6484</t>
  </si>
  <si>
    <t>ef059451029d0a155451c5fea7cca7dbaf102140</t>
  </si>
  <si>
    <t>cfc87d2</t>
  </si>
  <si>
    <t>35772e8</t>
  </si>
  <si>
    <t>9282e47</t>
  </si>
  <si>
    <t>2708e40</t>
  </si>
  <si>
    <t>Nathan</t>
  </si>
  <si>
    <t>Jenkins</t>
  </si>
  <si>
    <t>Conflicts</t>
  </si>
  <si>
    <t>Merge Conf</t>
  </si>
  <si>
    <t>Build Conf</t>
  </si>
  <si>
    <t>Test Conf</t>
  </si>
  <si>
    <t>H.Prefs</t>
  </si>
  <si>
    <t>DevId</t>
  </si>
  <si>
    <t>Task</t>
  </si>
  <si>
    <t>H. Prefs</t>
  </si>
  <si>
    <t>Files</t>
  </si>
  <si>
    <t>Taskid</t>
  </si>
  <si>
    <t>Total</t>
  </si>
  <si>
    <t>Row Labels</t>
  </si>
  <si>
    <t>Grand Total</t>
  </si>
  <si>
    <t>Count of Id</t>
  </si>
  <si>
    <t>tasks</t>
  </si>
  <si>
    <t>Avg</t>
  </si>
  <si>
    <t>0203876</t>
  </si>
  <si>
    <t>Tasks</t>
  </si>
  <si>
    <t>08260e2</t>
  </si>
  <si>
    <t>0492120</t>
  </si>
  <si>
    <t>0492707</t>
  </si>
  <si>
    <t>Count of 45dbab7</t>
  </si>
  <si>
    <t>Sum of Conflicts</t>
  </si>
  <si>
    <t>2009</t>
  </si>
  <si>
    <t>2010</t>
  </si>
  <si>
    <t>2011</t>
  </si>
  <si>
    <t>2012</t>
  </si>
  <si>
    <t>Median</t>
  </si>
  <si>
    <t>Weeks</t>
  </si>
  <si>
    <t>Months</t>
  </si>
  <si>
    <t>12/6/10 - 12/12/10</t>
  </si>
  <si>
    <t>2/7/11 - 2/13/11</t>
  </si>
  <si>
    <t>3/28/11 - 4/3/11</t>
  </si>
  <si>
    <t>4/18/11 - 4/24/11</t>
  </si>
  <si>
    <t>7/25/11 - 7/31/11</t>
  </si>
  <si>
    <t>10/17/11 - 10/23/11</t>
  </si>
  <si>
    <t xml:space="preserve">Weeks </t>
  </si>
  <si>
    <t xml:space="preserve">From </t>
  </si>
  <si>
    <t>To</t>
  </si>
  <si>
    <t>High</t>
  </si>
  <si>
    <t>Low</t>
  </si>
  <si>
    <t xml:space="preserve">Low </t>
  </si>
  <si>
    <t>Copy first then second in diff colums</t>
  </si>
  <si>
    <t>Assign 1-3-5 id to first and 2-4-6 id to 2</t>
  </si>
  <si>
    <t>combine and sort on id</t>
  </si>
  <si>
    <t>remove duplicates</t>
  </si>
  <si>
    <t>unique the devs</t>
  </si>
  <si>
    <t>copy in sheet auto gen sequ</t>
  </si>
  <si>
    <t>Sort by dev then seq</t>
  </si>
  <si>
    <t>Gen prefs copy to h. prefs</t>
  </si>
  <si>
    <t>get file counts</t>
  </si>
  <si>
    <t>Sort by H then M</t>
  </si>
  <si>
    <t>454682</t>
  </si>
  <si>
    <t>8291720</t>
  </si>
  <si>
    <t>6464917</t>
  </si>
  <si>
    <t>3059872</t>
  </si>
  <si>
    <t>0454682</t>
  </si>
  <si>
    <t>7028097</t>
  </si>
  <si>
    <t>4866198</t>
  </si>
  <si>
    <t>Qtr1</t>
  </si>
  <si>
    <t>Qtr2</t>
  </si>
  <si>
    <t>Qtr4</t>
  </si>
  <si>
    <t>Qtr3</t>
  </si>
  <si>
    <t>Quarters</t>
  </si>
  <si>
    <t>4/1/2011 - June/2011</t>
  </si>
  <si>
    <t>01/1/2011 - Mar/2011</t>
  </si>
  <si>
    <t>oct-10 to Dec-10</t>
  </si>
  <si>
    <t>6Months</t>
  </si>
  <si>
    <t>01/01/2011 -30/06/2011</t>
  </si>
  <si>
    <t>01/01/2012 -30/06/2012</t>
  </si>
  <si>
    <t>8411557</t>
  </si>
  <si>
    <t>4696102</t>
  </si>
  <si>
    <t>9768125</t>
  </si>
  <si>
    <t>8896954</t>
  </si>
  <si>
    <t>3245687</t>
  </si>
  <si>
    <t>2066157</t>
  </si>
  <si>
    <t>7149903</t>
  </si>
  <si>
    <t>7501670</t>
  </si>
  <si>
    <t>2741433</t>
  </si>
  <si>
    <t>8714352</t>
  </si>
  <si>
    <t>6204016</t>
  </si>
  <si>
    <t>aveg</t>
  </si>
  <si>
    <t>6819716</t>
  </si>
  <si>
    <t>6066009</t>
  </si>
  <si>
    <t>2453985</t>
  </si>
  <si>
    <t>5432576</t>
  </si>
  <si>
    <t>2697474</t>
  </si>
  <si>
    <t>8833154</t>
  </si>
  <si>
    <t>4256334</t>
  </si>
  <si>
    <t>1521986</t>
  </si>
  <si>
    <t>4672995</t>
  </si>
  <si>
    <t>2027421</t>
  </si>
  <si>
    <t>WL</t>
  </si>
  <si>
    <t>WH</t>
  </si>
  <si>
    <t>MH</t>
  </si>
  <si>
    <t>ML</t>
  </si>
  <si>
    <t>QL</t>
  </si>
  <si>
    <t>QH</t>
  </si>
  <si>
    <t>6ML</t>
  </si>
  <si>
    <t>6MH</t>
  </si>
  <si>
    <t>Name</t>
  </si>
  <si>
    <t>Count of Second</t>
  </si>
  <si>
    <t>Values</t>
  </si>
  <si>
    <t>Perl</t>
  </si>
  <si>
    <t>ef3b26468fc2fdb6a3c369d9861b45a71681998c</t>
  </si>
  <si>
    <t>Nicholas Clark</t>
  </si>
  <si>
    <t>4ba0c76</t>
  </si>
  <si>
    <t>f433f45</t>
  </si>
  <si>
    <t>Rafael Garcia-Suarez</t>
  </si>
  <si>
    <t>37725cdcc38b517ef70773e843427b086c3d89e1</t>
  </si>
  <si>
    <t>Jarkko Hietaniemi</t>
  </si>
  <si>
    <t>210e727</t>
  </si>
  <si>
    <t>Nick Ing-Simmons</t>
  </si>
  <si>
    <t>7777929a1344ae3adddfcf7a297005c278038c36</t>
  </si>
  <si>
    <t>b8d8eb3</t>
  </si>
  <si>
    <t>db37a92</t>
  </si>
  <si>
    <t>edac6f11a785d11024ba7b4c7029a77714f59aa2</t>
  </si>
  <si>
    <t>01e6739</t>
  </si>
  <si>
    <t>8f8cf39</t>
  </si>
  <si>
    <t>48444ce652f3df77d831a18b1c3b72259d117bd5</t>
  </si>
  <si>
    <t>f2b1176</t>
  </si>
  <si>
    <t>0555b2b0658b3543d19d3fed65724628f43e0191</t>
  </si>
  <si>
    <t>fa6f41c</t>
  </si>
  <si>
    <t>c9bca74</t>
  </si>
  <si>
    <t>3d4382850300c498d5f4a81fdec29a4a557840bd</t>
  </si>
  <si>
    <t>Vincent Pit</t>
  </si>
  <si>
    <t>aae7e7b</t>
  </si>
  <si>
    <t>86247f3</t>
  </si>
  <si>
    <t>Steve Peters</t>
  </si>
  <si>
    <t>4e7245b5373225aafe95c40cba1590f590d1c782</t>
  </si>
  <si>
    <t>b665835</t>
  </si>
  <si>
    <t>2b19871</t>
  </si>
  <si>
    <t>Yves Orton</t>
  </si>
  <si>
    <t>a7cae0a99e12a8400a0e277aa1431f3c2c3f004d</t>
  </si>
  <si>
    <t>03e631d</t>
  </si>
  <si>
    <t>cbc013a</t>
  </si>
  <si>
    <t>ce74710c750c2e2799c74ad086fb2f10e9d71cbc</t>
  </si>
  <si>
    <t>86e05cf</t>
  </si>
  <si>
    <t>7814eec</t>
  </si>
  <si>
    <t>Paul Marquess</t>
  </si>
  <si>
    <t>3eb7d038374ee240e9b4fbfd51cf0d5698160a53</t>
  </si>
  <si>
    <t>7cf2ce7</t>
  </si>
  <si>
    <t>147da4b</t>
  </si>
  <si>
    <t>abf6c2ea2366391df6e7478b6e9cd5ca21c69249</t>
  </si>
  <si>
    <t>532217f</t>
  </si>
  <si>
    <t>9a7d94e</t>
  </si>
  <si>
    <t>01851bb732f478a582c55dbed16459f8a0da7ec5</t>
  </si>
  <si>
    <t>5cc917d</t>
  </si>
  <si>
    <t>5f244db</t>
  </si>
  <si>
    <t>David Mitchell</t>
  </si>
  <si>
    <t>9b9ea58460db69b1f900e0ad364912c71e46bfd2</t>
  </si>
  <si>
    <t>Leon Brocard</t>
  </si>
  <si>
    <t>3b8a5fb</t>
  </si>
  <si>
    <t>85d7fce</t>
  </si>
  <si>
    <t>cbc013ac48a98c00011042d30fcc29b1e7612573</t>
  </si>
  <si>
    <t>c407884</t>
  </si>
  <si>
    <t>d0ae58a</t>
  </si>
  <si>
    <t>b9e06e2c7ff6abbfa3de39167a70c9ec5bddd6f0</t>
  </si>
  <si>
    <t>3bef992</t>
  </si>
  <si>
    <t>218ab4d</t>
  </si>
  <si>
    <t>80caa102656a3fd44d985853ee017036747fe779</t>
  </si>
  <si>
    <t>6b490b4</t>
  </si>
  <si>
    <t>3eb7d03</t>
  </si>
  <si>
    <t>58a5b889b12ec12d156c83f9a9db3ca70e64bbcb</t>
  </si>
  <si>
    <t>e852947</t>
  </si>
  <si>
    <t>bead796</t>
  </si>
  <si>
    <t>Richard Soderberg</t>
  </si>
  <si>
    <t>2b881ee74bf7aab1bea94d803004757f3ae0c571</t>
  </si>
  <si>
    <t>7777929</t>
  </si>
  <si>
    <t>d7aa441</t>
  </si>
  <si>
    <t>81cdde7ffafa7c0955c5f1b0005c66faf4c4d341</t>
  </si>
  <si>
    <t>Craig A. Berry</t>
  </si>
  <si>
    <t>c826970</t>
  </si>
  <si>
    <t>036d8bd</t>
  </si>
  <si>
    <t>318c11d45f6c0748f41ed0bf476c34d1e80e4065</t>
  </si>
  <si>
    <t>f871171</t>
  </si>
  <si>
    <t>0111df8</t>
  </si>
  <si>
    <t>d8d621e9c163d4155ad30f87771f4b7d74688e05</t>
  </si>
  <si>
    <t>c5427a3</t>
  </si>
  <si>
    <t>a266333</t>
  </si>
  <si>
    <t>f4126beca049b2be5f2468b43c3ba2b4b0da6725</t>
  </si>
  <si>
    <t>bf02d38</t>
  </si>
  <si>
    <t>1d86a7f</t>
  </si>
  <si>
    <t>Hugo van der Sanden</t>
  </si>
  <si>
    <t>b22e3d310771329c3f97e9828ae50e660ce1776a</t>
  </si>
  <si>
    <t>1820c1a</t>
  </si>
  <si>
    <t>2d74ac5</t>
  </si>
  <si>
    <t>Andreas König</t>
  </si>
  <si>
    <t>d0989f645231e684b14c8795b57d431229514fac</t>
  </si>
  <si>
    <t>Eric Brine</t>
  </si>
  <si>
    <t>6de131f</t>
  </si>
  <si>
    <t>34e73a2</t>
  </si>
  <si>
    <t>a5296f52819f97a6441e5e68786958d6811b42c0</t>
  </si>
  <si>
    <t>Shlomi Fish</t>
  </si>
  <si>
    <t>735302b</t>
  </si>
  <si>
    <t>41498cd</t>
  </si>
  <si>
    <t>078398c5ad0ebf0072cdc18a0b9ec7cbf5a91886</t>
  </si>
  <si>
    <t>5ce5779</t>
  </si>
  <si>
    <t>51393fc</t>
  </si>
  <si>
    <t>Abigail</t>
  </si>
  <si>
    <t>1820c1a086c8157b005439e2c5ceb6a39ef629ea</t>
  </si>
  <si>
    <t>36b7bd4</t>
  </si>
  <si>
    <t>ab9e1bb</t>
  </si>
  <si>
    <t>67fed61ba7df4193ee696a1f5213265f154533e3</t>
  </si>
  <si>
    <t>Jesse Vincent</t>
  </si>
  <si>
    <t>4656de9</t>
  </si>
  <si>
    <t>b9627ca</t>
  </si>
  <si>
    <t>70b6a84e977a6211834eeab18dfebf4d45bd1688</t>
  </si>
  <si>
    <t>4cbab0e</t>
  </si>
  <si>
    <t>2bab063</t>
  </si>
  <si>
    <t>3915ffe07a6c4c63a7c57102cce7e300db028fa8</t>
  </si>
  <si>
    <t>ad6402b</t>
  </si>
  <si>
    <t>5dfb712</t>
  </si>
  <si>
    <t>2dc734a0f722ec5f9f2d88e4a852b2c3b1f39efa</t>
  </si>
  <si>
    <t>David Golden</t>
  </si>
  <si>
    <t>e9daf01</t>
  </si>
  <si>
    <t>f0fcb8e</t>
  </si>
  <si>
    <t>4fffee8e5bc0dd2368ad605f2046c6a9a2303392</t>
  </si>
  <si>
    <t>044c880</t>
  </si>
  <si>
    <t>13f7636</t>
  </si>
  <si>
    <t>0caec858b96d045bbbb857e6fb68e1de6aa96528</t>
  </si>
  <si>
    <t>3e37c67</t>
  </si>
  <si>
    <t>3deee5e</t>
  </si>
  <si>
    <t>Artur Bergman</t>
  </si>
  <si>
    <t>54c63aee44a5c1f4c37f15c087604dc7bdc566c9</t>
  </si>
  <si>
    <t>bbfd922</t>
  </si>
  <si>
    <t>3b1c327</t>
  </si>
  <si>
    <t>37f170ad633857baa5daf57832f6548c9e0073ba</t>
  </si>
  <si>
    <t>54c63ae</t>
  </si>
  <si>
    <t>77e6095</t>
  </si>
  <si>
    <t>3dae3b3445810204b098aa3420cb5d43bf991d8b</t>
  </si>
  <si>
    <t>d5fe29e</t>
  </si>
  <si>
    <t>18a10db</t>
  </si>
  <si>
    <t>Steffen Mueller</t>
  </si>
  <si>
    <t>fe95b7f1d15274709942e8fb54939d176fef0bff</t>
  </si>
  <si>
    <t>abf4a0e</t>
  </si>
  <si>
    <t>f7363f9</t>
  </si>
  <si>
    <t>Gurusamy Sarathy</t>
  </si>
  <si>
    <t>8ec29dfb7212b3eb8a6fa0793dfc70af5493c0fc</t>
  </si>
  <si>
    <t>2bc3a08</t>
  </si>
  <si>
    <t>c119778</t>
  </si>
  <si>
    <t>Chris Williams</t>
  </si>
  <si>
    <t>235f84edeedd25ea878a5e9d8ee8490c1af72837</t>
  </si>
  <si>
    <t>H.Merijn Brand</t>
  </si>
  <si>
    <t>7f98bb4</t>
  </si>
  <si>
    <t>6acba58</t>
  </si>
  <si>
    <t>eb78bf8f0da016f321bb20da1ca06461c3356b39</t>
  </si>
  <si>
    <t>Marcus Holland-Moritz</t>
  </si>
  <si>
    <t>4231740</t>
  </si>
  <si>
    <t>9c955c4</t>
  </si>
  <si>
    <t>Duke Leto</t>
  </si>
  <si>
    <t>cf96d8a4a287722768bd757eb44200e83eb7d024</t>
  </si>
  <si>
    <t>9d1c151</t>
  </si>
  <si>
    <t>1efaba7</t>
  </si>
  <si>
    <t>8e93eb227d6a2e75d395bc74dbcd4957180a1a72</t>
  </si>
  <si>
    <t>0716006</t>
  </si>
  <si>
    <t>cc1c1d2</t>
  </si>
  <si>
    <t>b2e048cb60f0b05b8dbbf6d77b5c8c080db24e8c</t>
  </si>
  <si>
    <t>8e93eb2</t>
  </si>
  <si>
    <t>5d20095</t>
  </si>
  <si>
    <t>caa34d58d7583a1eedaf9e469c9d7b16ef06c84d</t>
  </si>
  <si>
    <t>2b4f847</t>
  </si>
  <si>
    <t>f1ce3bf</t>
  </si>
  <si>
    <t>d3a49e2e379d1cc499a7069e81fa396f4df20d0c</t>
  </si>
  <si>
    <t>Karl</t>
  </si>
  <si>
    <t>6606016</t>
  </si>
  <si>
    <t>e3f38af</t>
  </si>
  <si>
    <t>ad6656ab324af5697588484c4746401e1770fa57</t>
  </si>
  <si>
    <t>eb78bf8</t>
  </si>
  <si>
    <t>b953482</t>
  </si>
  <si>
    <t>Jim Cromie</t>
  </si>
  <si>
    <t>dd27d36fd41b06f247074c949c2478cdbba72468</t>
  </si>
  <si>
    <t>9217ff3</t>
  </si>
  <si>
    <t>020b907</t>
  </si>
  <si>
    <t>e67eb5fe02942880b40697f65cd8c3bc3d42c514</t>
  </si>
  <si>
    <t>f9415d2</t>
  </si>
  <si>
    <t>cfc9228</t>
  </si>
  <si>
    <t>9de654f174a7c7ca88031e2ac4a33add560d0c8c</t>
  </si>
  <si>
    <t>216e7de</t>
  </si>
  <si>
    <t>f1bef09</t>
  </si>
  <si>
    <t>5b26f45ff09b1da93a02cd1932033a410f6d8ae2</t>
  </si>
  <si>
    <t>Karl Williamson</t>
  </si>
  <si>
    <t>124653e</t>
  </si>
  <si>
    <t>503b513</t>
  </si>
  <si>
    <t>417c35474ce3ea13ac5db4aec12e062062c2f7d3</t>
  </si>
  <si>
    <t>42a7a32</t>
  </si>
  <si>
    <t>5104f8e</t>
  </si>
  <si>
    <t>1c2c5f8e76ec81406f2cf2adeeadbd2a42dc5549</t>
  </si>
  <si>
    <t>af42750</t>
  </si>
  <si>
    <t>ab87ca4</t>
  </si>
  <si>
    <t>5e99c3599584e486bfdcabd9de63e308f013df4e</t>
  </si>
  <si>
    <t>40596bc</t>
  </si>
  <si>
    <t>6df2027</t>
  </si>
  <si>
    <t>Jerry D. Hedden</t>
  </si>
  <si>
    <t>a917e5da001c2e01ede95e432a105b1aa899f1e5</t>
  </si>
  <si>
    <t>23e33b6</t>
  </si>
  <si>
    <t>ff868e6</t>
  </si>
  <si>
    <t>797f6e9fa603b84d2f7e8cbe978a6be740007606</t>
  </si>
  <si>
    <t>1839a85</t>
  </si>
  <si>
    <t>f4b6e4b</t>
  </si>
  <si>
    <t>c5427a31df24aa751987c785ca93873805eee697</t>
  </si>
  <si>
    <t>3e71143</t>
  </si>
  <si>
    <t>3ef0590</t>
  </si>
  <si>
    <t>cc5470e2b2d9deadc4c9495a355863bbf6999707</t>
  </si>
  <si>
    <t>abc0a01</t>
  </si>
  <si>
    <t>e55ac0f</t>
  </si>
  <si>
    <t>157b749675929e393a7c0bb5f4006743737e22f3</t>
  </si>
  <si>
    <t>a211c3f8af40d0495c2f1a036a923353d5ad7a30</t>
  </si>
  <si>
    <t>997ec9b</t>
  </si>
  <si>
    <t>54edfe9</t>
  </si>
  <si>
    <t>b68cc5bb49d07a56be57a2adbd469fa7bf097c7d</t>
  </si>
  <si>
    <t>c2f2a82</t>
  </si>
  <si>
    <t>7b00711fc6f174fa5decef23606eea519c272aa4</t>
  </si>
  <si>
    <t>9e8c01f</t>
  </si>
  <si>
    <t>2e0eeea</t>
  </si>
  <si>
    <t>aac81c64863fb4ee65b90979edf416ce8bef8f59</t>
  </si>
  <si>
    <t>3fd1d62</t>
  </si>
  <si>
    <t>a1e6383</t>
  </si>
  <si>
    <t>bb61cbbfe4f34b8082fca34dd9dd82cae6aaa146</t>
  </si>
  <si>
    <t>Andy Dougherty</t>
  </si>
  <si>
    <t>ecf5c23</t>
  </si>
  <si>
    <t>f6435df</t>
  </si>
  <si>
    <t>Gerard Goossen</t>
  </si>
  <si>
    <t>958ff85a3beda75133fa1f15afaccedc1ad73fa0</t>
  </si>
  <si>
    <t>6369c73</t>
  </si>
  <si>
    <t>d963bf0</t>
  </si>
  <si>
    <t>5d655eec0c0ab8ae05533bde3a2b3b5ed9adff22</t>
  </si>
  <si>
    <t>b132d76</t>
  </si>
  <si>
    <t>2dc2558</t>
  </si>
  <si>
    <t>3e4a31ba50c4f768e53207843155793ca70b3ba1</t>
  </si>
  <si>
    <t>d90a703</t>
  </si>
  <si>
    <t>a6bd83f</t>
  </si>
  <si>
    <t>e8d7f3747c04a9bb10b98235d6cac8ff43bf8a54</t>
  </si>
  <si>
    <t>7e56aaa</t>
  </si>
  <si>
    <t>a53a623</t>
  </si>
  <si>
    <t>41ca041da450dea2240565317825c159e0b28ee4</t>
  </si>
  <si>
    <t>0972ecd</t>
  </si>
  <si>
    <t>d27f8d4</t>
  </si>
  <si>
    <t>e507fdf52b6cc8b84c112b13ae72787f5ee1ffa2</t>
  </si>
  <si>
    <t>06d5de5</t>
  </si>
  <si>
    <t>b221970</t>
  </si>
  <si>
    <t>8a9589bc6cef4f737dac16289dde1fc6084e8d2f</t>
  </si>
  <si>
    <t>d87d3ee</t>
  </si>
  <si>
    <t>abb619a</t>
  </si>
  <si>
    <t>71a94ed0dde4fbebc4c22e5f9f80d2e8586b85b4</t>
  </si>
  <si>
    <t>4013a0e</t>
  </si>
  <si>
    <t>25a883e</t>
  </si>
  <si>
    <t>e061ec81dcb60a85554e31a39475b89528de42f0</t>
  </si>
  <si>
    <t>71e9c53</t>
  </si>
  <si>
    <t>5ad5b34</t>
  </si>
  <si>
    <t>0384d2fffd4e9480d75fd2afa397b45866ec8ac8</t>
  </si>
  <si>
    <t>7d8e7db</t>
  </si>
  <si>
    <t>9d40e17</t>
  </si>
  <si>
    <t>28271a23563e65f4c947dd5440ea22395062bc66</t>
  </si>
  <si>
    <t>95266a8</t>
  </si>
  <si>
    <t>7f4ffa9</t>
  </si>
  <si>
    <t>Ricardo SIGNES</t>
  </si>
  <si>
    <t>f433f45e728fb8fd90ae712c4daa4fb4cf2cb6c2</t>
  </si>
  <si>
    <t>Michael G. Schwern</t>
  </si>
  <si>
    <t>d4fb0a1</t>
  </si>
  <si>
    <t>2547c83</t>
  </si>
  <si>
    <t>56d86adf5b9b1c05ea2f24c084864c043d30d101</t>
  </si>
  <si>
    <t>Jan Dubois</t>
  </si>
  <si>
    <t>f7bbabd</t>
  </si>
  <si>
    <t>289d21b</t>
  </si>
  <si>
    <t>f9a83b002447a32d10950dbf65a6f1c4e13eadcc</t>
  </si>
  <si>
    <t>d361faf</t>
  </si>
  <si>
    <t>1d5727c</t>
  </si>
  <si>
    <t>The Doctor</t>
  </si>
  <si>
    <t>60bc01042ebc8b64b0919127e40a6b62d4e49f90</t>
  </si>
  <si>
    <t>2bbc8d5</t>
  </si>
  <si>
    <t>4adc95e</t>
  </si>
  <si>
    <t>Steve Hay</t>
  </si>
  <si>
    <t>59edad4d4b63b64f330c27c861c45c3c1a58de74</t>
  </si>
  <si>
    <t>brian d foy</t>
  </si>
  <si>
    <t>0656b9f</t>
  </si>
  <si>
    <t>9d6c7f2</t>
  </si>
  <si>
    <t>Max Maischein</t>
  </si>
  <si>
    <t>bf02d38ec7892c236ea4b293274ea6a3c334a25d</t>
  </si>
  <si>
    <t>294f22c</t>
  </si>
  <si>
    <t>e02aff1</t>
  </si>
  <si>
    <t>ad67ff794f974abe591ae9d905453c24e3677bb6</t>
  </si>
  <si>
    <t>a9a2892</t>
  </si>
  <si>
    <t>241416b</t>
  </si>
  <si>
    <t>Dave Mitchell</t>
  </si>
  <si>
    <t>2a8f410418d535022b9d9c826afce2be4b335b47</t>
  </si>
  <si>
    <t>f20dcd7</t>
  </si>
  <si>
    <t>a35666c</t>
  </si>
  <si>
    <t>e0334b8ef0d2abc4db055d5e32f5deb8638f414b</t>
  </si>
  <si>
    <t>d8d621e</t>
  </si>
  <si>
    <t>b138723</t>
  </si>
  <si>
    <t>5ad584ea1d079b94588b961fced5c910691c6426</t>
  </si>
  <si>
    <t>6700e35</t>
  </si>
  <si>
    <t>4ec2216</t>
  </si>
  <si>
    <t>020b9078de2cdc245cc99df621722187e7680145</t>
  </si>
  <si>
    <t>eb7e197</t>
  </si>
  <si>
    <t>636cdfa</t>
  </si>
  <si>
    <t>2a167b4e6ed7a877457df779b3d8b81d92e11e5e</t>
  </si>
  <si>
    <t>Yuval Kogman</t>
  </si>
  <si>
    <t>5abd40f</t>
  </si>
  <si>
    <t>7898bf0</t>
  </si>
  <si>
    <t>6acc1f4b949a27f991158895b0924355891e1680</t>
  </si>
  <si>
    <t>5b31146</t>
  </si>
  <si>
    <t>0963073dad3e802d32ee18b8484362d8ec72b515</t>
  </si>
  <si>
    <t>109cdaf</t>
  </si>
  <si>
    <t>a33cf58</t>
  </si>
  <si>
    <t>1641b32077f84900826ce57b8afc1254e1026f30</t>
  </si>
  <si>
    <t>65d043b</t>
  </si>
  <si>
    <t>d96f3ac</t>
  </si>
  <si>
    <t>40b195f125139878c33252006933b7e66abf674e</t>
  </si>
  <si>
    <t>0e985b6</t>
  </si>
  <si>
    <t>347e795cf5c270b35f92d9a57d5097ca17994422</t>
  </si>
  <si>
    <t>0e96520</t>
  </si>
  <si>
    <t>00f5185</t>
  </si>
  <si>
    <t>e9c9f4ae5f2d0d58e16bec3b528c1d6eec0c2716</t>
  </si>
  <si>
    <t>4e32d3a</t>
  </si>
  <si>
    <t>b16c2e4</t>
  </si>
  <si>
    <t>1665bca07dc555ad9940968da9d6f7b158ac2a47</t>
  </si>
  <si>
    <t>e92f586</t>
  </si>
  <si>
    <t>8e32470</t>
  </si>
  <si>
    <t>41fcf1b2dde238cf584df7c8f5fb4cb1e68314f5</t>
  </si>
  <si>
    <t>7f51080</t>
  </si>
  <si>
    <t>f6ef2c660ed92bb859fe759e2dc87eb7fc02615a</t>
  </si>
  <si>
    <t>14a86d0</t>
  </si>
  <si>
    <t>872cbd3</t>
  </si>
  <si>
    <t>abf4a0e45d75ef716879ac9918790c4c248bb20c</t>
  </si>
  <si>
    <t>a6dd044</t>
  </si>
  <si>
    <t>cb3fc42</t>
  </si>
  <si>
    <t>277dad4e2320e5690f5933980b28aa5eb246f197</t>
  </si>
  <si>
    <t>0226bbd</t>
  </si>
  <si>
    <t>5fcb245</t>
  </si>
  <si>
    <t>36b7bd43e26e497d114269b6c6b7b8a5ac7ae961</t>
  </si>
  <si>
    <t>37f170a</t>
  </si>
  <si>
    <t>eb7b3f4</t>
  </si>
  <si>
    <t>b8d8eb3f3c3cc124b13acf1f7dfd98df589b89b6</t>
  </si>
  <si>
    <t>37d639d</t>
  </si>
  <si>
    <t>4823492e8300496c58c99f10f6ee6db24bcb1708</t>
  </si>
  <si>
    <t>John Malmberg</t>
  </si>
  <si>
    <t>1fe570c</t>
  </si>
  <si>
    <t>15a6779</t>
  </si>
  <si>
    <t>56c566b2ef4700528c5a38520713f603a0c5f4fd</t>
  </si>
  <si>
    <t>9cb315a</t>
  </si>
  <si>
    <t>48dc1ee</t>
  </si>
  <si>
    <t>Gerrit P. Haase</t>
  </si>
  <si>
    <t>73f93ac6a6c51f996f29a6a02cae0151bdbc5bf7</t>
  </si>
  <si>
    <t>ad1d1c5</t>
  </si>
  <si>
    <t>6f54462</t>
  </si>
  <si>
    <t>c008dd209a151b84434a86cc5e4329af0e1bff9f</t>
  </si>
  <si>
    <t>Chip Salzenberg</t>
  </si>
  <si>
    <t>f0e3f04</t>
  </si>
  <si>
    <t>3e71143ccf67c6536b20b2e8622bb984ca6c50fe</t>
  </si>
  <si>
    <t>318c11d</t>
  </si>
  <si>
    <t>1a95e36</t>
  </si>
  <si>
    <t>e87ef8c0197c05592a0b7988f7f1af2f39f06465</t>
  </si>
  <si>
    <t>54f3bd6</t>
  </si>
  <si>
    <t>cfc8a80</t>
  </si>
  <si>
    <t>81b04369996fe19fbab7e8dfd28db6db516b0d90</t>
  </si>
  <si>
    <t>7c07f45</t>
  </si>
  <si>
    <t>3db8f15</t>
  </si>
  <si>
    <t>9646e71393b83497952a662971ad457dd66fbbd9</t>
  </si>
  <si>
    <t>0678cb2</t>
  </si>
  <si>
    <t>dd27d36</t>
  </si>
  <si>
    <t>37d639d6a5a6e474e82d154d7795ce2029f423a5</t>
  </si>
  <si>
    <t>b22e3d3</t>
  </si>
  <si>
    <t>107b9ac68cc0ed05e2425242b75b334c86daa4bf</t>
  </si>
  <si>
    <t>d4808f6</t>
  </si>
  <si>
    <t>81afb67</t>
  </si>
  <si>
    <t>ff7650cc95e66d4ec4a55c5403afb2835442468d</t>
  </si>
  <si>
    <t>a59108e</t>
  </si>
  <si>
    <t>e82692a</t>
  </si>
  <si>
    <t>5b79a2243fad631bde9802bdfa8903ea90aca08d</t>
  </si>
  <si>
    <t>37e2e78</t>
  </si>
  <si>
    <t>3a42395</t>
  </si>
  <si>
    <t>96f2655e63130ce81a00bf6c019ca10a31c5df4a</t>
  </si>
  <si>
    <t>Charles Bailey</t>
  </si>
  <si>
    <t>e63b337</t>
  </si>
  <si>
    <t>52c447a</t>
  </si>
  <si>
    <t>713a258070c84f5e05bf80eb5928f5d789fab6c0</t>
  </si>
  <si>
    <t>fe95b7f</t>
  </si>
  <si>
    <t>3ead22c</t>
  </si>
  <si>
    <t>f14bcc5683944703165075d948cc1a971e0ffd62</t>
  </si>
  <si>
    <t>2d373db</t>
  </si>
  <si>
    <t>c331296</t>
  </si>
  <si>
    <t>16576cb59e5aeae19f89b54a358d342413d0d7db</t>
  </si>
  <si>
    <t>89dbd0d</t>
  </si>
  <si>
    <t>51f494c</t>
  </si>
  <si>
    <t>5d331c6472fd241e3a32604381343596fee5355c</t>
  </si>
  <si>
    <t>56c566b</t>
  </si>
  <si>
    <t>2941a2e</t>
  </si>
  <si>
    <t>07160069ef57a7888de8064b883bc0f5cbd24dc2</t>
  </si>
  <si>
    <t>0d30e69</t>
  </si>
  <si>
    <t>ed11042</t>
  </si>
  <si>
    <t>c6d54e4030e9ceec9a1b154ca7ec3429f435a570</t>
  </si>
  <si>
    <t>3c26928</t>
  </si>
  <si>
    <t>dcbc17c</t>
  </si>
  <si>
    <t>d0f1d92ce76eb6a82a7cfbdf9212e766122a40c0</t>
  </si>
  <si>
    <t>20ed56d</t>
  </si>
  <si>
    <t>0aeed65</t>
  </si>
  <si>
    <t>7e9bdbacf6b157eccced37440b53cd81bffedb00</t>
  </si>
  <si>
    <t>e9c9f4a</t>
  </si>
  <si>
    <t>aabcd81dbdc6c27bb20d607f58b297b57596edbb</t>
  </si>
  <si>
    <t>9cec33d</t>
  </si>
  <si>
    <t>e83d9f5</t>
  </si>
  <si>
    <t>bd67d4df63b2baa15e39654ecc5a07f823e70fbf</t>
  </si>
  <si>
    <t>54f7170</t>
  </si>
  <si>
    <t>9a8a815</t>
  </si>
  <si>
    <t>09e8634ad8f1eaff4ea056eff21734fc5d54c70d</t>
  </si>
  <si>
    <t>cc8773c</t>
  </si>
  <si>
    <t>e772598</t>
  </si>
  <si>
    <t>289281205c65de071383bf72b5d8aef3c17f427b</t>
  </si>
  <si>
    <t>f89a570</t>
  </si>
  <si>
    <t>81ae3cd</t>
  </si>
  <si>
    <t>Tony Cook</t>
  </si>
  <si>
    <t>a1c91408224f6b095b5e4e6988d6b800ff6d1538</t>
  </si>
  <si>
    <t>b9e06e2</t>
  </si>
  <si>
    <t>f808df7</t>
  </si>
  <si>
    <t>9163df88715121c06f9c7545422f4622e670c172</t>
  </si>
  <si>
    <t>7cf2ce72097a199da7164901591cd9dabfaddef6</t>
  </si>
  <si>
    <t>fe6a355</t>
  </si>
  <si>
    <t>65fe0b2</t>
  </si>
  <si>
    <t>37f2ccb85aacf7e0846f04957cc05301fbb96b15</t>
  </si>
  <si>
    <t>1640e9f</t>
  </si>
  <si>
    <t>14564eb</t>
  </si>
  <si>
    <t>Paul Fenwick</t>
  </si>
  <si>
    <t>9a7d94ef19fc170c3cac472a31f467828efc1cd4</t>
  </si>
  <si>
    <t>5bc8648</t>
  </si>
  <si>
    <t>0e945d0</t>
  </si>
  <si>
    <t>f96342d4d75c8fb34f1848985bba33c57b699e85</t>
  </si>
  <si>
    <t>ff2f7ef</t>
  </si>
  <si>
    <t>4548d6fb02b29821283f89a8b1d5c3c9a6e3c2a3</t>
  </si>
  <si>
    <t>Peter Scott</t>
  </si>
  <si>
    <t>947cb11</t>
  </si>
  <si>
    <t>4b069b4</t>
  </si>
  <si>
    <t>1aa0a167bf7a9e6b041e57a61ada0d7c2e1b7e90</t>
  </si>
  <si>
    <t>6ebe41a</t>
  </si>
  <si>
    <t>fe6a355d0e248c42e1da4becfeb3d3c37cc36990</t>
  </si>
  <si>
    <t>14d8904</t>
  </si>
  <si>
    <t>811b48f</t>
  </si>
  <si>
    <t>6e6ca6c3d8f9eaf6e2364f1fef07b3f472f0a846</t>
  </si>
  <si>
    <t>3e4a31b</t>
  </si>
  <si>
    <t>498d7dc</t>
  </si>
  <si>
    <t>454dbe40843112257eaf162094b08e258367e968</t>
  </si>
  <si>
    <t>Niko Tyni</t>
  </si>
  <si>
    <t>26e8050</t>
  </si>
  <si>
    <t>12c541f</t>
  </si>
  <si>
    <t>1a47dce1fa183a14cddda735752e2ad480e85bd9</t>
  </si>
  <si>
    <t>ca7d924</t>
  </si>
  <si>
    <t>9469eb4</t>
  </si>
  <si>
    <t>453f08842ffd21d950c118547aadc5076aad249d</t>
  </si>
  <si>
    <t>6051489</t>
  </si>
  <si>
    <t>f6c1237</t>
  </si>
  <si>
    <t>5929274fd6ebc76e42a2d2e13c4ababb594a4a5a</t>
  </si>
  <si>
    <t>Florian Ragwitz</t>
  </si>
  <si>
    <t>082b74e</t>
  </si>
  <si>
    <t>932dfdf</t>
  </si>
  <si>
    <t>David Cantrell</t>
  </si>
  <si>
    <t>b0ce607a6dc86b7489b2320651569a94b7a2cea8</t>
  </si>
  <si>
    <t>a1c9140</t>
  </si>
  <si>
    <t>d5d4ec9</t>
  </si>
  <si>
    <t>cb5fdd89057107323f000050b37f8574253e2073</t>
  </si>
  <si>
    <t>e87ef8c</t>
  </si>
  <si>
    <t>83d0579</t>
  </si>
  <si>
    <t>7c07f45e8da164583bdc891840f65bb5d002d0e0</t>
  </si>
  <si>
    <t>cb5fdd8</t>
  </si>
  <si>
    <t>478d307</t>
  </si>
  <si>
    <t>2002d88613b158e3188843b6077ec25ba9bcad33</t>
  </si>
  <si>
    <t>6e6ca6c</t>
  </si>
  <si>
    <t>0202f2d</t>
  </si>
  <si>
    <t>3dac15a5e55ca29c7a6db0641c9887b1384cb5fd</t>
  </si>
  <si>
    <t>37930f0</t>
  </si>
  <si>
    <t>a2f19a1</t>
  </si>
  <si>
    <t>71b132e52dfe9cf0fddbbd9974d2213f934a059b</t>
  </si>
  <si>
    <t>a840ab597585fec96aedc683feb16b1a3292efa0</t>
  </si>
  <si>
    <t>Hans Ranke</t>
  </si>
  <si>
    <t>0fcc65b</t>
  </si>
  <si>
    <t>2a6fd44</t>
  </si>
  <si>
    <t>e02aff1787731eb0d62d3feb2940a906c15312df</t>
  </si>
  <si>
    <t>262eaca</t>
  </si>
  <si>
    <t>5104f8e8cb6eb35269aac646fcd0a6bbd6b2f42e</t>
  </si>
  <si>
    <t>1fea7ed</t>
  </si>
  <si>
    <t>a29bb5d65184e75403dfd9e067748a8e99d945b7</t>
  </si>
  <si>
    <t>3c26928f626c1daf0fdc42cb4620bf258d47a018</t>
  </si>
  <si>
    <t>e949e37</t>
  </si>
  <si>
    <t>03d9e98</t>
  </si>
  <si>
    <t>Abhijit Menon-Sen</t>
  </si>
  <si>
    <t>7211588c6aa4629aa6b38db94c2ae732db5ef8c7</t>
  </si>
  <si>
    <t>287a822</t>
  </si>
  <si>
    <t>a1631febe734118bd5019b2e4fd6e58df1ed6bb6</t>
  </si>
  <si>
    <t>417c354</t>
  </si>
  <si>
    <t>67e51b5</t>
  </si>
  <si>
    <t>dec158af17062a4c9c279d90135ae9756483db40</t>
  </si>
  <si>
    <t>Zefram</t>
  </si>
  <si>
    <t>58e85f6</t>
  </si>
  <si>
    <t>d541574</t>
  </si>
  <si>
    <t>5f2046cdb5cd274c0718a3aa191631954adabbfd</t>
  </si>
  <si>
    <t>a9a5a0d</t>
  </si>
  <si>
    <t>23f0c13</t>
  </si>
  <si>
    <t>4e32d3ada00dc86f30145cd90e757baad18afd5f</t>
  </si>
  <si>
    <t>453f088</t>
  </si>
  <si>
    <t>235f84e</t>
  </si>
  <si>
    <t>54df1a36f48bacd0b879912435c634eca7fa2820</t>
  </si>
  <si>
    <t>5a00ee6</t>
  </si>
  <si>
    <t>a58a4f4</t>
  </si>
  <si>
    <t>Chris 'BinGOs' Williams</t>
  </si>
  <si>
    <t>3e37c6782bf9706d655ac5ab2ffcd084a5a68037</t>
  </si>
  <si>
    <t>30ef332</t>
  </si>
  <si>
    <t>317cb13</t>
  </si>
  <si>
    <t>0d30e6959f2dec2319b47915981976aa31a7e10f</t>
  </si>
  <si>
    <t>5ad584e</t>
  </si>
  <si>
    <t>dd99735</t>
  </si>
  <si>
    <t>42d9c3c750e03a3a95cf40f3bfcd11f7b3d3167a</t>
  </si>
  <si>
    <t>6b42d12</t>
  </si>
  <si>
    <t>9837d37</t>
  </si>
  <si>
    <t>49866caf7899f20f20551459acdf4460ed22980e</t>
  </si>
  <si>
    <t>c3d14d7</t>
  </si>
  <si>
    <t>333f887</t>
  </si>
  <si>
    <t>5a33cafb3e9fc5707648ad1389fba19eefaf2247</t>
  </si>
  <si>
    <t>9091a61</t>
  </si>
  <si>
    <t>4f187fc</t>
  </si>
  <si>
    <t>606adbbb49332176b659b2f31e923f3a5c3899ba</t>
  </si>
  <si>
    <t>422c59bf</t>
  </si>
  <si>
    <t>ecf5217</t>
  </si>
  <si>
    <t>2793b1da445b3d7a70c34cbaa951dbacdd7b2d3e</t>
  </si>
  <si>
    <t>2b881ee</t>
  </si>
  <si>
    <t>1aad166</t>
  </si>
  <si>
    <t>9cd675818fc1340670abcf2452a8cad2f8be19ac</t>
  </si>
  <si>
    <t>28bf64c</t>
  </si>
  <si>
    <t>c9908cac60bbb191807f0d3fafd9567a2304b7e9</t>
  </si>
  <si>
    <t>cf96d8a</t>
  </si>
  <si>
    <t>871661e</t>
  </si>
  <si>
    <t>2b52f3e4481c7e4c04f58854b1b073cca9e27da1</t>
  </si>
  <si>
    <t>c24e7b6</t>
  </si>
  <si>
    <t>3dac15a</t>
  </si>
  <si>
    <t>38b3c827d86b040f3d6f398e5a8cb318bc031ed4</t>
  </si>
  <si>
    <t>Gabor Szabo</t>
  </si>
  <si>
    <t>1aff535</t>
  </si>
  <si>
    <t>6eb667c</t>
  </si>
  <si>
    <t>6a787289ba1c1567b3036a5088fca9db65271ee8</t>
  </si>
  <si>
    <t>07962d9</t>
  </si>
  <si>
    <t>38ec24b</t>
  </si>
  <si>
    <t>73496db2b46a179fe398109ad934812dd7b63a82</t>
  </si>
  <si>
    <t>Bram</t>
  </si>
  <si>
    <t>b73790d</t>
  </si>
  <si>
    <t>fa13de9</t>
  </si>
  <si>
    <t>0107644769df870b4b9b5d39c23e022645709de5</t>
  </si>
  <si>
    <t>e249e24</t>
  </si>
  <si>
    <t>b32dd47</t>
  </si>
  <si>
    <t>3bef992e68500c54cec789863c0ee67aee10b008</t>
  </si>
  <si>
    <t>5d8c5f6</t>
  </si>
  <si>
    <t>7f830b7</t>
  </si>
  <si>
    <t>d77d04a3e8f761ce8f9aa940083e07bc8db0fa85</t>
  </si>
  <si>
    <t>aca0dac</t>
  </si>
  <si>
    <t>978ae42</t>
  </si>
  <si>
    <t>Stas Bekman</t>
  </si>
  <si>
    <t>aaf7560d258bde6d40422e9adb74a124e234858e</t>
  </si>
  <si>
    <t>f9aa124</t>
  </si>
  <si>
    <t>755e775</t>
  </si>
  <si>
    <t>303def5230dbc873aa0f93205baed3f5fab5a63c</t>
  </si>
  <si>
    <t>ac1205a</t>
  </si>
  <si>
    <t>cf284a2</t>
  </si>
  <si>
    <t>e249e2492b04b7833427b1339eb2963b6d688b22</t>
  </si>
  <si>
    <t>Adrian M. Enache</t>
  </si>
  <si>
    <t>c4a9c61</t>
  </si>
  <si>
    <t>2793b1d</t>
  </si>
  <si>
    <t>9a8a8154e760831a634ef0df130347674ea26459</t>
  </si>
  <si>
    <t>5a33caf</t>
  </si>
  <si>
    <t>6a92418585632730a32c9109c63df3e9d3d8a61f</t>
  </si>
  <si>
    <t>23f519f</t>
  </si>
  <si>
    <t>710275778923a929b2c819034e3a32cb0877ccca</t>
  </si>
  <si>
    <t>b21d8e5</t>
  </si>
  <si>
    <t>29e8de6</t>
  </si>
  <si>
    <t>022ab4df1d1709d1b9dd42e3e1917199d6c69afe</t>
  </si>
  <si>
    <t>dd9bbc5</t>
  </si>
  <si>
    <t>56d211ad97696d221084455cb96e59b2c6e62bfa</t>
  </si>
  <si>
    <t>9d45c60</t>
  </si>
  <si>
    <t>f0fcb8ecf15a3f8982a80728c9ce370ac5f6c009</t>
  </si>
  <si>
    <t>5d2559d</t>
  </si>
  <si>
    <t>256697c</t>
  </si>
  <si>
    <t>bc8181d521d11f280b4b416dfc7c2bbdb00aba28</t>
  </si>
  <si>
    <t>1afd330</t>
  </si>
  <si>
    <t>0b370c0</t>
  </si>
  <si>
    <t>d068fc0dfbe72bcd63e0b2a470a9d322ca5cab34</t>
  </si>
  <si>
    <t>2032ff0</t>
  </si>
  <si>
    <t>1c18e81d458049035172a36c23ddaf25f508d6a7</t>
  </si>
  <si>
    <t>59edad4</t>
  </si>
  <si>
    <t>51d9476</t>
  </si>
  <si>
    <t>15e890e9f40e1f08583b147ed6ceb93e819e7aa1</t>
  </si>
  <si>
    <t>23340c0</t>
  </si>
  <si>
    <t>0107644</t>
  </si>
  <si>
    <t>6785922</t>
  </si>
  <si>
    <t>1918549</t>
  </si>
  <si>
    <t>4411113</t>
  </si>
  <si>
    <t>1647948</t>
  </si>
  <si>
    <t>0763320</t>
  </si>
  <si>
    <t>9592224</t>
  </si>
  <si>
    <t>2018914</t>
  </si>
  <si>
    <t>9339819</t>
  </si>
  <si>
    <t>Gurusamy</t>
  </si>
  <si>
    <t>brian</t>
  </si>
  <si>
    <t>Rafael</t>
  </si>
  <si>
    <t>Nick</t>
  </si>
  <si>
    <t>Voldemort</t>
  </si>
  <si>
    <t>72a09c02c33022a234a699319dfc4a94d07d0d85</t>
  </si>
  <si>
    <t>kirktrue</t>
  </si>
  <si>
    <t>99fa79a</t>
  </si>
  <si>
    <t>a755b4e</t>
  </si>
  <si>
    <t>Jay Kreps</t>
  </si>
  <si>
    <t>4460aa6dfeec17a81178e19eae4135dbac446dc3</t>
  </si>
  <si>
    <t>Alex Feinberg</t>
  </si>
  <si>
    <t>371b201</t>
  </si>
  <si>
    <t>7f26355</t>
  </si>
  <si>
    <t>Bhupesh Bansal</t>
  </si>
  <si>
    <t>e70d73e5e101553d1bd3e086b1277ca700e12559</t>
  </si>
  <si>
    <t>Roshan Sumbaly</t>
  </si>
  <si>
    <t>1a8ec6c</t>
  </si>
  <si>
    <t>7cb8624</t>
  </si>
  <si>
    <t>97ddd2b65b6c4f525af8aa2d1c5986b0f368e5ad</t>
  </si>
  <si>
    <t>58df0dd</t>
  </si>
  <si>
    <t>bfd86e8</t>
  </si>
  <si>
    <t>d72e37fbaae213f01047cf9598e63b7c3f286848</t>
  </si>
  <si>
    <t>a24eb46</t>
  </si>
  <si>
    <t>4957e952aaf836b9eda3f178de348380c7d9be0c</t>
  </si>
  <si>
    <t>Chinmay Soman</t>
  </si>
  <si>
    <t>3d8ecf2</t>
  </si>
  <si>
    <t>3481e4c</t>
  </si>
  <si>
    <t>Vinoth Chandar</t>
  </si>
  <si>
    <t>b3e72124eacbf68d2b2070c04e755ca6e6bbc4a9</t>
  </si>
  <si>
    <t>icefury71</t>
  </si>
  <si>
    <t>e7c7b79</t>
  </si>
  <si>
    <t>d37df6b</t>
  </si>
  <si>
    <t>Zhongjie Wu</t>
  </si>
  <si>
    <t>a1873ab624f024869b88b12c76321d97cf94d0c9</t>
  </si>
  <si>
    <t>Lei Gao</t>
  </si>
  <si>
    <t>f269819</t>
  </si>
  <si>
    <t>9b93e92</t>
  </si>
  <si>
    <t>b960ac2c828b2500708b37d376ee512ec15b2ade</t>
  </si>
  <si>
    <t>Geir Magnusson Jr</t>
  </si>
  <si>
    <t>68a3dd3</t>
  </si>
  <si>
    <t>ea91edb</t>
  </si>
  <si>
    <t>Rob Adams</t>
  </si>
  <si>
    <t>b2daa523a27ec0e977cc1e9ee81e971909852ba0</t>
  </si>
  <si>
    <t>Ismael Juma</t>
  </si>
  <si>
    <t>ebfba93</t>
  </si>
  <si>
    <t>47ff456</t>
  </si>
  <si>
    <t>788aa246bf20ad4a2995be559948c65e009f898c</t>
  </si>
  <si>
    <t>b2daa52</t>
  </si>
  <si>
    <t>4aab077</t>
  </si>
  <si>
    <t>753c5525a167a47b25a592fa501ca0ecb6c48945</t>
  </si>
  <si>
    <t>f412214</t>
  </si>
  <si>
    <t>c18858e</t>
  </si>
  <si>
    <t>f313532b52659f487983e1114606293c73883ab0</t>
  </si>
  <si>
    <t>ed5b621</t>
  </si>
  <si>
    <t>1f0db5f73a2b0cd4bcedc5e9077f201f038abfe3</t>
  </si>
  <si>
    <t>6efd96c</t>
  </si>
  <si>
    <t>d55c771</t>
  </si>
  <si>
    <t>d18f0ce071c402ae09eb2b282331977194614e43</t>
  </si>
  <si>
    <t>943cfcf</t>
  </si>
  <si>
    <t>b20e97b</t>
  </si>
  <si>
    <t>33d01196bced9bd1e01e4f9bdf70605c5eb08225</t>
  </si>
  <si>
    <t>15b5cc1</t>
  </si>
  <si>
    <t>d6a5017</t>
  </si>
  <si>
    <t>cf8adb6763183536c8bde50d29e6d03975cfdbfb</t>
  </si>
  <si>
    <t>Mike Frost</t>
  </si>
  <si>
    <t>7d06687</t>
  </si>
  <si>
    <t>6c8e5e0</t>
  </si>
  <si>
    <t>4e1c91177633e6f56b03a77bf2d6aa0cff20801d</t>
  </si>
  <si>
    <t>4460aa6</t>
  </si>
  <si>
    <t>4b0c40b</t>
  </si>
  <si>
    <t>149eb6d540056d00f1aa011d1a13b19d94b6c91a</t>
  </si>
  <si>
    <t>b9b3001</t>
  </si>
  <si>
    <t>33b5e93</t>
  </si>
  <si>
    <t>Chris Riccomini</t>
  </si>
  <si>
    <t>491863359fac1b2c67fe6c1a719ef4c1f569c22d</t>
  </si>
  <si>
    <t>James Roper</t>
  </si>
  <si>
    <t>fd5dbeb</t>
  </si>
  <si>
    <t>aee112d</t>
  </si>
  <si>
    <t>70fcfd8688fae877e7dbf876dba9c54cbddf06f6</t>
  </si>
  <si>
    <t>0a04cf9</t>
  </si>
  <si>
    <t>d2687eb</t>
  </si>
  <si>
    <t>2672d7afbbb54c246de9999c147747e88d7a0afe</t>
  </si>
  <si>
    <t>1eebbbb</t>
  </si>
  <si>
    <t>73bf046</t>
  </si>
  <si>
    <t>e7dc90a3e5c729a20388e91faa6d0de20ae06aa8</t>
  </si>
  <si>
    <t>5e52308</t>
  </si>
  <si>
    <t>62f6228</t>
  </si>
  <si>
    <t>70e06f1d128a41c019296bcbedd45ebf99c3c9da</t>
  </si>
  <si>
    <t>7d73231</t>
  </si>
  <si>
    <t>4d2001e</t>
  </si>
  <si>
    <t>a217403fecbbd540e7536cb30cc4626eaf1ab97d</t>
  </si>
  <si>
    <t>5d8be45</t>
  </si>
  <si>
    <t>db4c0fa</t>
  </si>
  <si>
    <t>706c88dec5656ccd56f2b5c892ec025e0f928222</t>
  </si>
  <si>
    <t>92b1a1b</t>
  </si>
  <si>
    <t>b0f6d65</t>
  </si>
  <si>
    <t>Kirk True</t>
  </si>
  <si>
    <t>deeff41e366d101f42a28d355d056d24c3264a75</t>
  </si>
  <si>
    <t>add2904</t>
  </si>
  <si>
    <t>acd8a64</t>
  </si>
  <si>
    <t>Karthik Kumar</t>
  </si>
  <si>
    <t>494d49bd1ff40d6f215c8257abb9b4a3fc61286c</t>
  </si>
  <si>
    <t>0b2ef08</t>
  </si>
  <si>
    <t>d74a474</t>
  </si>
  <si>
    <t>a1c9685e2a97a92b26c2926325e470bda89232dd</t>
  </si>
  <si>
    <t>dca5dc3</t>
  </si>
  <si>
    <t>0d53b82</t>
  </si>
  <si>
    <t>2423a4ebb810f85ffa7062a3b18ab1f90f94b708</t>
  </si>
  <si>
    <t>8c07e32</t>
  </si>
  <si>
    <t>c131595</t>
  </si>
  <si>
    <t>901c5342a3bebf314672c821e9e7bede2ac15b94</t>
  </si>
  <si>
    <t>88da714</t>
  </si>
  <si>
    <t>2672d7a</t>
  </si>
  <si>
    <t>0de3d054a796123dbefe8bc4ee91188a849cafc2</t>
  </si>
  <si>
    <t>f946d4a</t>
  </si>
  <si>
    <t>bbd884a</t>
  </si>
  <si>
    <t>5d4c5d0d603d43a9d5ae58949c7a0873dca888f2</t>
  </si>
  <si>
    <t>79f45c2</t>
  </si>
  <si>
    <t>1fc8067</t>
  </si>
  <si>
    <t>7893dec6db580383dac05c2dbd7c375b11e0aab9</t>
  </si>
  <si>
    <t>70e06f1</t>
  </si>
  <si>
    <t>6dd690b</t>
  </si>
  <si>
    <t>fe5614bea5b74ff403b13eab2b38167f0f492883</t>
  </si>
  <si>
    <t>1556656</t>
  </si>
  <si>
    <t>6293a95</t>
  </si>
  <si>
    <t>bdc4b8e355d86adc87f528a86631a1dbcf73da6d</t>
  </si>
  <si>
    <t>d604e60</t>
  </si>
  <si>
    <t>88bd659</t>
  </si>
  <si>
    <t>a69271a3883991282937eaed70486986fc2ed5b8</t>
  </si>
  <si>
    <t>351e729</t>
  </si>
  <si>
    <t>2ac361e</t>
  </si>
  <si>
    <t>69ae69e896350d636770dedc404f76f9a433c238</t>
  </si>
  <si>
    <t>cca94e7</t>
  </si>
  <si>
    <t>7376cc6</t>
  </si>
  <si>
    <t>ffb58fbd850c61299545fb4353a0f7cefd632a99</t>
  </si>
  <si>
    <t>c7ad38d</t>
  </si>
  <si>
    <t>641b1e0</t>
  </si>
  <si>
    <t>472b3e35c07b66d213f454bdc108a6044eda8949</t>
  </si>
  <si>
    <t>210c546</t>
  </si>
  <si>
    <t>218f057</t>
  </si>
  <si>
    <t>99fa79ab45e5d24ef749d8da42bce67a7dec6fc9</t>
  </si>
  <si>
    <t>472b3e3</t>
  </si>
  <si>
    <t>a9309e8</t>
  </si>
  <si>
    <t>ab97723dc2045d3b4267838df239fae843770bd0</t>
  </si>
  <si>
    <t>1f412ce</t>
  </si>
  <si>
    <t>320c411</t>
  </si>
  <si>
    <t>d84f12e0a99bc1be34e150f124bb980138a22d00</t>
  </si>
  <si>
    <t>4a918dd</t>
  </si>
  <si>
    <t>aa5715ceb76f00911da0975005c1f7b79d75584f</t>
  </si>
  <si>
    <t>9c35a4a</t>
  </si>
  <si>
    <t>cdf2d97</t>
  </si>
  <si>
    <t>d92108cdd255991b17dfd858ee220ecf8eaab556</t>
  </si>
  <si>
    <t>91da56d</t>
  </si>
  <si>
    <t>0f8ab45</t>
  </si>
  <si>
    <t>9bb1704a6f1ec6be1fbf0a05626c6f62de79e409</t>
  </si>
  <si>
    <t>c709be8</t>
  </si>
  <si>
    <t>b3e7212</t>
  </si>
  <si>
    <t>6a88af261391b1b93025d1cf9839d76c88b1b78a</t>
  </si>
  <si>
    <t>a01e4de</t>
  </si>
  <si>
    <t>fc1f066</t>
  </si>
  <si>
    <t>f4edf7e31ec9dfd64cc37466f4629a29708e907d</t>
  </si>
  <si>
    <t>ddded7c</t>
  </si>
  <si>
    <t>ea2c4f0</t>
  </si>
  <si>
    <t>2c462cebdf47933afe48bef56e787c0c92349039</t>
  </si>
  <si>
    <t>9ed2ae8</t>
  </si>
  <si>
    <t>1ce9886</t>
  </si>
  <si>
    <t>958f8cb642db40051a58f194757182ff00f4a714</t>
  </si>
  <si>
    <t>d0bb21a</t>
  </si>
  <si>
    <t>9f69898</t>
  </si>
  <si>
    <t>4c9eedaea211b85344e4b8bb565f90e4c49cd13d</t>
  </si>
  <si>
    <t>2efb591</t>
  </si>
  <si>
    <t>b1267e7</t>
  </si>
  <si>
    <t>7d91b0a1a3dc24096dbfe1526f8a15d1e5a2bbe5</t>
  </si>
  <si>
    <t>3fb68dc</t>
  </si>
  <si>
    <t>69ee678</t>
  </si>
  <si>
    <t>18236fed4fcbf5544d5fcfda57717504a1ff8493</t>
  </si>
  <si>
    <t>5a00311</t>
  </si>
  <si>
    <t>3f9cb46</t>
  </si>
  <si>
    <t>fb1f9d0a61cccc6ecfdc1b3937d4e47db8db2a1f</t>
  </si>
  <si>
    <t>450f114</t>
  </si>
  <si>
    <t>caed939</t>
  </si>
  <si>
    <t>bbansal</t>
  </si>
  <si>
    <t>6b04e45910bb84b841575d77e416157d9e174976</t>
  </si>
  <si>
    <t>7c01105</t>
  </si>
  <si>
    <t>a1c9685</t>
  </si>
  <si>
    <t>43f8921111208659bf7edbfd4385e21fc581c326</t>
  </si>
  <si>
    <t>3b5c3c2</t>
  </si>
  <si>
    <t>2867c09</t>
  </si>
  <si>
    <t>d58eff0cb0fcf1b0e5ca458d11207c52790ef869</t>
  </si>
  <si>
    <t>60d5087</t>
  </si>
  <si>
    <t>b639688</t>
  </si>
  <si>
    <t>bf93459a838ef85f49ca91564ef61447220c1ca2</t>
  </si>
  <si>
    <t>74e0d94</t>
  </si>
  <si>
    <t>1c3ccf5</t>
  </si>
  <si>
    <t>f5628c4d35434f42379bc9c8cd57907c2c6cb26f</t>
  </si>
  <si>
    <t>86293a3</t>
  </si>
  <si>
    <t>b01a8b2e5fa444da6733b3ac457e04908871ae3c</t>
  </si>
  <si>
    <t>34346f5</t>
  </si>
  <si>
    <t>f835140</t>
  </si>
  <si>
    <t>48b2bffbb0e6d8230dc0005700262df18b9e2203</t>
  </si>
  <si>
    <t>7893dec</t>
  </si>
  <si>
    <t>f15e2cd</t>
  </si>
  <si>
    <t>6cf1e0cce3b534814b093033a2e48174dc8050fd</t>
  </si>
  <si>
    <t>48b2bff</t>
  </si>
  <si>
    <t>3b74bab</t>
  </si>
  <si>
    <t>2f5deff40353761d74b4255847b138a1bc324af5</t>
  </si>
  <si>
    <t>3e197fb</t>
  </si>
  <si>
    <t>26a2b24</t>
  </si>
  <si>
    <t>c499c66a0e855529d6ad372e6e2cfef99dc43c9d</t>
  </si>
  <si>
    <t>daa286e</t>
  </si>
  <si>
    <t>7ac70defbfc1e71180a5404e00837a8bb45f4f83</t>
  </si>
  <si>
    <t>2db0795</t>
  </si>
  <si>
    <t>d9d93c5</t>
  </si>
  <si>
    <t>67942401e64232ce09052503ac9877c8fe707a7b</t>
  </si>
  <si>
    <t>ed4306c</t>
  </si>
  <si>
    <t>6fa13b1</t>
  </si>
  <si>
    <t>Alejandro Crosa</t>
  </si>
  <si>
    <t>fbc95de4c2cd6413fb235285a7063b1df00ce48e</t>
  </si>
  <si>
    <t>cc042a4</t>
  </si>
  <si>
    <t>8b71751962b185f13090efb520efdfdfb93da3c9</t>
  </si>
  <si>
    <t>e8fabf3</t>
  </si>
  <si>
    <t>25e2982</t>
  </si>
  <si>
    <t>8d6f4fadcea8333c562445912426226587b3312b</t>
  </si>
  <si>
    <t>e88d32d</t>
  </si>
  <si>
    <t>d07b2cdf0d6e80719cacbda8419cd2e237d84535</t>
  </si>
  <si>
    <t>dedf249</t>
  </si>
  <si>
    <t>fc1e97e</t>
  </si>
  <si>
    <t>72bfb73128cbb687ca1c7930958021a50b2b6b13</t>
  </si>
  <si>
    <t>e8dc28e</t>
  </si>
  <si>
    <t>dbdf05c</t>
  </si>
  <si>
    <t>adeef976bc37a2ac047f35e51eed72e0bd3bef7c</t>
  </si>
  <si>
    <t>4d3a194</t>
  </si>
  <si>
    <t>3d1c22f</t>
  </si>
  <si>
    <t>460e33d6a5de9ce6697c3b9d96c00edafd6f0217</t>
  </si>
  <si>
    <t>d31b3d4</t>
  </si>
  <si>
    <t>fc05a68</t>
  </si>
  <si>
    <t>31573577a702a7cff6c387ab7d6958e3de4a8965</t>
  </si>
  <si>
    <t>c7ba908</t>
  </si>
  <si>
    <t>8b135ab</t>
  </si>
  <si>
    <t>683873e458603c4a44c8eb152239dd3153db8969</t>
  </si>
  <si>
    <t>3ba4e35</t>
  </si>
  <si>
    <t>994c51b</t>
  </si>
  <si>
    <t>2cc78399e6a3a2ed3c870cf28da4a90d0333ebad</t>
  </si>
  <si>
    <t>784fecd</t>
  </si>
  <si>
    <t>57121fa</t>
  </si>
  <si>
    <t>23a3888e1b40ec25b39c7bc2741b8047e6ee374e</t>
  </si>
  <si>
    <t>09650cf</t>
  </si>
  <si>
    <t>979c128</t>
  </si>
  <si>
    <t>ab9b1220eec754870a6a2c654132883e014e9007</t>
  </si>
  <si>
    <t>Michael R. Head</t>
  </si>
  <si>
    <t>d9554a5</t>
  </si>
  <si>
    <t>f8bc867</t>
  </si>
  <si>
    <t>c4a4a0a48e9a5d3ce4d5796c8ce27a503f62bcb9</t>
  </si>
  <si>
    <t>5f31574</t>
  </si>
  <si>
    <t>edb84f614b08ceebe4bce963859dadd299505961</t>
  </si>
  <si>
    <t>f678066</t>
  </si>
  <si>
    <t>44f1162f18f79cebeb0a675247c21aa0e1850e90</t>
  </si>
  <si>
    <t>e153bcf</t>
  </si>
  <si>
    <t>b14fa21</t>
  </si>
  <si>
    <t>c5c24d75ec20b8457e03f2fe50d7fbb9eb20b64d</t>
  </si>
  <si>
    <t>6c1d6cc</t>
  </si>
  <si>
    <t>02342be</t>
  </si>
  <si>
    <t>3e2c9de02c714e4a787b9d6d6d34119eefc42c56</t>
  </si>
  <si>
    <t>Antoine Toulme</t>
  </si>
  <si>
    <t>f019092</t>
  </si>
  <si>
    <t>e219ac6</t>
  </si>
  <si>
    <t>475b823172ca907cced8e851a9bb50c4faf0c5a5</t>
  </si>
  <si>
    <t>bac0fa7</t>
  </si>
  <si>
    <t>4bc49d8</t>
  </si>
  <si>
    <t>b7b34ff36dfb5ed189ac5eeb00f61dc0bc85f970</t>
  </si>
  <si>
    <t>37fa554</t>
  </si>
  <si>
    <t>3e8ced6</t>
  </si>
  <si>
    <t>e5e5a2e16350bbb661e22678f103121c7f920a07</t>
  </si>
  <si>
    <t>2856d51</t>
  </si>
  <si>
    <t>e64bcd8</t>
  </si>
  <si>
    <t>c63b07261c9e4fe81020f66478aafda277cea424</t>
  </si>
  <si>
    <t>b68917c</t>
  </si>
  <si>
    <t>70fd0af4ba7932690ad34240b92774024a97b1a4</t>
  </si>
  <si>
    <t>77092cb</t>
  </si>
  <si>
    <t>899b53d</t>
  </si>
  <si>
    <t>52fc2ca3d9bd92b484b48d70197fc47c530c810e</t>
  </si>
  <si>
    <t>9b15600</t>
  </si>
  <si>
    <t>393f624</t>
  </si>
  <si>
    <t>f0561023d2d7a2e9d6e920e71c674ab4a0b97da4</t>
  </si>
  <si>
    <t>1f6a817</t>
  </si>
  <si>
    <t>a0002a2</t>
  </si>
  <si>
    <t>7e589d7585302e2279eaf1c098548e9bc6ba771f</t>
  </si>
  <si>
    <t>2c0af43</t>
  </si>
  <si>
    <t>8e62003</t>
  </si>
  <si>
    <t>David Zhang</t>
  </si>
  <si>
    <t>0f8e0836957e523c72214dd962f9e184ae159955</t>
  </si>
  <si>
    <t>602eca2</t>
  </si>
  <si>
    <t>567c1b5</t>
  </si>
  <si>
    <t>97f8adf98395abee0de8f9e40da6f13abb0d0615</t>
  </si>
  <si>
    <t>1c83b28</t>
  </si>
  <si>
    <t>64694b1</t>
  </si>
  <si>
    <t>699f62b7d0572060df3c5e7017e1a9a87f41df81</t>
  </si>
  <si>
    <t>1b4c57a</t>
  </si>
  <si>
    <t>e420db3</t>
  </si>
  <si>
    <t>42f041942bd907a9243108948fa6995983895abf</t>
  </si>
  <si>
    <t>f1cae35</t>
  </si>
  <si>
    <t>ba08dfe</t>
  </si>
  <si>
    <t>eb5dcb6e37dafec11eada9fed2aa315787c8f770</t>
  </si>
  <si>
    <t>494d49b</t>
  </si>
  <si>
    <t>07493fd</t>
  </si>
  <si>
    <t>e62c9ec3764925a1a87c9d4d9619817d96452550</t>
  </si>
  <si>
    <t>c2edaaa</t>
  </si>
  <si>
    <t>d5ea5a5</t>
  </si>
  <si>
    <t>983dbd031b100b8a9bf5ccbff1901a666da34026</t>
  </si>
  <si>
    <t>b01a8b2</t>
  </si>
  <si>
    <t>23e600e</t>
  </si>
  <si>
    <t>2e6afb2ee0583fba72d76f49d8e04a10b734f7a7</t>
  </si>
  <si>
    <t>0986534</t>
  </si>
  <si>
    <t>b9e135d</t>
  </si>
  <si>
    <t>3d1c22f7ffeb7dd091a3e8c0b431e7bd69b49f8e</t>
  </si>
  <si>
    <t>a49144e</t>
  </si>
  <si>
    <t>4e4efde943fea822f5c7650abec78cba5a3be63d</t>
  </si>
  <si>
    <t>d93b8da</t>
  </si>
  <si>
    <t>becb46a</t>
  </si>
  <si>
    <t>a87680cca099e160e197e0e968a7d4363446684e</t>
  </si>
  <si>
    <t>claudio</t>
  </si>
  <si>
    <t>c2bdfca</t>
  </si>
  <si>
    <t>31d2adb</t>
  </si>
  <si>
    <t>07b11458b509780b0191c2697f7592e631d9eb00</t>
  </si>
  <si>
    <t>429ee6e</t>
  </si>
  <si>
    <t>cf77019</t>
  </si>
  <si>
    <t>204f594d9dda101a7b80fa01dafe85beb46bbb36</t>
  </si>
  <si>
    <t>dcd9d57</t>
  </si>
  <si>
    <t>6e128c0</t>
  </si>
  <si>
    <t>65b2b383dcb7a2b6fc61d91f0a764a3a1bd51124</t>
  </si>
  <si>
    <t>148a4df</t>
  </si>
  <si>
    <t>b11123c7fbc570b38273f333027862dc828af828</t>
  </si>
  <si>
    <t>01329de</t>
  </si>
  <si>
    <t>e12fd49</t>
  </si>
  <si>
    <t>a871824d23e054cfb4722e0ae8587e372f567427</t>
  </si>
  <si>
    <t>7c65ab7</t>
  </si>
  <si>
    <t>9702607f6213cf072715080ff7e08eccb4fad3cc</t>
  </si>
  <si>
    <t>566b4bc</t>
  </si>
  <si>
    <t>01fad80</t>
  </si>
  <si>
    <t>0f9eda70fe40563c524931e852b1589a3b6e23a8</t>
  </si>
  <si>
    <t>807f833</t>
  </si>
  <si>
    <t>3ad9a5a</t>
  </si>
  <si>
    <t>59459b29e05b47fc297e63e46dc4e1e2980ce62a</t>
  </si>
  <si>
    <t>7285b7e</t>
  </si>
  <si>
    <t>b4811d1</t>
  </si>
  <si>
    <t>b9b300155f2eaacdac2e2ce795df470f2a4a6445</t>
  </si>
  <si>
    <t>41e1c17</t>
  </si>
  <si>
    <t>68bfff1</t>
  </si>
  <si>
    <t>96a85cd851c1653134910e1ccff973be02dfc586</t>
  </si>
  <si>
    <t>Elias Torres</t>
  </si>
  <si>
    <t>4e49f85</t>
  </si>
  <si>
    <t>bdb9ea0</t>
  </si>
  <si>
    <t>a00c5d3c423498121eebf4094b319f92befbedd6</t>
  </si>
  <si>
    <t>02bc2be</t>
  </si>
  <si>
    <t>f2dcd03</t>
  </si>
  <si>
    <t>2ba0a1c3b273c6716f8637848b457f1b3bb8357a</t>
  </si>
  <si>
    <t>adc970a</t>
  </si>
  <si>
    <t>0e8dc5d</t>
  </si>
  <si>
    <t>08b31c046b8be4c54d73bb109685d2dbba0f3a44</t>
  </si>
  <si>
    <t>7763aab</t>
  </si>
  <si>
    <t>f77be6f</t>
  </si>
  <si>
    <t>77da329aa67bdefa11a8b3f93e74267dd9e80917</t>
  </si>
  <si>
    <t>497c4cb</t>
  </si>
  <si>
    <t>6c05f10</t>
  </si>
  <si>
    <t>b7640a0ad38a10f06c0256ef211352f9f5f023f5</t>
  </si>
  <si>
    <t>47a304b</t>
  </si>
  <si>
    <t>051ba54</t>
  </si>
  <si>
    <t>ebcbd5c6020cfa953ee51176d7c45aeff5463a7c</t>
  </si>
  <si>
    <t>Ben Hardy</t>
  </si>
  <si>
    <t>10b8628</t>
  </si>
  <si>
    <t>aeb05f5</t>
  </si>
  <si>
    <t>ac7dfd098dbe1ffd661d53c1b18bf1c0e9f48612</t>
  </si>
  <si>
    <t>9957276</t>
  </si>
  <si>
    <t>c86482c</t>
  </si>
  <si>
    <t>71c29d0a7fe2ff14fbcd0630a70e4a62ae01644d</t>
  </si>
  <si>
    <t>65ac0ce</t>
  </si>
  <si>
    <t>18819d7</t>
  </si>
  <si>
    <t>3746ed76b0e0b25df8e687a17e2b7f0d1057317d</t>
  </si>
  <si>
    <t>16934de</t>
  </si>
  <si>
    <t>15bd2eb</t>
  </si>
  <si>
    <t>247b6a3c55623bc070b8cc34f9441537c9aa5860</t>
  </si>
  <si>
    <t>b648fba</t>
  </si>
  <si>
    <t>8359fc4</t>
  </si>
  <si>
    <t>a4e1ba21fa6c6628528af81588046179e1950b36</t>
  </si>
  <si>
    <t>Jakob Homan</t>
  </si>
  <si>
    <t>6a899cd</t>
  </si>
  <si>
    <t>d00bf6e</t>
  </si>
  <si>
    <t>9aff7efc0be950218297aec60daad4fe88ea08fe</t>
  </si>
  <si>
    <t>7355a99</t>
  </si>
  <si>
    <t>b3b7b43</t>
  </si>
  <si>
    <t>454597def7d70a549db89e2bba9c4809582d75d0</t>
  </si>
  <si>
    <t>c3e93f8</t>
  </si>
  <si>
    <t>33d85e2</t>
  </si>
  <si>
    <t>c3972b6ab375dba5a4cea2876738e3db9492cbbf</t>
  </si>
  <si>
    <t>e081a12</t>
  </si>
  <si>
    <t>e03c989</t>
  </si>
  <si>
    <t>ad0a6b220460ef3d2806d2e631588598a0b268a5</t>
  </si>
  <si>
    <t>204f594</t>
  </si>
  <si>
    <t>8fea168</t>
  </si>
  <si>
    <t>dc19e82b62cbb15ae91ad8575702a12f93a32d5c</t>
  </si>
  <si>
    <t>d59d391</t>
  </si>
  <si>
    <t>056d93c</t>
  </si>
  <si>
    <t>955ea7f5f89c4833ed62d3797040df190cab5119</t>
  </si>
  <si>
    <t>ad057e9</t>
  </si>
  <si>
    <t>475b823</t>
  </si>
  <si>
    <t>02420ab2e76d0d1aeda60a762ee3256ebf51bcfd</t>
  </si>
  <si>
    <t>69ae69e</t>
  </si>
  <si>
    <t>c3b8777</t>
  </si>
  <si>
    <t>df8245286b29ea7a5807e699e7935a9dc048a086</t>
  </si>
  <si>
    <t>ce3d234</t>
  </si>
  <si>
    <t>d4e8ace265de9349749c7bf837dc6bc1a13b5dc8</t>
  </si>
  <si>
    <t>f085f18</t>
  </si>
  <si>
    <t>8f69961</t>
  </si>
  <si>
    <t>12848450acfd63ac4f44131264c345a858289125</t>
  </si>
  <si>
    <t>29a6e72</t>
  </si>
  <si>
    <t>7e263fe</t>
  </si>
  <si>
    <t>f1e5ec710bdd4d2df684932e6fe602133426c98f</t>
  </si>
  <si>
    <t>22cc1d0</t>
  </si>
  <si>
    <t>47cd184</t>
  </si>
  <si>
    <t>44f4a24c650ea2b805a699858115ed35e7ad9a48</t>
  </si>
  <si>
    <t>7ad2da5</t>
  </si>
  <si>
    <t>c3b8777e5efb1bd7c52964903d20fd8076fc0de7</t>
  </si>
  <si>
    <t>de9ffd0</t>
  </si>
  <si>
    <t>50c3abb</t>
  </si>
  <si>
    <t>0f08b3cd413cfd287b670a2e29e3b4f9b4a6edd4</t>
  </si>
  <si>
    <t>b461814</t>
  </si>
  <si>
    <t>969bc6b4559c617126f031499871dd09311c86c7</t>
  </si>
  <si>
    <t>04f5252</t>
  </si>
  <si>
    <t>ea59245</t>
  </si>
  <si>
    <t>a54a944c785da471d8e9f053b26e535dd88dd619</t>
  </si>
  <si>
    <t>5231f92</t>
  </si>
  <si>
    <t>63153cd</t>
  </si>
  <si>
    <t>ba1eaa96f9dae30bdd14ae99fc5468d3d6dfb877</t>
  </si>
  <si>
    <t>de2f94d</t>
  </si>
  <si>
    <t>ed45d3d</t>
  </si>
  <si>
    <t>4c13d6ac8ee5717e65f3ed1a9f23eaa3d9973e6d</t>
  </si>
  <si>
    <t>Eric Tschetter</t>
  </si>
  <si>
    <t>368f2c4</t>
  </si>
  <si>
    <t>5fa0086</t>
  </si>
  <si>
    <t>d1f50ea900d5217c09d3379909ad50dca592b05f</t>
  </si>
  <si>
    <t>a4ba211</t>
  </si>
  <si>
    <t>7bbd8d5</t>
  </si>
  <si>
    <t>1f704b90ad06cecfba0df3edb6d925f14352ffc0</t>
  </si>
  <si>
    <t>883c030</t>
  </si>
  <si>
    <t>6c955d2</t>
  </si>
  <si>
    <t>b2be54fc960d1ffdee56b32a779207376dd2adf5</t>
  </si>
  <si>
    <t>abfbe22</t>
  </si>
  <si>
    <t>611ddeb</t>
  </si>
  <si>
    <t>667da20ab607dd8ad146e3ec4b9a46d408eff98e</t>
  </si>
  <si>
    <t>Carlos Tasada</t>
  </si>
  <si>
    <t>40ef19a</t>
  </si>
  <si>
    <t>311788b</t>
  </si>
  <si>
    <t>39898c14da6b6f6385849800c7c5df09855036d8</t>
  </si>
  <si>
    <t>20dfa29</t>
  </si>
  <si>
    <t>8b0a7c2</t>
  </si>
  <si>
    <t>3481e4c85827a98026c9d80d4d74efa3cb90c703</t>
  </si>
  <si>
    <t>a871824</t>
  </si>
  <si>
    <t>d2fae73</t>
  </si>
  <si>
    <t>5983d90dda6ab2b389b37338b16a1cedc2ad5f71</t>
  </si>
  <si>
    <t>6971600</t>
  </si>
  <si>
    <t>e021401</t>
  </si>
  <si>
    <t>a647964a64c3cf1016aa8deacf7e723a46534850</t>
  </si>
  <si>
    <t>1f704b9</t>
  </si>
  <si>
    <t>382807d</t>
  </si>
  <si>
    <t>6e2866c9f24072c3714c9083350c80a37dc767f3</t>
  </si>
  <si>
    <t>bd11b46</t>
  </si>
  <si>
    <t>f37b6e2</t>
  </si>
  <si>
    <t>0a04cf95879a2a357c9ba1795b327f7942b2ccc0</t>
  </si>
  <si>
    <t>e4f5121</t>
  </si>
  <si>
    <t>0f5c074994e40b489f92f251f739a34918649805</t>
  </si>
  <si>
    <t>38b330b</t>
  </si>
  <si>
    <t>608ad06</t>
  </si>
  <si>
    <t>210c546cfcc1f44964903689d83f6619361f8e51</t>
  </si>
  <si>
    <t>3f7d24c</t>
  </si>
  <si>
    <t>1c8846a30b519b470bc5127e2e117c0c121bd414</t>
  </si>
  <si>
    <t>249d363</t>
  </si>
  <si>
    <t>66c832316ae93188b53b961fdd9fd8b15790397c</t>
  </si>
  <si>
    <t>09037a9</t>
  </si>
  <si>
    <t>d3d7581</t>
  </si>
  <si>
    <t>ce113eec31ce359ad224c3306659ac16fe96a3c6</t>
  </si>
  <si>
    <t>390f9a5</t>
  </si>
  <si>
    <t>a8c71ea1686ac82fc58490bca00ff8f7f63592b0</t>
  </si>
  <si>
    <t>d6afc5b</t>
  </si>
  <si>
    <t>7033e0f</t>
  </si>
  <si>
    <t>c9bec07b51e928efac16d4f5db21875c07c51dba</t>
  </si>
  <si>
    <t>f318a72</t>
  </si>
  <si>
    <t>efcdd26</t>
  </si>
  <si>
    <t>1486c164492ed83cc6a318d9cc0fa9b12503d49b</t>
  </si>
  <si>
    <t>8974ed6</t>
  </si>
  <si>
    <t>b0407ab</t>
  </si>
  <si>
    <t>9365e1605e73764a3e435884872c4cb96ddb4454</t>
  </si>
  <si>
    <t>5755cdf</t>
  </si>
  <si>
    <t>0516af2</t>
  </si>
  <si>
    <t>a7a33b41f1894614e79794dfc72edf8a3892550e</t>
  </si>
  <si>
    <t>53a4c42</t>
  </si>
  <si>
    <t>73f32a4</t>
  </si>
  <si>
    <t>6c1d6ccf2ae983e2788ee388da5cf9dbb10fddf3</t>
  </si>
  <si>
    <t>d92108c</t>
  </si>
  <si>
    <t>c856bb0</t>
  </si>
  <si>
    <t>699360582e6a4931e6e0825de1de4884ef364bc6</t>
  </si>
  <si>
    <t>cfb8b9f</t>
  </si>
  <si>
    <t>bd364e3</t>
  </si>
  <si>
    <t>3fbd3d8411a8562fbbb868167d6ca1548e852d8c</t>
  </si>
  <si>
    <t>db4212d</t>
  </si>
  <si>
    <t>21f8287</t>
  </si>
  <si>
    <t>eb9c4f960969ec9a71a66a958da0e0ecd22e45c7</t>
  </si>
  <si>
    <t>98fc368</t>
  </si>
  <si>
    <t>5c596e6</t>
  </si>
  <si>
    <t>10ca233c3df0fa03d86f953c13503a27026391ca</t>
  </si>
  <si>
    <t>e332dc4</t>
  </si>
  <si>
    <t>9894f41</t>
  </si>
  <si>
    <t>52c3fa138c1c852cf15fb054b0aeef0edfb1f680</t>
  </si>
  <si>
    <t>02513d5</t>
  </si>
  <si>
    <t>7d5e323</t>
  </si>
  <si>
    <t>700117ff82f18bfe5302ce356a136722b82af745</t>
  </si>
  <si>
    <t>a0ea680</t>
  </si>
  <si>
    <t>e4a537d329f8e932750fc81385d5601a058d7895</t>
  </si>
  <si>
    <t>2e97c87</t>
  </si>
  <si>
    <t>371ae3b26d315d0abc80b79eb378da94e6a2088b</t>
  </si>
  <si>
    <t>c9af7b2</t>
  </si>
  <si>
    <t>fb647da</t>
  </si>
  <si>
    <t>4e90bb1586ba1a173ceda58b79b9cc0fc073cc6f</t>
  </si>
  <si>
    <t>d5ad745</t>
  </si>
  <si>
    <t>d2caede</t>
  </si>
  <si>
    <t>97e03a769c35a102189b762b7d058d477a25387e</t>
  </si>
  <si>
    <t>979f52a</t>
  </si>
  <si>
    <t>cecc55e</t>
  </si>
  <si>
    <t>051ba547009d44e05472350c3c5eae6c3b3ad027</t>
  </si>
  <si>
    <t>98e70c5</t>
  </si>
  <si>
    <t>d4ed7f7</t>
  </si>
  <si>
    <t>8667c2e1dc722ed8542af86854c03a99ef658f41</t>
  </si>
  <si>
    <t>bf68264</t>
  </si>
  <si>
    <t>5e36e0d</t>
  </si>
  <si>
    <t>a0b1171b72c791219425aeced879d721a6a6ccf7</t>
  </si>
  <si>
    <t>6efd34a</t>
  </si>
  <si>
    <t>ea4b3b8</t>
  </si>
  <si>
    <t>36575a5fcedc8c1f32033b23c7a23d9584b7665b</t>
  </si>
  <si>
    <t>bdc4b8e</t>
  </si>
  <si>
    <t>5e8b86d</t>
  </si>
  <si>
    <t>807f833baa6c49cf00e770f4fe587ee90beda839</t>
  </si>
  <si>
    <t>e05eaaf</t>
  </si>
  <si>
    <t>fa8abc4</t>
  </si>
  <si>
    <t>11693e285ca64e8486697338f30c1bb2433de194</t>
  </si>
  <si>
    <t>70fd0af</t>
  </si>
  <si>
    <t>059c7ba</t>
  </si>
  <si>
    <t>be0f1a845a5c23532571f8f9cc998e17e2918a08</t>
  </si>
  <si>
    <t>dba1786</t>
  </si>
  <si>
    <t>cc749c7</t>
  </si>
  <si>
    <t>Jonathan Traupman</t>
  </si>
  <si>
    <t>89ef518074a4cc4c610120a435829665a495390d</t>
  </si>
  <si>
    <t>25b9084</t>
  </si>
  <si>
    <t>af23673</t>
  </si>
  <si>
    <t>f68e3ba9b0c281a34d5ed93d994308cf126980d6</t>
  </si>
  <si>
    <t>bfe1be7</t>
  </si>
  <si>
    <t>83ebbd6</t>
  </si>
  <si>
    <t>ddbba4da458264f7bdcbae30443321ca86a283d1</t>
  </si>
  <si>
    <t>befa405</t>
  </si>
  <si>
    <t>047312a</t>
  </si>
  <si>
    <t>8bea392a5ffd60b9928527e2789696bf1b9fb545</t>
  </si>
  <si>
    <t>683873e</t>
  </si>
  <si>
    <t>0209a40</t>
  </si>
  <si>
    <t>c45ab31e65ec7fd5fa854e87e87d48f83f3a5f4f</t>
  </si>
  <si>
    <t>06be27c</t>
  </si>
  <si>
    <t>36bd7f1</t>
  </si>
  <si>
    <t>edd94e27f5d638de55ca6f6fe3f46d3172a46494</t>
  </si>
  <si>
    <t>abb8947</t>
  </si>
  <si>
    <t>f28781d</t>
  </si>
  <si>
    <t>afae7fb3f4cbbfedd3732786c75f4a52c7381df9</t>
  </si>
  <si>
    <t>935e7ac</t>
  </si>
  <si>
    <t>b467361</t>
  </si>
  <si>
    <t>62278e2ea8c7725bdb380d65fc0256eaf318a15f</t>
  </si>
  <si>
    <t>89ebfa0</t>
  </si>
  <si>
    <t>9af5aaf</t>
  </si>
  <si>
    <t>25ddea3ffc1f2931b5a3e11bc0f33144d6330cd6</t>
  </si>
  <si>
    <t>a0e207d</t>
  </si>
  <si>
    <t>2c25d84</t>
  </si>
  <si>
    <t>77f7075085932c2b0b4109217495466db53f1c55</t>
  </si>
  <si>
    <t>0ee9c95</t>
  </si>
  <si>
    <t>c3cda506b04af213b7b5e4066d006ae3df3ea207</t>
  </si>
  <si>
    <t>02420ab</t>
  </si>
  <si>
    <t>a01e4deec732fcf31546853898cf73c6d1bd3632</t>
  </si>
  <si>
    <t>deeff41</t>
  </si>
  <si>
    <t>fe10ef0</t>
  </si>
  <si>
    <t>f2e82d408c1294144931a37bef70ac4f7982f2f3</t>
  </si>
  <si>
    <t>72bfb73</t>
  </si>
  <si>
    <t>e52f491</t>
  </si>
  <si>
    <t>86ea2b17a1a6f035cd30641388005eef5229d7fe</t>
  </si>
  <si>
    <t>e8b1c8d</t>
  </si>
  <si>
    <t>fa9f752</t>
  </si>
  <si>
    <t>bfe1be7f707044f041beb0d9ed0e837edac2807e</t>
  </si>
  <si>
    <t>ae6983f</t>
  </si>
  <si>
    <t>da5122f</t>
  </si>
  <si>
    <t>73f32a47e4e5460e57cb26f8cfa1d2d1d21c77a4</t>
  </si>
  <si>
    <t>35520c3</t>
  </si>
  <si>
    <t>dd972af</t>
  </si>
  <si>
    <t>fbae492ce7e51a21d7a42da0695b17a7a3d32521</t>
  </si>
  <si>
    <t>shingon</t>
  </si>
  <si>
    <t>be89c22</t>
  </si>
  <si>
    <t>0c46f672d25479c46e9f5be10367da0966e6f69c</t>
  </si>
  <si>
    <t>a0ea68096ed24163aae5dd8149219449056a4182</t>
  </si>
  <si>
    <t>914eac0</t>
  </si>
  <si>
    <t>9551750fea6b63e2b10112748bf46418bb5d9a87</t>
  </si>
  <si>
    <t>c3972b6</t>
  </si>
  <si>
    <t>50f243f</t>
  </si>
  <si>
    <t>23c9b2888891447daa5f3376d7935a9f3981a962</t>
  </si>
  <si>
    <t>ededaf4</t>
  </si>
  <si>
    <t>17adc13</t>
  </si>
  <si>
    <t>e8ec37b8db1f5067056ac2fafd797be2d0003a6d</t>
  </si>
  <si>
    <t>Jason Ko</t>
  </si>
  <si>
    <t>d73af5d</t>
  </si>
  <si>
    <t>2633ab4</t>
  </si>
  <si>
    <t>390f9a5558f2bbc3a034065ad083a3a897a56d57</t>
  </si>
  <si>
    <t>0bdf2ae</t>
  </si>
  <si>
    <t>cd005df</t>
  </si>
  <si>
    <t>1f1d05f4e817dcdbd110f56b028ea341f933512b</t>
  </si>
  <si>
    <t>ae6df5e</t>
  </si>
  <si>
    <t>f23e641f8ea3495cafae6cd46d08610458f72174</t>
  </si>
  <si>
    <t>9bb1704</t>
  </si>
  <si>
    <t>bcf42c7</t>
  </si>
  <si>
    <t>0bd1e96daf2ba02e361b8aa2a2280f2001ec6983</t>
  </si>
  <si>
    <t>0c0ad0b</t>
  </si>
  <si>
    <t>c5e1e4e</t>
  </si>
  <si>
    <t>66f5a7967e29bff8bae3aefe70285a600e1e2f47</t>
  </si>
  <si>
    <t>cc8c363</t>
  </si>
  <si>
    <t>8a9376a</t>
  </si>
  <si>
    <t>6c8e5e017f3e89a93beffd8a754dcc5d2024eaa7</t>
  </si>
  <si>
    <t>e3c266c</t>
  </si>
  <si>
    <t>f748dd9a514fb29f62cc02f85892ea818cf47008</t>
  </si>
  <si>
    <t>Sergey Shepelev</t>
  </si>
  <si>
    <t>d0745ee</t>
  </si>
  <si>
    <t>e7c10f3</t>
  </si>
  <si>
    <t>58df0dde2af2b94df3bc4e46d6240b56203d3aa5</t>
  </si>
  <si>
    <t>15b5cc1bd943af19201fea9625a642d18500ee99</t>
  </si>
  <si>
    <t>127165a</t>
  </si>
  <si>
    <t>864d6a5</t>
  </si>
  <si>
    <t>c65f149012d83e49e9a7cc3226358b877698ece1</t>
  </si>
  <si>
    <t>4cd01ca</t>
  </si>
  <si>
    <t>a20872a</t>
  </si>
  <si>
    <t>daa286ed4cc6c1d78072592a5b46abb092a8d655</t>
  </si>
  <si>
    <t>1f1d05f</t>
  </si>
  <si>
    <t>54c90fa</t>
  </si>
  <si>
    <t>b6266cdebadf1c9b53440f62a35ef5ed333faa20</t>
  </si>
  <si>
    <t>012ba09</t>
  </si>
  <si>
    <t>46a8829</t>
  </si>
  <si>
    <t>76b53ff04a40ae3afaad812df39d57664c2cc6e6</t>
  </si>
  <si>
    <t>5bf107a</t>
  </si>
  <si>
    <t>edd8701d204e88993e959f884b84fb95bd6e9cb2</t>
  </si>
  <si>
    <t>cb49d50</t>
  </si>
  <si>
    <t>9e08c89</t>
  </si>
  <si>
    <t>ed4306c2f254541278eacc95a400d7cef7f64bac</t>
  </si>
  <si>
    <t>d3a06b5</t>
  </si>
  <si>
    <t>f92c899</t>
  </si>
  <si>
    <t>b648fbadb7de13323256dca3f09d75f71bad3ded</t>
  </si>
  <si>
    <t>b255dca</t>
  </si>
  <si>
    <t>207b94a</t>
  </si>
  <si>
    <t>ede305cbce40467b5667f64609814a5c02233e0d</t>
  </si>
  <si>
    <t>955176c</t>
  </si>
  <si>
    <t>c0aef39</t>
  </si>
  <si>
    <t>17b18a02388a66c92cf360107aa0955dc062c234</t>
  </si>
  <si>
    <t>e03d78c</t>
  </si>
  <si>
    <t>8ada0e3</t>
  </si>
  <si>
    <t>a9309e810ab49c3e3e7355a118f492b5b5dba1e5</t>
  </si>
  <si>
    <t>6c51b1a</t>
  </si>
  <si>
    <t>c50ba9b</t>
  </si>
  <si>
    <t>8b21714c693bb971f075162d4bbbf24102600aae</t>
  </si>
  <si>
    <t>4e6992d</t>
  </si>
  <si>
    <t>7b6eee6</t>
  </si>
  <si>
    <t>3b5c3c22538b7832dc4eda96c0f6747eb67dcfe2</t>
  </si>
  <si>
    <t>f3d9cd8</t>
  </si>
  <si>
    <t>4fd6333</t>
  </si>
  <si>
    <t>02342be701e9bec1ab38be71107c21fd2107350c</t>
  </si>
  <si>
    <t>1910a3ea2b146d707e2a35b4053c774129c8538e</t>
  </si>
  <si>
    <t>b59a6ea</t>
  </si>
  <si>
    <t>95aab9fdb6ddeb845f5fcf86417d919cb3d19c0e</t>
  </si>
  <si>
    <t>27e1f6f</t>
  </si>
  <si>
    <t>efc6f4f</t>
  </si>
  <si>
    <t>2ac361e5caf6843fecd1fcc2aac42affb40f8886</t>
  </si>
  <si>
    <t>6c31fec</t>
  </si>
  <si>
    <t>5a26383aff3e510eca55efe9a106d65bbbb4efae</t>
  </si>
  <si>
    <t>4b99e67</t>
  </si>
  <si>
    <t>a5ddeb7e265f3b83d6f2d9eebe62608a0bdbf1a7</t>
  </si>
  <si>
    <t>3fea647</t>
  </si>
  <si>
    <t>6388c94</t>
  </si>
  <si>
    <t>51284f24a7649a022e8e2c3b2475d16e471f9f1f</t>
  </si>
  <si>
    <t>eb46654</t>
  </si>
  <si>
    <t>c79f0e3</t>
  </si>
  <si>
    <t>c9f259ac179661d0f4744854aa40f3ed14f3cb38</t>
  </si>
  <si>
    <t>67443e6</t>
  </si>
  <si>
    <t>a5fc07d</t>
  </si>
  <si>
    <t>869c49d8e9f1fe370119a87a4a6a1b88a5384828</t>
  </si>
  <si>
    <t>21928d3</t>
  </si>
  <si>
    <t>2753c1c3075435711c1578a3464dfc5eb32ca219</t>
  </si>
  <si>
    <t>78e507f</t>
  </si>
  <si>
    <t>9c8e0119ba0e0114b0f2dd114e0e7337690df2f6</t>
  </si>
  <si>
    <t>adeef97</t>
  </si>
  <si>
    <t>bb6064a</t>
  </si>
  <si>
    <t>e620f77898bc836a3c93871285b19cbf81cec45c</t>
  </si>
  <si>
    <t>ddbba4d</t>
  </si>
  <si>
    <t>69be411</t>
  </si>
  <si>
    <t>2633ab482f09907b2f2564c595693d241c75301b</t>
  </si>
  <si>
    <t>d213fd9</t>
  </si>
  <si>
    <t>3a369d9</t>
  </si>
  <si>
    <t>5f7757a13757f0f2e65479667d9e7d013f8d9990</t>
  </si>
  <si>
    <t>0893ed2</t>
  </si>
  <si>
    <t>b8d8a0d</t>
  </si>
  <si>
    <t>f8d4cc200995ba30f8c6caff7f770841a2b58c85</t>
  </si>
  <si>
    <t>f13a9a0</t>
  </si>
  <si>
    <t>70fcfd8</t>
  </si>
  <si>
    <t>9ece26ca6a638fa3e60f08197d2f3f481da6aae9</t>
  </si>
  <si>
    <t>77b906f</t>
  </si>
  <si>
    <t>a7a33b4</t>
  </si>
  <si>
    <t>20c64972e460c19863cd70a522b97355ecd106de</t>
  </si>
  <si>
    <t>c856bb0819594cc9ff0227123d65e2b3b016b0c7</t>
  </si>
  <si>
    <t>e7c7b7964322e514230a8939d0565e22fa2a0017</t>
  </si>
  <si>
    <t>cccb8c3</t>
  </si>
  <si>
    <t>1d2bca8</t>
  </si>
  <si>
    <t>Martin Kleppmann</t>
  </si>
  <si>
    <t>2b0bee611af6e4a49e854088cfd36f30e1dd7378</t>
  </si>
  <si>
    <t>3798609</t>
  </si>
  <si>
    <t>3363fcc</t>
  </si>
  <si>
    <t>0852fcb5b011eb91bfce62cb2617fe5c8ab36a8f</t>
  </si>
  <si>
    <t>b6b7765</t>
  </si>
  <si>
    <t>549f4e2</t>
  </si>
  <si>
    <t>2925d6a14647a07890f831c4111571b00712b035</t>
  </si>
  <si>
    <t>edc670a</t>
  </si>
  <si>
    <t>49ec7b2</t>
  </si>
  <si>
    <t>286b29af8010ed0c01bf296fd1612b5b42d3acbb</t>
  </si>
  <si>
    <t>d366f14</t>
  </si>
  <si>
    <t>fa8abc461690a0f0d27e166acb813b528cd93f83</t>
  </si>
  <si>
    <t>86ea2b1</t>
  </si>
  <si>
    <t>b87a99f1af09c9fd9efe02cd06a83e769958a7c4</t>
  </si>
  <si>
    <t>f8849e5</t>
  </si>
  <si>
    <t>9c67920</t>
  </si>
  <si>
    <t>aee112d9ef0ed960c7bc9955d7e85e6ed6ac91a0</t>
  </si>
  <si>
    <t>ce113ee</t>
  </si>
  <si>
    <t>d2694cf</t>
  </si>
  <si>
    <t>Robert Butler</t>
  </si>
  <si>
    <t>c709be8f0ef5ec3babb0d68f6ab5c111d73640a4</t>
  </si>
  <si>
    <t>c419628</t>
  </si>
  <si>
    <t>b46181471995a42b7c2c5a9f214bb693b5e3108e</t>
  </si>
  <si>
    <t>12b94d0</t>
  </si>
  <si>
    <t>1ea0b6a</t>
  </si>
  <si>
    <t>4dea7eb3ce91c450fabf5ee1590c2f437f4ad3ab</t>
  </si>
  <si>
    <t>78ad6f2</t>
  </si>
  <si>
    <t>8bd8f04</t>
  </si>
  <si>
    <t>65b484f6ed25d0271b4df4dde869524890288128</t>
  </si>
  <si>
    <t>e635eb4</t>
  </si>
  <si>
    <t>5608a20056e5aa1ef050219d0372724e7c57f6f0</t>
  </si>
  <si>
    <t>6140f78</t>
  </si>
  <si>
    <t>ea2f292</t>
  </si>
  <si>
    <t>509707414db16278781d95ea3e9a215152db238f</t>
  </si>
  <si>
    <t>285acd5</t>
  </si>
  <si>
    <t>474bbf3</t>
  </si>
  <si>
    <t>bb6064a6881c315befe238363e590e6d225ac07c</t>
  </si>
  <si>
    <t>Anthony Lauzon</t>
  </si>
  <si>
    <t>03f1e0c</t>
  </si>
  <si>
    <t>8a1a068</t>
  </si>
  <si>
    <t>1ec9e16e615d1b40919b1f19a53883572780ca2d</t>
  </si>
  <si>
    <t>d9f3267</t>
  </si>
  <si>
    <t>aa5715c</t>
  </si>
  <si>
    <t>d5ad745f4ee7adcd2e484f18f25c48a650532644</t>
  </si>
  <si>
    <t>c8ee06d</t>
  </si>
  <si>
    <t>6f6276c</t>
  </si>
  <si>
    <t>ed2489476d6d305f539a7523cc2a7941aed82868</t>
  </si>
  <si>
    <t>89cadb4</t>
  </si>
  <si>
    <t>b3683e1</t>
  </si>
  <si>
    <t>2601ab713f842107e0d50c85231920f4ce75c142</t>
  </si>
  <si>
    <t>c4dfa32</t>
  </si>
  <si>
    <t>d327272</t>
  </si>
  <si>
    <t>946e042a4fe3b1cea16095f4bf216a8968fe8140</t>
  </si>
  <si>
    <t>50c043c</t>
  </si>
  <si>
    <t>e8ecc7a</t>
  </si>
  <si>
    <t>4e03afb1b6d71015cc48409ecdc04737110f92dc</t>
  </si>
  <si>
    <t>b510f99</t>
  </si>
  <si>
    <t>8a1a06832d9a57560c141fe15257bdfc9c58dc81</t>
  </si>
  <si>
    <t>8a9d44b</t>
  </si>
  <si>
    <t>54ea59a</t>
  </si>
  <si>
    <t>1f6a81745483ef62c654d09810749809563457ea</t>
  </si>
  <si>
    <t>925cc61</t>
  </si>
  <si>
    <t>2a21f07</t>
  </si>
  <si>
    <t>045adf6060dbe9062c40cb6bf9cb046c30c713d9</t>
  </si>
  <si>
    <t>d3985cd</t>
  </si>
  <si>
    <t>b1eb9ba</t>
  </si>
  <si>
    <t>5bf107a36354280ad888feac0bc222a99a4f9711</t>
  </si>
  <si>
    <t>75922bc</t>
  </si>
  <si>
    <t>2b0efa0</t>
  </si>
  <si>
    <t>34c9c1d03ff0e1e0cf990b73534ce9f47af2f2b0</t>
  </si>
  <si>
    <t>b470708</t>
  </si>
  <si>
    <t>e8fabf34e12c5364452e985cae151c2f941a135a</t>
  </si>
  <si>
    <t>a69271a</t>
  </si>
  <si>
    <t>f5628c4</t>
  </si>
  <si>
    <t>892758d04a38ea4091ab448614138e39ed6fa007</t>
  </si>
  <si>
    <t>abe83aa</t>
  </si>
  <si>
    <t>6cf307a</t>
  </si>
  <si>
    <t>f303007985f2e12e618bc9a99b17b82be77208a2</t>
  </si>
  <si>
    <t>Janne Hietamäki</t>
  </si>
  <si>
    <t>414bbde</t>
  </si>
  <si>
    <t>812604c</t>
  </si>
  <si>
    <t>988643f795a43d5b53cf672c1a6309d23e8505ed</t>
  </si>
  <si>
    <t>26678f2</t>
  </si>
  <si>
    <t>51c3a7d</t>
  </si>
  <si>
    <t>2f4f886a39e0ceb59caa209798547e82e62be138</t>
  </si>
  <si>
    <t>52c3fa1</t>
  </si>
  <si>
    <t>b9d885f</t>
  </si>
  <si>
    <t>5c76a5a0c582ab724db5ecd6941c155da776e800</t>
  </si>
  <si>
    <t>f8d4cc2</t>
  </si>
  <si>
    <t>67e2bcf</t>
  </si>
  <si>
    <t>2efb591f3204590902a5d758dccb77cfd6a2eba7</t>
  </si>
  <si>
    <t>796d6ff</t>
  </si>
  <si>
    <t>679e1d5</t>
  </si>
  <si>
    <t>948644d77b8988f39184cd86456ab087a4652c4b</t>
  </si>
  <si>
    <t>Paul Lindner</t>
  </si>
  <si>
    <t>f4b3d82</t>
  </si>
  <si>
    <t>669001f</t>
  </si>
  <si>
    <t>caebc54db970b68146908f769a71cde06a812bbb</t>
  </si>
  <si>
    <t>e4a537d</t>
  </si>
  <si>
    <t>720be04cd0532a0ccf1471177aa36bb2ed1f94ae</t>
  </si>
  <si>
    <t>2c168c7</t>
  </si>
  <si>
    <t>059ac3b</t>
  </si>
  <si>
    <t>3d6209ed648cdeacd4df3f7cdd970462a63b2b8b</t>
  </si>
  <si>
    <t>05721d7</t>
  </si>
  <si>
    <t>a1be5c6</t>
  </si>
  <si>
    <t>3b1167429f956d7a18434ac18398d949dfffaa5f</t>
  </si>
  <si>
    <t>9e68193</t>
  </si>
  <si>
    <t>1bf538c</t>
  </si>
  <si>
    <t>6e128c00014e9691cebc89b4846155f26df70f6d</t>
  </si>
  <si>
    <t>f6ce395</t>
  </si>
  <si>
    <t>1e95071</t>
  </si>
  <si>
    <t>e8672123ee99e998f6151ba559745cf3dfbf84e1</t>
  </si>
  <si>
    <t>258f15d</t>
  </si>
  <si>
    <t>db422b6</t>
  </si>
  <si>
    <t>9957276d96ba6e2f9bded3f90275fbb1809fb374</t>
  </si>
  <si>
    <t>6e74d62</t>
  </si>
  <si>
    <t>fb347bf</t>
  </si>
  <si>
    <t>68146711094a1da5717857f181784926c1e6b9a6</t>
  </si>
  <si>
    <t>48f275c</t>
  </si>
  <si>
    <t>35f75b8</t>
  </si>
  <si>
    <t>9b1560027c72ff11d645b097531133795694e33b</t>
  </si>
  <si>
    <t>0ea6681</t>
  </si>
  <si>
    <t>f0e35dc</t>
  </si>
  <si>
    <t>3b0211929c0c8be13cbf325e7aed303aaf916e1a</t>
  </si>
  <si>
    <t>bbafb43</t>
  </si>
  <si>
    <t>090985a</t>
  </si>
  <si>
    <t>6af8f35157f535a7cc27633599c635b96fe594e3</t>
  </si>
  <si>
    <t>d4fdede</t>
  </si>
  <si>
    <t>72ef048</t>
  </si>
  <si>
    <t>b9d885faa6516c61e217928b62984a7d115d4add</t>
  </si>
  <si>
    <t>983dbd0</t>
  </si>
  <si>
    <t>ba1512e</t>
  </si>
  <si>
    <t>1065da5249c965ad7e523ebba8fce04900194b4e</t>
  </si>
  <si>
    <t>83bfb9c</t>
  </si>
  <si>
    <t>f9687d6</t>
  </si>
  <si>
    <t>f299001fb82cdf817e4c64e79b2c9c847099dc2c</t>
  </si>
  <si>
    <t>b66ec96</t>
  </si>
  <si>
    <t>f2e82d4</t>
  </si>
  <si>
    <t>cc8c363437f74d14500b56d8dc7e88913fe5c80b</t>
  </si>
  <si>
    <t>c716080</t>
  </si>
  <si>
    <t>b2be54f</t>
  </si>
  <si>
    <t>1cdbe4c5d7227f0dbeafa3acb191b2302d843bd9</t>
  </si>
  <si>
    <t>33d0119</t>
  </si>
  <si>
    <t>d1139be86192703a1c24204cde4133ce8dc8ea9f</t>
  </si>
  <si>
    <t>f056102</t>
  </si>
  <si>
    <t>9febb9f</t>
  </si>
  <si>
    <t>2db079513b2849316d17ddf5f251abb45fe52390</t>
  </si>
  <si>
    <t>54e5737</t>
  </si>
  <si>
    <t>454597d</t>
  </si>
  <si>
    <t>a349dc2661b083652183c2d54eeee838d39135c2</t>
  </si>
  <si>
    <t>b91a29f</t>
  </si>
  <si>
    <t>5df0a72</t>
  </si>
  <si>
    <t>a1fa2f643e9bfff7971e74c70de9557d0fdcdc23</t>
  </si>
  <si>
    <t>700117f</t>
  </si>
  <si>
    <t>e5e5a2e</t>
  </si>
  <si>
    <t>5fc0321f83ac56788db23d992b9314ceea0c66fb</t>
  </si>
  <si>
    <t>11693e2</t>
  </si>
  <si>
    <t>6d24579</t>
  </si>
  <si>
    <t>ee0c4750113e19449a0627a10bcb37e36480311a</t>
  </si>
  <si>
    <t>5608a20</t>
  </si>
  <si>
    <t>e05eaaff999cc2f063a8af2626e1ff2657b54de1</t>
  </si>
  <si>
    <t>43f8921</t>
  </si>
  <si>
    <t>bffb397</t>
  </si>
  <si>
    <t>f3cd4f9fef530b4f10cbad1b4c884be2b551ee9b</t>
  </si>
  <si>
    <t>c94ab05</t>
  </si>
  <si>
    <t>e491023</t>
  </si>
  <si>
    <t>3d5385198e6c7ab5ff1e36c0a46903e2624a425a</t>
  </si>
  <si>
    <t>b07c02d</t>
  </si>
  <si>
    <t>f1f3ee2</t>
  </si>
  <si>
    <t>af8bca85cf339c8f57eddb69f0e949119eb99189</t>
  </si>
  <si>
    <t>e09f9ea</t>
  </si>
  <si>
    <t>440665755931e91fa34735db34330d27512553d0</t>
  </si>
  <si>
    <t>d2b16ba</t>
  </si>
  <si>
    <t>86ea893</t>
  </si>
  <si>
    <t>22cc1d0fde86013c69a9da7e1fc6626b8dd7f3da</t>
  </si>
  <si>
    <t>fe5614b</t>
  </si>
  <si>
    <t>66a2aa0</t>
  </si>
  <si>
    <t>e03c9891df4d93dd94d53b99e64cec15a6f95eb8</t>
  </si>
  <si>
    <t>6448e71</t>
  </si>
  <si>
    <t>3ac79466607482b230458966beb5ba16570d0501</t>
  </si>
  <si>
    <t>6f1cf57</t>
  </si>
  <si>
    <t>042da34</t>
  </si>
  <si>
    <t>26678f25ab4fb3c397f6d6b7790929c5bd61de0a</t>
  </si>
  <si>
    <t>2f4f886</t>
  </si>
  <si>
    <t>4ec9f6c</t>
  </si>
  <si>
    <t>127e4071e7aa0c020f4a2f1e21323543aa4309b6</t>
  </si>
  <si>
    <t>jtuberville</t>
  </si>
  <si>
    <t>07e1afd</t>
  </si>
  <si>
    <t>aae0143</t>
  </si>
  <si>
    <t>b166e2c16c706c8efeef000f55def76bc46a1b6b</t>
  </si>
  <si>
    <t>6129302</t>
  </si>
  <si>
    <t>dd36379</t>
  </si>
  <si>
    <t>4bff8027f67df7feb14edd48a82ffe980f6135aa</t>
  </si>
  <si>
    <t>954e0d4</t>
  </si>
  <si>
    <t>7de5070</t>
  </si>
  <si>
    <t>88bd65909b82b75247ce50f1f7cb12d3cd9e3c50</t>
  </si>
  <si>
    <t>d045710</t>
  </si>
  <si>
    <t>b76b3f6</t>
  </si>
  <si>
    <t>9e4ca1fefec45a30d6089e7c3087fd0eb7c454a4</t>
  </si>
  <si>
    <t>36575a5</t>
  </si>
  <si>
    <t>e44cf61</t>
  </si>
  <si>
    <t>75922bcd32d81d0219d6d62fa42bf5ca8d107398</t>
  </si>
  <si>
    <t>68feb27</t>
  </si>
  <si>
    <t>f92875751e9219a2146074decbc741e2d83a1d11</t>
  </si>
  <si>
    <t>6d30c0c</t>
  </si>
  <si>
    <t>3b6de909144d9379de0e250ca4f3fe0481937e99</t>
  </si>
  <si>
    <t>4ade916</t>
  </si>
  <si>
    <t>0f9eda7</t>
  </si>
  <si>
    <t>3ae51a0127aca8800ac8f27544cd2baa38d86464</t>
  </si>
  <si>
    <t>3b6de90</t>
  </si>
  <si>
    <t>0dfb70b</t>
  </si>
  <si>
    <t>d6a50171f5a8561e5fa47aa9034bf1293ec6f8c9</t>
  </si>
  <si>
    <t>c6508d6</t>
  </si>
  <si>
    <t>95b86af</t>
  </si>
  <si>
    <t>89cadb49a81b8ce1a971757dd4e6cecff5855d08</t>
  </si>
  <si>
    <t>6ff946e</t>
  </si>
  <si>
    <t>d2c8824</t>
  </si>
  <si>
    <t>20e522e2048f2825d17dd5b34796bbc4478482a6</t>
  </si>
  <si>
    <t>Jon Stefansson</t>
  </si>
  <si>
    <t>43f3d47</t>
  </si>
  <si>
    <t>56c9355</t>
  </si>
  <si>
    <t>01329de250e783510f78b6225e3f6199dcc6d83b</t>
  </si>
  <si>
    <t>8c72464</t>
  </si>
  <si>
    <t>13fbb1d</t>
  </si>
  <si>
    <t>3f93110d9271126dfe0149b59f3f552357e94abe</t>
  </si>
  <si>
    <t>e867212</t>
  </si>
  <si>
    <t>8e088b98d72838606656cd543dfe74f157fe0d7b</t>
  </si>
  <si>
    <t>af20132</t>
  </si>
  <si>
    <t>c9af7b2ae895f0aee34a6fc9d0e3ae110ba230b4</t>
  </si>
  <si>
    <t>df8f8b9</t>
  </si>
  <si>
    <t>0852fcb</t>
  </si>
  <si>
    <t>777a1298bc1bd4f9c2ac8787c95c9a42e1cac5d5</t>
  </si>
  <si>
    <t>901c534</t>
  </si>
  <si>
    <t>a180f39eb1ed1aa9e86f1bed160acc8e905161c8</t>
  </si>
  <si>
    <t>e9fc39b</t>
  </si>
  <si>
    <t>3f736d7300e8c80706894b96171f2ceaf85b8a03</t>
  </si>
  <si>
    <t>2b1af56</t>
  </si>
  <si>
    <t>1c3f6735245467ab7aa1be3fcfc5e5c0e4b158c1</t>
  </si>
  <si>
    <t>233e2d0</t>
  </si>
  <si>
    <t>421e36d</t>
  </si>
  <si>
    <t>2a5c69145fb62d2ce0f47aac1233e98b8336827e</t>
  </si>
  <si>
    <t>f1e5ec7</t>
  </si>
  <si>
    <t>604acf9</t>
  </si>
  <si>
    <t>056d93c1b5487020e0a467c3a02371b29f73c339</t>
  </si>
  <si>
    <t>24dbf61</t>
  </si>
  <si>
    <t>c8ab434</t>
  </si>
  <si>
    <t>4fa61a9b8212655300ab78a4fe0ef4c997337e1d</t>
  </si>
  <si>
    <t>2c7ae45</t>
  </si>
  <si>
    <t>6af5d2f</t>
  </si>
  <si>
    <t>470f60ecfbc13f49b1979dc72a31084bfb185f7f</t>
  </si>
  <si>
    <t>afae7fb</t>
  </si>
  <si>
    <t>02829a2</t>
  </si>
  <si>
    <t>9ed2ae80ee6bd6c9f0260f262937f4fbff8e61b1</t>
  </si>
  <si>
    <t>242fc10</t>
  </si>
  <si>
    <t>2f32c9ac8939bb3fb285824fb984127e23b01435</t>
  </si>
  <si>
    <t>46a0ec8</t>
  </si>
  <si>
    <t>d8f6c90</t>
  </si>
  <si>
    <t>de2f94dc9ae2f2fc31e153220c5d8ab22e156922</t>
  </si>
  <si>
    <t>55a5b74</t>
  </si>
  <si>
    <t>fe1b415</t>
  </si>
  <si>
    <t>26ae5b949e1b8d8c1b3e5f23fcea22663540c277</t>
  </si>
  <si>
    <t>83b58d7</t>
  </si>
  <si>
    <t>a53341a</t>
  </si>
  <si>
    <t>d2687eb24a03f2e6e72dc964437fd8fbb5bcd837</t>
  </si>
  <si>
    <t>bf93459</t>
  </si>
  <si>
    <t>a94de0b</t>
  </si>
  <si>
    <t>717153c5b522ea8bcae43b08af0b21f5c5247a44</t>
  </si>
  <si>
    <t>2601ab7</t>
  </si>
  <si>
    <t>b452a8c</t>
  </si>
  <si>
    <t>12a72ae97d065c089ff6d7ba388124d57d6e63c6</t>
  </si>
  <si>
    <t>2ae7832</t>
  </si>
  <si>
    <t>ea2f292134244ea1bed2b3b5775b3fb0d0a1f62b</t>
  </si>
  <si>
    <t>b7ccb6f</t>
  </si>
  <si>
    <t>aa4d73d</t>
  </si>
  <si>
    <t>dbdf05c48bc3883d2c979b932688c013777c6163</t>
  </si>
  <si>
    <t>40031f9</t>
  </si>
  <si>
    <t>af23673897bf1b41dd2a2279d71e73a6ce524e99</t>
  </si>
  <si>
    <t>c65f149</t>
  </si>
  <si>
    <t>b321496</t>
  </si>
  <si>
    <t>57d028319e860fe162733071fd172f2d6384bd91</t>
  </si>
  <si>
    <t>4157f74</t>
  </si>
  <si>
    <t>f8bc8678448df9ae95e4fa52315ed88f50271fca</t>
  </si>
  <si>
    <t>29eaf0e</t>
  </si>
  <si>
    <t>c5e1e4e6accfb8a0b8934f5dd31a02e51e149048</t>
  </si>
  <si>
    <t>cbe8213</t>
  </si>
  <si>
    <t>29caea4</t>
  </si>
  <si>
    <t>15566568a5f6108c7096af2791618e77474cc03a</t>
  </si>
  <si>
    <t>37e2be0</t>
  </si>
  <si>
    <t>0d3e50a</t>
  </si>
  <si>
    <t>d9d93c5fb6a8d60c085d18ba0d42e4753ea30d60</t>
  </si>
  <si>
    <t>1ea0b6a529ecf8fb77596fd2d64abf8292d2f3e0</t>
  </si>
  <si>
    <t>Barak A. Pearlmutter</t>
  </si>
  <si>
    <t>23b7001</t>
  </si>
  <si>
    <t>c6a9034</t>
  </si>
  <si>
    <t>Harold Lee</t>
  </si>
  <si>
    <t>f269819c1f4b7054707c09286358c34b49b73516</t>
  </si>
  <si>
    <t>34c9c1d</t>
  </si>
  <si>
    <t>1f057d7</t>
  </si>
  <si>
    <t>50f243fb50086f2b0c20e3b3c27bc599fbd9cb74</t>
  </si>
  <si>
    <t>4d20385</t>
  </si>
  <si>
    <t>3ae9933e7e71a58a602fd02c1cbfd21682808cb2</t>
  </si>
  <si>
    <t>46ab667</t>
  </si>
  <si>
    <t>cffd8d7</t>
  </si>
  <si>
    <t>fa9f752695701156dfeb3c25558af6bd19a9c74a</t>
  </si>
  <si>
    <t>bd9a349</t>
  </si>
  <si>
    <t>34d0c0d</t>
  </si>
  <si>
    <t>5aa085ece8038920a8264bafb8f78063d0194ca1</t>
  </si>
  <si>
    <t>b00c12e</t>
  </si>
  <si>
    <t>aaa5ff5</t>
  </si>
  <si>
    <t>81879097b3f07fb16c68b821528b21fbd79dc293</t>
  </si>
  <si>
    <t>vinoth chandar</t>
  </si>
  <si>
    <t>fbae492</t>
  </si>
  <si>
    <t>f23e641</t>
  </si>
  <si>
    <t>1860e5b1dcd4eac62de452f4cb484f1a1d231cbf</t>
  </si>
  <si>
    <t>ad0a6b2</t>
  </si>
  <si>
    <t>f6ce39527300b4fdf21a4c7d00d81994d69e1be8</t>
  </si>
  <si>
    <t>988643f</t>
  </si>
  <si>
    <t>a76d91d</t>
  </si>
  <si>
    <t>79f45c22723428180539072d5191b19d86650b74</t>
  </si>
  <si>
    <t>df55c74</t>
  </si>
  <si>
    <t>d05fba17409b0c682ada9c8cd6747b8f91f27175</t>
  </si>
  <si>
    <t>b9a57b9</t>
  </si>
  <si>
    <t>ff63c3f</t>
  </si>
  <si>
    <t>09621045844f27142007fa0f00f94dc687e9714c</t>
  </si>
  <si>
    <t>Padraig</t>
  </si>
  <si>
    <t>a8ed507</t>
  </si>
  <si>
    <t>39c00cc</t>
  </si>
  <si>
    <t>53a4c422cca2b50909dd95071fc36b0746c7f776</t>
  </si>
  <si>
    <t>0843f70</t>
  </si>
  <si>
    <t>56c5694</t>
  </si>
  <si>
    <t>e5a49a216badbe7bbc445ae94d48e653f23e488d</t>
  </si>
  <si>
    <t>a3d7142</t>
  </si>
  <si>
    <t>0b3ec800b3cc585304680fea15e4d4ecacca33d2</t>
  </si>
  <si>
    <t>e601d8b</t>
  </si>
  <si>
    <t>6040ffcc5de204fabcf6094d1a404bb2f4a405a4</t>
  </si>
  <si>
    <t>e5a49a2</t>
  </si>
  <si>
    <t>2f5deff</t>
  </si>
  <si>
    <t>1b9b249f43bd90caefed24c393ace6c086b72ddf</t>
  </si>
  <si>
    <t>1843552</t>
  </si>
  <si>
    <t>3f9cb465ff523237fc805221272a03fad4c97d21</t>
  </si>
  <si>
    <t>2c3c944</t>
  </si>
  <si>
    <t>927373b</t>
  </si>
  <si>
    <t>f3db691cf0c6cc347fcb1d6eb667d98ab308f29f</t>
  </si>
  <si>
    <t>c909562</t>
  </si>
  <si>
    <t>02513d5536743a46864de0d5b2c9e6a2469fd7cc</t>
  </si>
  <si>
    <t>17d5b42</t>
  </si>
  <si>
    <t>8fea16871b3e2a8ac0342128dacc0c3a6b0aec36</t>
  </si>
  <si>
    <t>d45566c</t>
  </si>
  <si>
    <t>edb7cf51d30e98fe3af95b55bc577bddeff7d2f2</t>
  </si>
  <si>
    <t>c75bafc</t>
  </si>
  <si>
    <t>4baec2d</t>
  </si>
  <si>
    <t>8ac86e21df8e6d1b142bf85941435bd8cbe32e25</t>
  </si>
  <si>
    <t>cd725ea</t>
  </si>
  <si>
    <t>7fa3e0678e7576387051d4e344e35645033a8b53</t>
  </si>
  <si>
    <t>3f736d7</t>
  </si>
  <si>
    <t>a63a572</t>
  </si>
  <si>
    <t>2c25d84381f661833d9bbbb476fe155f253f39cd</t>
  </si>
  <si>
    <t>d9c194c</t>
  </si>
  <si>
    <t>1b0196d</t>
  </si>
  <si>
    <t>d4ed7f7b169a8ef45d185b384542f3bdf65d426e</t>
  </si>
  <si>
    <t>e846df2</t>
  </si>
  <si>
    <t>1cb553e</t>
  </si>
  <si>
    <t>ae6df5e432eae7e172685166fe2b813ca51c9814</t>
  </si>
  <si>
    <t>8033cf0</t>
  </si>
  <si>
    <t>68feb27dec7e6940afa61f086fa311adb762a226</t>
  </si>
  <si>
    <t>9dce097</t>
  </si>
  <si>
    <t>6e74d62a8e52f60cdfc5a2eefd49bf2306a7587c</t>
  </si>
  <si>
    <t>b047812</t>
  </si>
  <si>
    <t>7ad319a</t>
  </si>
  <si>
    <t>68bfff1cc76064eb0c71e35901ea175ad74fcad8</t>
  </si>
  <si>
    <t>9db25db</t>
  </si>
  <si>
    <t>aa93540</t>
  </si>
  <si>
    <t>3a5713a56b3d5cfd333ff76bb6bc0d3ac8172e9d</t>
  </si>
  <si>
    <t>83e2957</t>
  </si>
  <si>
    <t>06bb3ef</t>
  </si>
  <si>
    <t>bcf4b413b41005416449852f5610f9185a260bfc</t>
  </si>
  <si>
    <t>1f21e50</t>
  </si>
  <si>
    <t>61f4d16</t>
  </si>
  <si>
    <t>cbc356df04fbef91b6ca0483bdf876e07065a96c</t>
  </si>
  <si>
    <t>8e11705</t>
  </si>
  <si>
    <t>a3f8195</t>
  </si>
  <si>
    <t>e8b1c8d6775e0835863dd9a6a2d2230f86ee54f0</t>
  </si>
  <si>
    <t>6cf1e0c</t>
  </si>
  <si>
    <t>2150b1d6d89ae91e85a3e85d4452a369a8e214fe</t>
  </si>
  <si>
    <t>aeb05f501d34ffd070fd09b7558347c58da8de7a</t>
  </si>
  <si>
    <t>26ae5b9</t>
  </si>
  <si>
    <t>3841c74</t>
  </si>
  <si>
    <t>4717020</t>
  </si>
  <si>
    <t>6817957</t>
  </si>
  <si>
    <t>9509899</t>
  </si>
  <si>
    <t>3891839</t>
  </si>
  <si>
    <t>7619869</t>
  </si>
  <si>
    <t>9297910</t>
  </si>
  <si>
    <t>6794240</t>
  </si>
  <si>
    <t>4008155</t>
  </si>
  <si>
    <t>9090427</t>
  </si>
  <si>
    <t>9365e16</t>
  </si>
  <si>
    <t>8942921</t>
  </si>
  <si>
    <t>946e042</t>
  </si>
  <si>
    <t>4957e95</t>
  </si>
  <si>
    <t>2319440</t>
  </si>
  <si>
    <t>1679e19</t>
  </si>
  <si>
    <t>Roshan</t>
  </si>
  <si>
    <t>Alex</t>
  </si>
  <si>
    <t>Bhupesh</t>
  </si>
  <si>
    <t>Chinmay</t>
  </si>
  <si>
    <t>Eric</t>
  </si>
  <si>
    <t>Ismael</t>
  </si>
  <si>
    <t>Jakob</t>
  </si>
  <si>
    <t>Jay</t>
  </si>
  <si>
    <t>Karthik</t>
  </si>
  <si>
    <t>Kirk</t>
  </si>
  <si>
    <t>Rob</t>
  </si>
  <si>
    <t>Developer</t>
  </si>
  <si>
    <t>merge</t>
  </si>
  <si>
    <t>bF</t>
  </si>
  <si>
    <t>TotalC</t>
  </si>
  <si>
    <t>Count of merge</t>
  </si>
  <si>
    <t>Sum of TotalC</t>
  </si>
  <si>
    <t>2002</t>
  </si>
  <si>
    <t>2003</t>
  </si>
  <si>
    <t>2008</t>
  </si>
  <si>
    <t>Count of TotalC</t>
  </si>
  <si>
    <t>PL</t>
  </si>
  <si>
    <t xml:space="preserve">tasks </t>
  </si>
  <si>
    <t>PH</t>
  </si>
  <si>
    <t>VL</t>
  </si>
  <si>
    <t>VH</t>
  </si>
  <si>
    <t>Count of bF</t>
  </si>
  <si>
    <t>Count of TF</t>
  </si>
  <si>
    <t>Conf's</t>
  </si>
  <si>
    <t>ChangeSet</t>
  </si>
  <si>
    <t>noofchang</t>
  </si>
  <si>
    <t>Sum of noofchang</t>
  </si>
  <si>
    <t>Sum of Conf's</t>
  </si>
  <si>
    <t>Qtr1/09</t>
  </si>
  <si>
    <t>Qtr1/10</t>
  </si>
  <si>
    <t>Qtr1/11</t>
  </si>
  <si>
    <t>Qtr1/12</t>
  </si>
  <si>
    <t>avg devs</t>
  </si>
  <si>
    <t>max</t>
  </si>
  <si>
    <t xml:space="preserve">min </t>
  </si>
  <si>
    <t>Weekly</t>
  </si>
  <si>
    <t>commits</t>
  </si>
  <si>
    <t>Mnthly</t>
  </si>
  <si>
    <t>Years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</si>
  <si>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</si>
  <si>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</si>
  <si>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</si>
  <si>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</si>
  <si>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</si>
  <si>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</si>
  <si>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</si>
  <si>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</si>
  <si>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</si>
  <si>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</si>
  <si>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Sep Total</t>
  </si>
  <si>
    <t>Oct Total</t>
  </si>
  <si>
    <t>Nov Total</t>
  </si>
  <si>
    <t>Dec Total</t>
  </si>
  <si>
    <t>Jan Total</t>
  </si>
  <si>
    <t>Feb Total</t>
  </si>
  <si>
    <t>Mar Total</t>
  </si>
  <si>
    <t>Apr Total</t>
  </si>
  <si>
    <t>May Total</t>
  </si>
  <si>
    <t>Jun Total</t>
  </si>
  <si>
    <t>qtrly</t>
  </si>
  <si>
    <t>6mnts</t>
  </si>
  <si>
    <t>Jul</t>
  </si>
  <si>
    <t>Aug</t>
  </si>
  <si>
    <t>Mar/09</t>
  </si>
  <si>
    <t xml:space="preserve">Nov </t>
  </si>
  <si>
    <t>Jan/10</t>
  </si>
  <si>
    <t>Jan/11</t>
  </si>
  <si>
    <t>Jan/12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</si>
</sst>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m/d/yy\ h:mm\ AM/PM;@"/>
    <numFmt numFmtId="165" formatCode="yyyy\-mm\-dd\ hh:mm:ss"/>
    <numFmt numFmtId="166" formatCode="[$-409]dd\-mmm\-yy;@"/>
  </numFmts>
  <fonts count="12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0"/>
      <color rgb="FF333333"/>
      <name val="Segoe UI"/>
      <family val="2"/>
    </font>
    <font>
      <b/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4"/>
      <color theme="1"/>
      <name val="Calibri"/>
      <scheme val="minor"/>
    </font>
    <font>
      <b/>
      <sz val="16"/>
      <color theme="1"/>
      <name val="Calibri"/>
      <scheme val="minor"/>
    </font>
    <font>
      <sz val="12"/>
      <name val="Calibri"/>
      <family val="2"/>
      <scheme val="minor"/>
    </font>
    <font>
      <b/>
      <sz val="12"/>
      <name val="Calibri"/>
      <scheme val="minor"/>
    </font>
    <font>
      <sz val="12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7CE"/>
        <bgColor rgb="FF000000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theme="6" tint="0.39997558519241921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134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72">
    <xf numFmtId="0" fontId="0" fillId="0" borderId="0" xfId="0"/>
    <xf numFmtId="11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0" xfId="0" applyNumberFormat="1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49" fontId="0" fillId="0" borderId="0" xfId="0" applyNumberFormat="1"/>
    <xf numFmtId="165" fontId="0" fillId="0" borderId="0" xfId="0" applyNumberFormat="1"/>
    <xf numFmtId="49" fontId="3" fillId="0" borderId="0" xfId="0" applyNumberFormat="1" applyFont="1"/>
    <xf numFmtId="49" fontId="5" fillId="0" borderId="0" xfId="0" applyNumberFormat="1" applyFont="1"/>
    <xf numFmtId="0" fontId="5" fillId="0" borderId="0" xfId="0" applyFont="1"/>
    <xf numFmtId="0" fontId="7" fillId="0" borderId="0" xfId="0" applyFont="1"/>
    <xf numFmtId="14" fontId="7" fillId="0" borderId="0" xfId="0" applyNumberFormat="1" applyFont="1"/>
    <xf numFmtId="49" fontId="7" fillId="0" borderId="0" xfId="0" applyNumberFormat="1" applyFont="1"/>
    <xf numFmtId="0" fontId="5" fillId="0" borderId="0" xfId="0" applyNumberFormat="1" applyFont="1"/>
    <xf numFmtId="165" fontId="5" fillId="0" borderId="0" xfId="0" applyNumberFormat="1" applyFont="1"/>
    <xf numFmtId="0" fontId="8" fillId="0" borderId="0" xfId="0" applyFont="1"/>
    <xf numFmtId="0" fontId="8" fillId="0" borderId="0" xfId="0" applyNumberFormat="1" applyFont="1"/>
    <xf numFmtId="165" fontId="8" fillId="0" borderId="0" xfId="0" applyNumberFormat="1" applyFont="1"/>
    <xf numFmtId="49" fontId="8" fillId="0" borderId="0" xfId="0" applyNumberFormat="1" applyFont="1"/>
    <xf numFmtId="14" fontId="8" fillId="0" borderId="0" xfId="0" applyNumberFormat="1" applyFont="1"/>
    <xf numFmtId="14" fontId="6" fillId="2" borderId="0" xfId="0" applyNumberFormat="1" applyFont="1" applyFill="1"/>
    <xf numFmtId="0" fontId="6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7" fontId="0" fillId="0" borderId="0" xfId="0" applyNumberFormat="1"/>
    <xf numFmtId="166" fontId="0" fillId="0" borderId="0" xfId="0" applyNumberFormat="1"/>
    <xf numFmtId="0" fontId="0" fillId="0" borderId="1" xfId="0" applyNumberFormat="1" applyFont="1" applyBorder="1"/>
    <xf numFmtId="164" fontId="0" fillId="0" borderId="1" xfId="0" applyNumberFormat="1" applyFont="1" applyBorder="1" applyAlignment="1">
      <alignment horizontal="left"/>
    </xf>
    <xf numFmtId="164" fontId="0" fillId="0" borderId="0" xfId="0" applyNumberFormat="1" applyAlignment="1">
      <alignment horizontal="left" indent="1"/>
    </xf>
    <xf numFmtId="164" fontId="0" fillId="0" borderId="1" xfId="0" applyNumberFormat="1" applyFont="1" applyBorder="1" applyAlignment="1">
      <alignment horizontal="left" indent="1"/>
    </xf>
    <xf numFmtId="164" fontId="5" fillId="0" borderId="1" xfId="0" applyNumberFormat="1" applyFont="1" applyBorder="1" applyAlignment="1">
      <alignment horizontal="left"/>
    </xf>
    <xf numFmtId="16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4" fontId="6" fillId="0" borderId="0" xfId="0" applyNumberFormat="1" applyFont="1" applyFill="1"/>
    <xf numFmtId="0" fontId="6" fillId="0" borderId="0" xfId="0" applyFont="1" applyFill="1"/>
    <xf numFmtId="14" fontId="3" fillId="0" borderId="0" xfId="0" applyNumberFormat="1" applyFont="1" applyFill="1"/>
    <xf numFmtId="0" fontId="3" fillId="0" borderId="0" xfId="0" applyFont="1" applyFill="1"/>
    <xf numFmtId="0" fontId="4" fillId="0" borderId="0" xfId="0" applyFont="1" applyFill="1"/>
    <xf numFmtId="49" fontId="0" fillId="0" borderId="0" xfId="0" applyNumberFormat="1" applyFill="1"/>
    <xf numFmtId="164" fontId="0" fillId="0" borderId="0" xfId="0" applyNumberFormat="1" applyFill="1"/>
    <xf numFmtId="0" fontId="0" fillId="0" borderId="0" xfId="0" applyNumberFormat="1" applyFill="1"/>
    <xf numFmtId="164" fontId="3" fillId="0" borderId="0" xfId="0" applyNumberFormat="1" applyFont="1"/>
    <xf numFmtId="0" fontId="0" fillId="0" borderId="0" xfId="0" applyFill="1"/>
    <xf numFmtId="0" fontId="9" fillId="0" borderId="0" xfId="0" applyNumberFormat="1" applyFont="1" applyFill="1"/>
    <xf numFmtId="164" fontId="9" fillId="0" borderId="0" xfId="0" applyNumberFormat="1" applyFont="1" applyFill="1"/>
    <xf numFmtId="0" fontId="9" fillId="0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14" fontId="0" fillId="0" borderId="0" xfId="0" applyNumberFormat="1" applyFill="1"/>
    <xf numFmtId="49" fontId="5" fillId="0" borderId="0" xfId="0" applyNumberFormat="1" applyFont="1" applyFill="1"/>
    <xf numFmtId="49" fontId="9" fillId="0" borderId="0" xfId="0" applyNumberFormat="1" applyFont="1" applyFill="1"/>
    <xf numFmtId="14" fontId="9" fillId="0" borderId="0" xfId="0" applyNumberFormat="1" applyFont="1" applyFill="1"/>
    <xf numFmtId="49" fontId="10" fillId="0" borderId="0" xfId="0" applyNumberFormat="1" applyFont="1" applyFill="1"/>
    <xf numFmtId="0" fontId="10" fillId="0" borderId="0" xfId="0" applyNumberFormat="1" applyFont="1" applyFill="1"/>
    <xf numFmtId="0" fontId="9" fillId="0" borderId="0" xfId="0" applyFont="1"/>
    <xf numFmtId="14" fontId="9" fillId="0" borderId="0" xfId="0" applyNumberFormat="1" applyFont="1"/>
    <xf numFmtId="0" fontId="11" fillId="11" borderId="1" xfId="0" applyFont="1" applyFill="1" applyBorder="1" applyAlignment="1">
      <alignment horizontal="left"/>
    </xf>
    <xf numFmtId="0" fontId="11" fillId="11" borderId="1" xfId="0" applyNumberFormat="1" applyFont="1" applyFill="1" applyBorder="1"/>
    <xf numFmtId="0" fontId="3" fillId="0" borderId="0" xfId="0" applyNumberFormat="1" applyFont="1"/>
    <xf numFmtId="49" fontId="9" fillId="0" borderId="0" xfId="0" applyNumberFormat="1" applyFont="1"/>
    <xf numFmtId="49" fontId="0" fillId="0" borderId="1" xfId="0" applyNumberFormat="1" applyFont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NumberFormat="1" applyFont="1" applyFill="1" applyBorder="1"/>
  </cellXfs>
  <cellStyles count="134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Normal" xfId="0" builtinId="0"/>
  </cellStyles>
  <dxfs count="3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indexed="64"/>
          <bgColor theme="8" tint="-0.499984740745262"/>
        </patternFill>
      </fill>
    </dxf>
    <dxf>
      <font>
        <color rgb="FF9C0006"/>
      </font>
      <fill>
        <patternFill patternType="solid">
          <fgColor indexed="64"/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indexed="64"/>
          <bgColor theme="8" tint="-0.499984740745262"/>
        </patternFill>
      </fill>
    </dxf>
    <dxf>
      <font>
        <color rgb="FF9C0006"/>
      </font>
      <fill>
        <patternFill patternType="solid">
          <fgColor indexed="64"/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indexed="64"/>
          <bgColor theme="8" tint="-0.499984740745262"/>
        </patternFill>
      </fill>
    </dxf>
    <dxf>
      <font>
        <color rgb="FF9C0006"/>
      </font>
      <fill>
        <patternFill patternType="solid">
          <fgColor indexed="64"/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indexed="64"/>
          <bgColor theme="8" tint="-0.499984740745262"/>
        </patternFill>
      </fill>
    </dxf>
    <dxf>
      <font>
        <color rgb="FF9C0006"/>
      </font>
      <fill>
        <patternFill patternType="solid">
          <fgColor indexed="64"/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6" tint="-0.499984740745262"/>
        </patternFill>
      </fill>
    </dxf>
    <dxf>
      <font>
        <color rgb="FF9C0006"/>
      </font>
      <fill>
        <patternFill patternType="solid">
          <fgColor indexed="64"/>
          <bgColor theme="6" tint="0.79998168889431442"/>
        </patternFill>
      </fill>
    </dxf>
    <dxf>
      <font>
        <color rgb="FF9C0006"/>
      </font>
      <fill>
        <patternFill patternType="solid">
          <fgColor indexed="64"/>
          <bgColor theme="8" tint="-0.499984740745262"/>
        </patternFill>
      </fill>
    </dxf>
    <dxf>
      <font>
        <color rgb="FF9C0006"/>
      </font>
      <fill>
        <patternFill patternType="solid">
          <fgColor indexed="64"/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indexed="64"/>
          <bgColor theme="8" tint="-0.499984740745262"/>
        </patternFill>
      </fill>
    </dxf>
    <dxf>
      <font>
        <color rgb="FF9C0006"/>
      </font>
      <fill>
        <patternFill patternType="solid">
          <fgColor indexed="64"/>
          <bgColor theme="8" tint="0.79998168889431442"/>
        </patternFill>
      </fill>
    </dxf>
    <dxf>
      <font>
        <color rgb="FF9C0006"/>
      </font>
      <fill>
        <patternFill patternType="solid">
          <fgColor indexed="64"/>
          <bgColor theme="8" tint="-0.499984740745262"/>
        </patternFill>
      </fill>
    </dxf>
    <dxf>
      <font>
        <color rgb="FF9C0006"/>
      </font>
      <fill>
        <patternFill patternType="solid">
          <fgColor indexed="64"/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indexed="64"/>
          <bgColor theme="8" tint="0.79998168889431442"/>
        </patternFill>
      </fill>
    </dxf>
    <dxf>
      <font>
        <color rgb="FF9C0006"/>
      </font>
      <fill>
        <patternFill patternType="solid">
          <fgColor indexed="64"/>
          <bgColor theme="8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indexed="64"/>
          <bgColor theme="8" tint="0.79998168889431442"/>
        </patternFill>
      </fill>
    </dxf>
    <dxf>
      <font>
        <color rgb="FF9C0006"/>
      </font>
      <fill>
        <patternFill patternType="solid">
          <fgColor indexed="64"/>
          <bgColor theme="8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6" tint="-0.499984740745262"/>
        </patternFill>
      </fill>
    </dxf>
    <dxf>
      <font>
        <color rgb="FF9C0006"/>
      </font>
      <fill>
        <patternFill patternType="solid">
          <fgColor indexed="64"/>
          <bgColor theme="6" tint="0.79998168889431442"/>
        </patternFill>
      </fill>
    </dxf>
    <dxf>
      <font>
        <color rgb="FF9C0006"/>
      </font>
      <fill>
        <patternFill patternType="solid">
          <fgColor indexed="64"/>
          <bgColor theme="8" tint="-0.499984740745262"/>
        </patternFill>
      </fill>
    </dxf>
    <dxf>
      <font>
        <color rgb="FF9C0006"/>
      </font>
      <fill>
        <patternFill patternType="solid">
          <fgColor indexed="64"/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6" tint="-0.499984740745262"/>
        </patternFill>
      </fill>
    </dxf>
    <dxf>
      <font>
        <color rgb="FF9C0006"/>
      </font>
      <fill>
        <patternFill patternType="solid">
          <fgColor indexed="64"/>
          <bgColor theme="6" tint="0.79998168889431442"/>
        </patternFill>
      </fill>
    </dxf>
    <dxf>
      <font>
        <color rgb="FF9C0006"/>
      </font>
      <fill>
        <patternFill patternType="solid">
          <fgColor indexed="64"/>
          <bgColor theme="8" tint="-0.499984740745262"/>
        </patternFill>
      </fill>
    </dxf>
    <dxf>
      <font>
        <color rgb="FF9C0006"/>
      </font>
      <fill>
        <patternFill patternType="solid">
          <fgColor indexed="64"/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6" tint="-0.499984740745262"/>
        </patternFill>
      </fill>
    </dxf>
    <dxf>
      <font>
        <color rgb="FF9C0006"/>
      </font>
      <fill>
        <patternFill patternType="solid">
          <fgColor indexed="64"/>
          <bgColor theme="6" tint="0.79998168889431442"/>
        </patternFill>
      </fill>
    </dxf>
    <dxf>
      <font>
        <color rgb="FF9C0006"/>
      </font>
      <fill>
        <patternFill patternType="solid">
          <fgColor indexed="64"/>
          <bgColor theme="8" tint="-0.499984740745262"/>
        </patternFill>
      </fill>
    </dxf>
    <dxf>
      <font>
        <color rgb="FF9C0006"/>
      </font>
      <fill>
        <patternFill patternType="solid">
          <fgColor indexed="64"/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3.xml"/><Relationship Id="rId29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pivotCacheDefinition" Target="pivotCache/pivotCacheDefinition5.xml"/><Relationship Id="rId31" Type="http://schemas.openxmlformats.org/officeDocument/2006/relationships/pivotCacheDefinition" Target="pivotCache/pivotCacheDefinition6.xml"/><Relationship Id="rId32" Type="http://schemas.openxmlformats.org/officeDocument/2006/relationships/pivotCacheDefinition" Target="pivotCache/pivotCacheDefinition7.xml"/><Relationship Id="rId9" Type="http://schemas.openxmlformats.org/officeDocument/2006/relationships/worksheet" Target="worksheets/sheet9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33" Type="http://schemas.openxmlformats.org/officeDocument/2006/relationships/pivotCacheDefinition" Target="pivotCache/pivotCacheDefinition8.xml"/><Relationship Id="rId34" Type="http://schemas.openxmlformats.org/officeDocument/2006/relationships/pivotCacheDefinition" Target="pivotCache/pivotCacheDefinition9.xml"/><Relationship Id="rId35" Type="http://schemas.openxmlformats.org/officeDocument/2006/relationships/pivotCacheDefinition" Target="pivotCache/pivotCacheDefinition10.xml"/><Relationship Id="rId36" Type="http://schemas.openxmlformats.org/officeDocument/2006/relationships/pivotCacheDefinition" Target="pivotCache/pivotCacheDefinition11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37" Type="http://schemas.openxmlformats.org/officeDocument/2006/relationships/pivotCacheDefinition" Target="pivotCache/pivotCacheDefinition12.xml"/><Relationship Id="rId38" Type="http://schemas.openxmlformats.org/officeDocument/2006/relationships/pivotCacheDefinition" Target="pivotCache/pivotCacheDefinition13.xml"/><Relationship Id="rId39" Type="http://schemas.openxmlformats.org/officeDocument/2006/relationships/pivotCacheDefinition" Target="pivotCache/pivotCacheDefinition14.xml"/><Relationship Id="rId40" Type="http://schemas.openxmlformats.org/officeDocument/2006/relationships/pivotCacheDefinition" Target="pivotCache/pivotCacheDefinition15.xml"/><Relationship Id="rId41" Type="http://schemas.openxmlformats.org/officeDocument/2006/relationships/theme" Target="theme/theme1.xml"/><Relationship Id="rId42" Type="http://schemas.openxmlformats.org/officeDocument/2006/relationships/styles" Target="styles.xml"/><Relationship Id="rId43" Type="http://schemas.openxmlformats.org/officeDocument/2006/relationships/sharedStrings" Target="sharedStrings.xml"/><Relationship Id="rId44" Type="http://schemas.openxmlformats.org/officeDocument/2006/relationships/calcChain" Target="calcChain.xml"/><Relationship Id="rId4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jenkinsPivot!$A$5:$A$21</c:f>
              <c:strCache>
                <c:ptCount val="17"/>
                <c:pt idx="0">
                  <c:v>2009</c:v>
                </c:pt>
                <c:pt idx="1">
                  <c:v>Qtr1</c:v>
                </c:pt>
                <c:pt idx="2">
                  <c:v>Qtr2</c:v>
                </c:pt>
                <c:pt idx="3">
                  <c:v>Qtr4</c:v>
                </c:pt>
                <c:pt idx="4">
                  <c:v>2010</c:v>
                </c:pt>
                <c:pt idx="5">
                  <c:v>Qtr1</c:v>
                </c:pt>
                <c:pt idx="6">
                  <c:v>Qtr2</c:v>
                </c:pt>
                <c:pt idx="7">
                  <c:v>Qtr3</c:v>
                </c:pt>
                <c:pt idx="8">
                  <c:v>Qtr4</c:v>
                </c:pt>
                <c:pt idx="9">
                  <c:v>2011</c:v>
                </c:pt>
                <c:pt idx="10">
                  <c:v>Qtr1</c:v>
                </c:pt>
                <c:pt idx="11">
                  <c:v>Qtr2</c:v>
                </c:pt>
                <c:pt idx="12">
                  <c:v>Qtr3</c:v>
                </c:pt>
                <c:pt idx="13">
                  <c:v>Qtr4</c:v>
                </c:pt>
                <c:pt idx="14">
                  <c:v>2012</c:v>
                </c:pt>
                <c:pt idx="15">
                  <c:v>Qtr1</c:v>
                </c:pt>
                <c:pt idx="16">
                  <c:v>Qtr2</c:v>
                </c:pt>
              </c:strCache>
            </c:strRef>
          </c:cat>
          <c:val>
            <c:numRef>
              <c:f>jenkinsPivot!$B$5:$B$21</c:f>
              <c:numCache>
                <c:formatCode>General</c:formatCode>
                <c:ptCount val="17"/>
                <c:pt idx="1">
                  <c:v>0.0</c:v>
                </c:pt>
                <c:pt idx="2">
                  <c:v>4.0</c:v>
                </c:pt>
                <c:pt idx="3">
                  <c:v>1.0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11.0</c:v>
                </c:pt>
                <c:pt idx="10">
                  <c:v>35.0</c:v>
                </c:pt>
                <c:pt idx="11">
                  <c:v>48.0</c:v>
                </c:pt>
                <c:pt idx="12">
                  <c:v>17.0</c:v>
                </c:pt>
                <c:pt idx="13">
                  <c:v>19.0</c:v>
                </c:pt>
                <c:pt idx="15">
                  <c:v>18.0</c:v>
                </c:pt>
                <c:pt idx="16">
                  <c:v>17.0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915752"/>
        <c:axId val="561917544"/>
      </c:barChart>
      <c:lineChart>
        <c:grouping val="standard"/>
        <c:varyColors val="0"/>
        <c:ser>
          <c:idx val="1"/>
          <c:order val="1"/>
          <c:marker>
            <c:symbol val="none"/>
          </c:marker>
          <c:cat>
            <c:strRef>
              <c:f>jenkinsPivot!$A$5:$A$21</c:f>
              <c:strCache>
                <c:ptCount val="17"/>
                <c:pt idx="0">
                  <c:v>2009</c:v>
                </c:pt>
                <c:pt idx="1">
                  <c:v>Qtr1</c:v>
                </c:pt>
                <c:pt idx="2">
                  <c:v>Qtr2</c:v>
                </c:pt>
                <c:pt idx="3">
                  <c:v>Qtr4</c:v>
                </c:pt>
                <c:pt idx="4">
                  <c:v>2010</c:v>
                </c:pt>
                <c:pt idx="5">
                  <c:v>Qtr1</c:v>
                </c:pt>
                <c:pt idx="6">
                  <c:v>Qtr2</c:v>
                </c:pt>
                <c:pt idx="7">
                  <c:v>Qtr3</c:v>
                </c:pt>
                <c:pt idx="8">
                  <c:v>Qtr4</c:v>
                </c:pt>
                <c:pt idx="9">
                  <c:v>2011</c:v>
                </c:pt>
                <c:pt idx="10">
                  <c:v>Qtr1</c:v>
                </c:pt>
                <c:pt idx="11">
                  <c:v>Qtr2</c:v>
                </c:pt>
                <c:pt idx="12">
                  <c:v>Qtr3</c:v>
                </c:pt>
                <c:pt idx="13">
                  <c:v>Qtr4</c:v>
                </c:pt>
                <c:pt idx="14">
                  <c:v>2012</c:v>
                </c:pt>
                <c:pt idx="15">
                  <c:v>Qtr1</c:v>
                </c:pt>
                <c:pt idx="16">
                  <c:v>Qtr2</c:v>
                </c:pt>
              </c:strCache>
            </c:strRef>
          </c:cat>
          <c:val>
            <c:numRef>
              <c:f>jenkinsPivot!$C$5:$C$21</c:f>
              <c:numCache>
                <c:formatCode>General</c:formatCode>
                <c:ptCount val="17"/>
                <c:pt idx="0">
                  <c:v>13.07692307692308</c:v>
                </c:pt>
                <c:pt idx="1">
                  <c:v>13.07692307692308</c:v>
                </c:pt>
                <c:pt idx="2">
                  <c:v>13.07692307692308</c:v>
                </c:pt>
                <c:pt idx="3">
                  <c:v>13.07692307692308</c:v>
                </c:pt>
                <c:pt idx="4">
                  <c:v>13.07692307692308</c:v>
                </c:pt>
                <c:pt idx="5">
                  <c:v>13.07692307692308</c:v>
                </c:pt>
                <c:pt idx="6">
                  <c:v>13.07692307692308</c:v>
                </c:pt>
                <c:pt idx="7">
                  <c:v>13.07692307692308</c:v>
                </c:pt>
                <c:pt idx="8">
                  <c:v>13.07692307692308</c:v>
                </c:pt>
                <c:pt idx="9">
                  <c:v>13.07692307692308</c:v>
                </c:pt>
                <c:pt idx="10">
                  <c:v>13.07692307692308</c:v>
                </c:pt>
                <c:pt idx="11">
                  <c:v>13.07692307692308</c:v>
                </c:pt>
                <c:pt idx="12">
                  <c:v>13.07692307692308</c:v>
                </c:pt>
                <c:pt idx="13">
                  <c:v>13.07692307692308</c:v>
                </c:pt>
                <c:pt idx="14">
                  <c:v>13.07692307692308</c:v>
                </c:pt>
                <c:pt idx="15">
                  <c:v>13.07692307692308</c:v>
                </c:pt>
                <c:pt idx="16">
                  <c:v>13.07692307692308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cat>
            <c:strRef>
              <c:f>jenkinsPivot!$A$5:$A$21</c:f>
              <c:strCache>
                <c:ptCount val="17"/>
                <c:pt idx="0">
                  <c:v>2009</c:v>
                </c:pt>
                <c:pt idx="1">
                  <c:v>Qtr1</c:v>
                </c:pt>
                <c:pt idx="2">
                  <c:v>Qtr2</c:v>
                </c:pt>
                <c:pt idx="3">
                  <c:v>Qtr4</c:v>
                </c:pt>
                <c:pt idx="4">
                  <c:v>2010</c:v>
                </c:pt>
                <c:pt idx="5">
                  <c:v>Qtr1</c:v>
                </c:pt>
                <c:pt idx="6">
                  <c:v>Qtr2</c:v>
                </c:pt>
                <c:pt idx="7">
                  <c:v>Qtr3</c:v>
                </c:pt>
                <c:pt idx="8">
                  <c:v>Qtr4</c:v>
                </c:pt>
                <c:pt idx="9">
                  <c:v>2011</c:v>
                </c:pt>
                <c:pt idx="10">
                  <c:v>Qtr1</c:v>
                </c:pt>
                <c:pt idx="11">
                  <c:v>Qtr2</c:v>
                </c:pt>
                <c:pt idx="12">
                  <c:v>Qtr3</c:v>
                </c:pt>
                <c:pt idx="13">
                  <c:v>Qtr4</c:v>
                </c:pt>
                <c:pt idx="14">
                  <c:v>2012</c:v>
                </c:pt>
                <c:pt idx="15">
                  <c:v>Qtr1</c:v>
                </c:pt>
                <c:pt idx="16">
                  <c:v>Qtr2</c:v>
                </c:pt>
              </c:strCache>
            </c:strRef>
          </c:cat>
          <c:val>
            <c:numRef>
              <c:f>jenkinsPivot!$D$5:$D$21</c:f>
              <c:numCache>
                <c:formatCode>General</c:formatCode>
                <c:ptCount val="17"/>
                <c:pt idx="0">
                  <c:v>11.0</c:v>
                </c:pt>
                <c:pt idx="1">
                  <c:v>11.0</c:v>
                </c:pt>
                <c:pt idx="2">
                  <c:v>11.0</c:v>
                </c:pt>
                <c:pt idx="3">
                  <c:v>11.0</c:v>
                </c:pt>
                <c:pt idx="4">
                  <c:v>11.0</c:v>
                </c:pt>
                <c:pt idx="5">
                  <c:v>11.0</c:v>
                </c:pt>
                <c:pt idx="6">
                  <c:v>11.0</c:v>
                </c:pt>
                <c:pt idx="7">
                  <c:v>11.0</c:v>
                </c:pt>
                <c:pt idx="8">
                  <c:v>11.0</c:v>
                </c:pt>
                <c:pt idx="9">
                  <c:v>11.0</c:v>
                </c:pt>
                <c:pt idx="10">
                  <c:v>11.0</c:v>
                </c:pt>
                <c:pt idx="11">
                  <c:v>11.0</c:v>
                </c:pt>
                <c:pt idx="12">
                  <c:v>11.0</c:v>
                </c:pt>
                <c:pt idx="13">
                  <c:v>11.0</c:v>
                </c:pt>
                <c:pt idx="14">
                  <c:v>11.0</c:v>
                </c:pt>
                <c:pt idx="15">
                  <c:v>11.0</c:v>
                </c:pt>
                <c:pt idx="16">
                  <c:v>11.0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915752"/>
        <c:axId val="561917544"/>
      </c:lineChart>
      <c:catAx>
        <c:axId val="561915752"/>
        <c:scaling>
          <c:orientation val="minMax"/>
        </c:scaling>
        <c:delete val="0"/>
        <c:axPos val="b"/>
        <c:numFmt formatCode="[$-409]m/d/yy\ h:mm\ AM/PM;@" sourceLinked="1"/>
        <c:majorTickMark val="out"/>
        <c:minorTickMark val="none"/>
        <c:tickLblPos val="nextTo"/>
        <c:crossAx val="561917544"/>
        <c:crosses val="autoZero"/>
        <c:auto val="1"/>
        <c:lblAlgn val="ctr"/>
        <c:lblOffset val="100"/>
        <c:noMultiLvlLbl val="0"/>
      </c:catAx>
      <c:valAx>
        <c:axId val="561917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9157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>
                <a:latin typeface="Times New Roman"/>
                <a:cs typeface="Times New Roman"/>
              </a:defRPr>
            </a:pPr>
            <a:r>
              <a:rPr lang="en-US">
                <a:latin typeface="Times New Roman"/>
                <a:cs typeface="Times New Roman"/>
              </a:rPr>
              <a:t>Jenkins Commit Activity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0533574002402242"/>
          <c:y val="0.153535353535354"/>
          <c:w val="0.921011877752569"/>
          <c:h val="0.761122511201251"/>
        </c:manualLayout>
      </c:layout>
      <c:barChart>
        <c:barDir val="col"/>
        <c:grouping val="clustered"/>
        <c:varyColors val="0"/>
        <c:ser>
          <c:idx val="0"/>
          <c:order val="0"/>
          <c:tx>
            <c:v>Commits</c:v>
          </c:tx>
          <c:spPr>
            <a:ln>
              <a:solidFill>
                <a:schemeClr val="tx1"/>
              </a:solidFill>
            </a:ln>
          </c:spPr>
          <c:invertIfNegative val="0"/>
          <c:cat>
            <c:strRef>
              <c:f>'jenk''spivot2'!$N$39:$N$52</c:f>
              <c:strCache>
                <c:ptCount val="14"/>
                <c:pt idx="0">
                  <c:v>Qtr1/09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  <c:pt idx="4">
                  <c:v>Qtr1/10</c:v>
                </c:pt>
                <c:pt idx="5">
                  <c:v>Qtr2</c:v>
                </c:pt>
                <c:pt idx="6">
                  <c:v>Qtr3</c:v>
                </c:pt>
                <c:pt idx="7">
                  <c:v>Qtr4</c:v>
                </c:pt>
                <c:pt idx="8">
                  <c:v>Qtr1/11</c:v>
                </c:pt>
                <c:pt idx="9">
                  <c:v>Qtr2</c:v>
                </c:pt>
                <c:pt idx="10">
                  <c:v>Qtr3</c:v>
                </c:pt>
                <c:pt idx="11">
                  <c:v>Qtr4</c:v>
                </c:pt>
                <c:pt idx="12">
                  <c:v>Qtr1/12</c:v>
                </c:pt>
                <c:pt idx="13">
                  <c:v>Qtr2</c:v>
                </c:pt>
              </c:strCache>
            </c:strRef>
          </c:cat>
          <c:val>
            <c:numRef>
              <c:f>'jenk''spivot2'!$O$39:$O$52</c:f>
              <c:numCache>
                <c:formatCode>General</c:formatCode>
                <c:ptCount val="14"/>
                <c:pt idx="0">
                  <c:v>2.0</c:v>
                </c:pt>
                <c:pt idx="1">
                  <c:v>14.0</c:v>
                </c:pt>
                <c:pt idx="2">
                  <c:v>14.0</c:v>
                </c:pt>
                <c:pt idx="3">
                  <c:v>2.0</c:v>
                </c:pt>
                <c:pt idx="4">
                  <c:v>2.0</c:v>
                </c:pt>
                <c:pt idx="5">
                  <c:v>4.0</c:v>
                </c:pt>
                <c:pt idx="6">
                  <c:v>2.0</c:v>
                </c:pt>
                <c:pt idx="7">
                  <c:v>50.0</c:v>
                </c:pt>
                <c:pt idx="8">
                  <c:v>196.0</c:v>
                </c:pt>
                <c:pt idx="9">
                  <c:v>214.0</c:v>
                </c:pt>
                <c:pt idx="10">
                  <c:v>138.0</c:v>
                </c:pt>
                <c:pt idx="11">
                  <c:v>122.0</c:v>
                </c:pt>
                <c:pt idx="12">
                  <c:v>118.0</c:v>
                </c:pt>
                <c:pt idx="13">
                  <c:v>146.0</c:v>
                </c:pt>
              </c:numCache>
            </c:numRef>
          </c:val>
        </c:ser>
        <c:ser>
          <c:idx val="1"/>
          <c:order val="1"/>
          <c:tx>
            <c:v>Conflicts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'jenk''spivot2'!$N$39:$N$52</c:f>
              <c:strCache>
                <c:ptCount val="14"/>
                <c:pt idx="0">
                  <c:v>Qtr1/09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  <c:pt idx="4">
                  <c:v>Qtr1/10</c:v>
                </c:pt>
                <c:pt idx="5">
                  <c:v>Qtr2</c:v>
                </c:pt>
                <c:pt idx="6">
                  <c:v>Qtr3</c:v>
                </c:pt>
                <c:pt idx="7">
                  <c:v>Qtr4</c:v>
                </c:pt>
                <c:pt idx="8">
                  <c:v>Qtr1/11</c:v>
                </c:pt>
                <c:pt idx="9">
                  <c:v>Qtr2</c:v>
                </c:pt>
                <c:pt idx="10">
                  <c:v>Qtr3</c:v>
                </c:pt>
                <c:pt idx="11">
                  <c:v>Qtr4</c:v>
                </c:pt>
                <c:pt idx="12">
                  <c:v>Qtr1/12</c:v>
                </c:pt>
                <c:pt idx="13">
                  <c:v>Qtr2</c:v>
                </c:pt>
              </c:strCache>
            </c:strRef>
          </c:cat>
          <c:val>
            <c:numRef>
              <c:f>'jenk''spivot2'!$P$39:$P$52</c:f>
              <c:numCache>
                <c:formatCode>General</c:formatCode>
                <c:ptCount val="14"/>
                <c:pt idx="0">
                  <c:v>0.0</c:v>
                </c:pt>
                <c:pt idx="1">
                  <c:v>4.0</c:v>
                </c:pt>
                <c:pt idx="2">
                  <c:v>4.0</c:v>
                </c:pt>
                <c:pt idx="3">
                  <c:v>1.0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11.0</c:v>
                </c:pt>
                <c:pt idx="8">
                  <c:v>35.0</c:v>
                </c:pt>
                <c:pt idx="9">
                  <c:v>48.0</c:v>
                </c:pt>
                <c:pt idx="10">
                  <c:v>17.0</c:v>
                </c:pt>
                <c:pt idx="11">
                  <c:v>19.0</c:v>
                </c:pt>
                <c:pt idx="12">
                  <c:v>18.0</c:v>
                </c:pt>
                <c:pt idx="13">
                  <c:v>17.0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0161144"/>
        <c:axId val="920164056"/>
      </c:barChart>
      <c:catAx>
        <c:axId val="92016114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920164056"/>
        <c:crosses val="autoZero"/>
        <c:auto val="1"/>
        <c:lblAlgn val="ctr"/>
        <c:lblOffset val="100"/>
        <c:noMultiLvlLbl val="0"/>
      </c:catAx>
      <c:valAx>
        <c:axId val="920164056"/>
        <c:scaling>
          <c:orientation val="minMax"/>
          <c:max val="220.0"/>
          <c:min val="0.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920161144"/>
        <c:crosses val="autoZero"/>
        <c:crossBetween val="between"/>
      </c:valAx>
      <c:spPr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657413586014"/>
          <c:y val="0.0764885071184284"/>
          <c:w val="0.101901908447885"/>
          <c:h val="0.135238473978631"/>
        </c:manualLayout>
      </c:layout>
      <c:overlay val="0"/>
      <c:txPr>
        <a:bodyPr/>
        <a:lstStyle/>
        <a:p>
          <a:pPr>
            <a:defRPr sz="1100" b="1">
              <a:latin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'jenk''spivot2'!$N$77:$N$116</c:f>
              <c:strCache>
                <c:ptCount val="40"/>
                <c:pt idx="0">
                  <c:v>Mar/09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 </c:v>
                </c:pt>
                <c:pt idx="9">
                  <c:v>Dec</c:v>
                </c:pt>
                <c:pt idx="10">
                  <c:v>Jan/10</c:v>
                </c:pt>
                <c:pt idx="11">
                  <c:v>Feb</c:v>
                </c:pt>
                <c:pt idx="12">
                  <c:v>Mar</c:v>
                </c:pt>
                <c:pt idx="13">
                  <c:v>Apr</c:v>
                </c:pt>
                <c:pt idx="14">
                  <c:v>May</c:v>
                </c:pt>
                <c:pt idx="15">
                  <c:v>Jun</c:v>
                </c:pt>
                <c:pt idx="16">
                  <c:v>Jul</c:v>
                </c:pt>
                <c:pt idx="17">
                  <c:v>Aug</c:v>
                </c:pt>
                <c:pt idx="18">
                  <c:v>Sep</c:v>
                </c:pt>
                <c:pt idx="19">
                  <c:v>Oct</c:v>
                </c:pt>
                <c:pt idx="20">
                  <c:v>Nov</c:v>
                </c:pt>
                <c:pt idx="21">
                  <c:v>Dec</c:v>
                </c:pt>
                <c:pt idx="22">
                  <c:v>Jan/11</c:v>
                </c:pt>
                <c:pt idx="23">
                  <c:v>Feb</c:v>
                </c:pt>
                <c:pt idx="24">
                  <c:v>Mar</c:v>
                </c:pt>
                <c:pt idx="25">
                  <c:v>Apr</c:v>
                </c:pt>
                <c:pt idx="26">
                  <c:v>May</c:v>
                </c:pt>
                <c:pt idx="27">
                  <c:v>Jun</c:v>
                </c:pt>
                <c:pt idx="28">
                  <c:v>Jul</c:v>
                </c:pt>
                <c:pt idx="29">
                  <c:v>Aug</c:v>
                </c:pt>
                <c:pt idx="30">
                  <c:v>Sep</c:v>
                </c:pt>
                <c:pt idx="31">
                  <c:v>Oct</c:v>
                </c:pt>
                <c:pt idx="32">
                  <c:v>Nov</c:v>
                </c:pt>
                <c:pt idx="33">
                  <c:v>Dec</c:v>
                </c:pt>
                <c:pt idx="34">
                  <c:v>Jan/12</c:v>
                </c:pt>
                <c:pt idx="35">
                  <c:v>Feb</c:v>
                </c:pt>
                <c:pt idx="36">
                  <c:v>Mar</c:v>
                </c:pt>
                <c:pt idx="37">
                  <c:v>Apr</c:v>
                </c:pt>
                <c:pt idx="38">
                  <c:v>May</c:v>
                </c:pt>
                <c:pt idx="39">
                  <c:v>Jun</c:v>
                </c:pt>
              </c:strCache>
            </c:strRef>
          </c:cat>
          <c:val>
            <c:numRef>
              <c:f>'jenk''spivot2'!$O$77:$O$116</c:f>
              <c:numCache>
                <c:formatCode>General</c:formatCode>
                <c:ptCount val="40"/>
                <c:pt idx="0">
                  <c:v>2.0</c:v>
                </c:pt>
                <c:pt idx="1">
                  <c:v>10.0</c:v>
                </c:pt>
                <c:pt idx="2">
                  <c:v>4.0</c:v>
                </c:pt>
                <c:pt idx="3">
                  <c:v>2.0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2.0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2.0</c:v>
                </c:pt>
                <c:pt idx="12">
                  <c:v>0.0</c:v>
                </c:pt>
                <c:pt idx="13">
                  <c:v>2.0</c:v>
                </c:pt>
                <c:pt idx="14">
                  <c:v>2.0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2.0</c:v>
                </c:pt>
                <c:pt idx="19">
                  <c:v>0.0</c:v>
                </c:pt>
                <c:pt idx="20">
                  <c:v>10.0</c:v>
                </c:pt>
                <c:pt idx="21">
                  <c:v>40.0</c:v>
                </c:pt>
                <c:pt idx="22">
                  <c:v>42.0</c:v>
                </c:pt>
                <c:pt idx="23">
                  <c:v>78.0</c:v>
                </c:pt>
                <c:pt idx="24">
                  <c:v>76.0</c:v>
                </c:pt>
                <c:pt idx="25">
                  <c:v>60.0</c:v>
                </c:pt>
                <c:pt idx="26">
                  <c:v>74.0</c:v>
                </c:pt>
                <c:pt idx="27">
                  <c:v>80.0</c:v>
                </c:pt>
                <c:pt idx="28">
                  <c:v>34.0</c:v>
                </c:pt>
                <c:pt idx="29">
                  <c:v>36.0</c:v>
                </c:pt>
                <c:pt idx="30">
                  <c:v>68.0</c:v>
                </c:pt>
                <c:pt idx="31">
                  <c:v>50.0</c:v>
                </c:pt>
                <c:pt idx="32">
                  <c:v>36.0</c:v>
                </c:pt>
                <c:pt idx="33">
                  <c:v>36.0</c:v>
                </c:pt>
                <c:pt idx="34">
                  <c:v>40.0</c:v>
                </c:pt>
                <c:pt idx="35">
                  <c:v>32.0</c:v>
                </c:pt>
                <c:pt idx="36">
                  <c:v>46.0</c:v>
                </c:pt>
                <c:pt idx="37">
                  <c:v>52.0</c:v>
                </c:pt>
                <c:pt idx="38">
                  <c:v>58.0</c:v>
                </c:pt>
                <c:pt idx="39">
                  <c:v>36.0</c:v>
                </c:pt>
              </c:numCache>
            </c:numRef>
          </c:val>
        </c:ser>
        <c:ser>
          <c:idx val="1"/>
          <c:order val="1"/>
          <c:invertIfNegative val="0"/>
          <c:cat>
            <c:strRef>
              <c:f>'jenk''spivot2'!$N$77:$N$116</c:f>
              <c:strCache>
                <c:ptCount val="40"/>
                <c:pt idx="0">
                  <c:v>Mar/09</c:v>
                </c:pt>
                <c:pt idx="1">
                  <c:v>Apr</c:v>
                </c:pt>
                <c:pt idx="2">
                  <c:v>May</c:v>
                </c:pt>
                <c:pt idx="3">
                  <c:v>Jun</c:v>
                </c:pt>
                <c:pt idx="4">
                  <c:v>Jul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 </c:v>
                </c:pt>
                <c:pt idx="9">
                  <c:v>Dec</c:v>
                </c:pt>
                <c:pt idx="10">
                  <c:v>Jan/10</c:v>
                </c:pt>
                <c:pt idx="11">
                  <c:v>Feb</c:v>
                </c:pt>
                <c:pt idx="12">
                  <c:v>Mar</c:v>
                </c:pt>
                <c:pt idx="13">
                  <c:v>Apr</c:v>
                </c:pt>
                <c:pt idx="14">
                  <c:v>May</c:v>
                </c:pt>
                <c:pt idx="15">
                  <c:v>Jun</c:v>
                </c:pt>
                <c:pt idx="16">
                  <c:v>Jul</c:v>
                </c:pt>
                <c:pt idx="17">
                  <c:v>Aug</c:v>
                </c:pt>
                <c:pt idx="18">
                  <c:v>Sep</c:v>
                </c:pt>
                <c:pt idx="19">
                  <c:v>Oct</c:v>
                </c:pt>
                <c:pt idx="20">
                  <c:v>Nov</c:v>
                </c:pt>
                <c:pt idx="21">
                  <c:v>Dec</c:v>
                </c:pt>
                <c:pt idx="22">
                  <c:v>Jan/11</c:v>
                </c:pt>
                <c:pt idx="23">
                  <c:v>Feb</c:v>
                </c:pt>
                <c:pt idx="24">
                  <c:v>Mar</c:v>
                </c:pt>
                <c:pt idx="25">
                  <c:v>Apr</c:v>
                </c:pt>
                <c:pt idx="26">
                  <c:v>May</c:v>
                </c:pt>
                <c:pt idx="27">
                  <c:v>Jun</c:v>
                </c:pt>
                <c:pt idx="28">
                  <c:v>Jul</c:v>
                </c:pt>
                <c:pt idx="29">
                  <c:v>Aug</c:v>
                </c:pt>
                <c:pt idx="30">
                  <c:v>Sep</c:v>
                </c:pt>
                <c:pt idx="31">
                  <c:v>Oct</c:v>
                </c:pt>
                <c:pt idx="32">
                  <c:v>Nov</c:v>
                </c:pt>
                <c:pt idx="33">
                  <c:v>Dec</c:v>
                </c:pt>
                <c:pt idx="34">
                  <c:v>Jan/12</c:v>
                </c:pt>
                <c:pt idx="35">
                  <c:v>Feb</c:v>
                </c:pt>
                <c:pt idx="36">
                  <c:v>Mar</c:v>
                </c:pt>
                <c:pt idx="37">
                  <c:v>Apr</c:v>
                </c:pt>
                <c:pt idx="38">
                  <c:v>May</c:v>
                </c:pt>
                <c:pt idx="39">
                  <c:v>Jun</c:v>
                </c:pt>
              </c:strCache>
            </c:strRef>
          </c:cat>
          <c:val>
            <c:numRef>
              <c:f>'jenk''spivot2'!$P$77:$P$116</c:f>
              <c:numCache>
                <c:formatCode>General</c:formatCode>
                <c:ptCount val="40"/>
                <c:pt idx="0">
                  <c:v>0.0</c:v>
                </c:pt>
                <c:pt idx="1">
                  <c:v>3.0</c:v>
                </c:pt>
                <c:pt idx="2">
                  <c:v>1.0</c:v>
                </c:pt>
                <c:pt idx="3">
                  <c:v>1.0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1.0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4.0</c:v>
                </c:pt>
                <c:pt idx="21">
                  <c:v>7.0</c:v>
                </c:pt>
                <c:pt idx="22">
                  <c:v>4.0</c:v>
                </c:pt>
                <c:pt idx="23">
                  <c:v>13.0</c:v>
                </c:pt>
                <c:pt idx="24">
                  <c:v>18.0</c:v>
                </c:pt>
                <c:pt idx="25">
                  <c:v>22.0</c:v>
                </c:pt>
                <c:pt idx="26">
                  <c:v>8.0</c:v>
                </c:pt>
                <c:pt idx="27">
                  <c:v>18.0</c:v>
                </c:pt>
                <c:pt idx="28">
                  <c:v>6.0</c:v>
                </c:pt>
                <c:pt idx="29">
                  <c:v>4.0</c:v>
                </c:pt>
                <c:pt idx="30">
                  <c:v>7.0</c:v>
                </c:pt>
                <c:pt idx="31">
                  <c:v>10.0</c:v>
                </c:pt>
                <c:pt idx="32">
                  <c:v>3.0</c:v>
                </c:pt>
                <c:pt idx="33">
                  <c:v>6.0</c:v>
                </c:pt>
                <c:pt idx="34">
                  <c:v>3.0</c:v>
                </c:pt>
                <c:pt idx="35">
                  <c:v>5.0</c:v>
                </c:pt>
                <c:pt idx="36">
                  <c:v>10.0</c:v>
                </c:pt>
                <c:pt idx="37">
                  <c:v>5.0</c:v>
                </c:pt>
                <c:pt idx="38">
                  <c:v>3.0</c:v>
                </c:pt>
                <c:pt idx="39">
                  <c:v>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0194136"/>
        <c:axId val="920197112"/>
      </c:barChart>
      <c:catAx>
        <c:axId val="920194136"/>
        <c:scaling>
          <c:orientation val="minMax"/>
        </c:scaling>
        <c:delete val="0"/>
        <c:axPos val="b"/>
        <c:majorTickMark val="out"/>
        <c:minorTickMark val="none"/>
        <c:tickLblPos val="nextTo"/>
        <c:crossAx val="920197112"/>
        <c:crosses val="autoZero"/>
        <c:auto val="1"/>
        <c:lblAlgn val="ctr"/>
        <c:lblOffset val="100"/>
        <c:noMultiLvlLbl val="0"/>
      </c:catAx>
      <c:valAx>
        <c:axId val="920197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01941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635000</xdr:colOff>
      <xdr:row>1</xdr:row>
      <xdr:rowOff>12700</xdr:rowOff>
    </xdr:from>
    <xdr:to>
      <xdr:col>19</xdr:col>
      <xdr:colOff>25400</xdr:colOff>
      <xdr:row>40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660400</xdr:colOff>
      <xdr:row>21</xdr:row>
      <xdr:rowOff>88900</xdr:rowOff>
    </xdr:from>
    <xdr:to>
      <xdr:col>26</xdr:col>
      <xdr:colOff>723900</xdr:colOff>
      <xdr:row>41</xdr:row>
      <xdr:rowOff>50800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419100</xdr:colOff>
      <xdr:row>53</xdr:row>
      <xdr:rowOff>88900</xdr:rowOff>
    </xdr:from>
    <xdr:to>
      <xdr:col>22</xdr:col>
      <xdr:colOff>330200</xdr:colOff>
      <xdr:row>74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akhtiar Khan Kasi" refreshedDate="41131.438598379631" createdVersion="4" refreshedVersion="4" minRefreshableVersion="3" recordCount="269">
  <cacheSource type="worksheet">
    <worksheetSource ref="H1:L270" sheet="jenkinsSequenceHigh"/>
  </cacheSource>
  <cacheFields count="5">
    <cacheField name="Dev" numFmtId="0">
      <sharedItems containsSemiMixedTypes="0" containsString="0" containsNumber="1" containsInteger="1" minValue="1" maxValue="41" count="4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</sharedItems>
    </cacheField>
    <cacheField name="Date" numFmtId="164">
      <sharedItems containsSemiMixedTypes="0" containsNonDate="0" containsDate="1" containsString="0" minDate="2011-03-06T16:49:56" maxDate="2011-06-29T16:06:47"/>
    </cacheField>
    <cacheField name="Id" numFmtId="49">
      <sharedItems containsMixedTypes="1" containsNumber="1" containsInteger="1" minValue="454682" maxValue="8714352"/>
    </cacheField>
    <cacheField name="Prefs" numFmtId="0">
      <sharedItems containsSemiMixedTypes="0" containsString="0" containsNumber="1" containsInteger="1" minValue="1" maxValue="82"/>
    </cacheField>
    <cacheField name="Files" numFmtId="0">
      <sharedItems containsSemiMixedTypes="0" containsString="0" containsNumber="1" containsInteger="1" minValue="0" maxValue="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akhtiar Khan Kasi" refreshedDate="41131.564974421293" createdVersion="4" refreshedVersion="4" minRefreshableVersion="3" recordCount="188">
  <cacheSource type="worksheet">
    <worksheetSource ref="G2:L190" sheet="jenkinsSequenceLow"/>
  </cacheSource>
  <cacheFields count="6">
    <cacheField name="Aitor Alzola" numFmtId="0">
      <sharedItems count="41">
        <s v="Baptiste Mathus"/>
        <s v="Christoph Kutzinski"/>
        <s v="Christopher Orr"/>
        <s v="Ciprian Ciubotariu"/>
        <s v="Cliff Maury"/>
        <s v="David M. Carr"/>
        <s v="Dean Yu"/>
        <s v="Drew Repasky"/>
        <s v="Erik Ramfelt"/>
        <s v="Flavio Costa"/>
        <s v="Fred G"/>
        <s v="Giulio D'Ambrosi"/>
        <s v="Ignacio Albors"/>
        <s v="imod"/>
        <s v="imodT"/>
        <s v="Ingo Richter"/>
        <s v="Jerome Lacoste"/>
        <s v="Jesse Farinacci"/>
        <s v="John Pederzolli"/>
        <s v="Julien Carsique"/>
        <s v="Julien HENRY"/>
        <s v="Jyrki Puttonen"/>
        <s v="Kohsuke"/>
        <s v="Kohsuke Kawaguchi"/>
        <s v="lucinka"/>
        <s v="mc1arke"/>
        <s v="Mike Power"/>
        <s v="Monty Taylor"/>
        <s v="Nicolas"/>
        <s v="Nicolas De loof"/>
        <s v="OHTAKE Tomohiro"/>
        <s v="olivier lamy"/>
        <s v="Paul Sandoz"/>
        <s v="Reynald Borer"/>
        <s v="Richard Mortimer"/>
        <s v="Ryan Campbell"/>
        <s v="Sami Tikka"/>
        <s v="Seiji Sogabe"/>
        <s v="Stephan Pauxberger"/>
        <s v="Stephen Connolly"/>
        <s v="Werner Beroux"/>
      </sharedItems>
    </cacheField>
    <cacheField name="1" numFmtId="0">
      <sharedItems containsSemiMixedTypes="0" containsString="0" containsNumber="1" containsInteger="1" minValue="2" maxValue="42"/>
    </cacheField>
    <cacheField name="9/22/11 7:36 PM" numFmtId="164">
      <sharedItems containsSemiMixedTypes="0" containsNonDate="0" containsDate="1" containsString="0" minDate="2010-12-12T23:30:06" maxDate="2012-06-11T23:34:56"/>
    </cacheField>
    <cacheField name="45dbab7" numFmtId="49">
      <sharedItems containsMixedTypes="1" containsNumber="1" containsInteger="1" minValue="1143736" maxValue="9912235"/>
    </cacheField>
    <cacheField name="12" numFmtId="0">
      <sharedItems containsSemiMixedTypes="0" containsString="0" containsNumber="1" containsInteger="1" minValue="1" maxValue="54"/>
    </cacheField>
    <cacheField name="2" numFmtId="0">
      <sharedItems containsSemiMixedTypes="0" containsString="0" containsNumber="1" containsInteger="1" minValue="2" maxValue="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Bakhtiar Khan Kasi" refreshedDate="41133.807858796295" createdVersion="4" refreshedVersion="4" minRefreshableVersion="3" recordCount="505">
  <cacheSource type="worksheet">
    <worksheetSource ref="H1:L506" sheet="all ids"/>
  </cacheSource>
  <cacheFields count="6">
    <cacheField name="Date" numFmtId="164">
      <sharedItems containsSemiMixedTypes="0" containsNonDate="0" containsDate="1" containsString="0" minDate="2009-03-26T00:52:28" maxDate="2012-06-19T18:51:27" count="498">
        <d v="2009-03-26T00:52:28"/>
        <d v="2009-04-02T02:43:49"/>
        <d v="2009-04-08T15:47:29"/>
        <d v="2009-04-15T21:04:25"/>
        <d v="2009-04-22T21:11:42"/>
        <d v="2009-04-29T16:57:38"/>
        <d v="2009-05-07T01:35:53"/>
        <d v="2009-05-13T22:15:24"/>
        <d v="2009-10-14T19:56:55"/>
        <d v="2010-02-03T18:21:55"/>
        <d v="2010-04-14T00:48:48"/>
        <d v="2010-05-05T20:19:13"/>
        <d v="2010-09-23T22:55:57"/>
        <d v="2010-11-17T23:06:06"/>
        <d v="2010-11-22T18:03:34"/>
        <d v="2010-11-25T06:55:07"/>
        <d v="2010-11-25T08:05:16"/>
        <d v="2010-11-27T09:02:27"/>
        <d v="2010-12-02T22:24:49"/>
        <d v="2010-12-05T07:20:32"/>
        <d v="2010-12-05T22:41:18"/>
        <d v="2010-12-06T21:23:20"/>
        <d v="2010-12-07T15:19:31"/>
        <d v="2010-12-10T12:56:27"/>
        <d v="2010-12-10T13:18:51"/>
        <d v="2010-12-11T22:07:29"/>
        <d v="2010-12-12T01:29:54"/>
        <d v="2010-12-13T14:19:26"/>
        <d v="2010-12-15T21:07:11"/>
        <d v="2010-12-16T20:43:08"/>
        <d v="2010-12-18T01:28:35"/>
        <d v="2010-12-23T19:45:57"/>
        <d v="2010-12-24T22:05:39"/>
        <d v="2010-12-24T22:19:10"/>
        <d v="2010-12-24T22:20:38"/>
        <d v="2010-12-26T10:26:17"/>
        <d v="2010-12-26T10:30:20"/>
        <d v="2010-12-28T23:51:12"/>
        <d v="2011-01-01T01:44:54"/>
        <d v="2011-01-06T13:06:35"/>
        <d v="2011-01-06T15:59:39"/>
        <d v="2011-01-06T21:35:10"/>
        <d v="2011-01-09T18:09:12"/>
        <d v="2011-01-10T21:21:14"/>
        <d v="2011-01-11T10:59:52"/>
        <d v="2011-01-11T14:01:27"/>
        <d v="2011-01-11T14:28:17"/>
        <d v="2011-01-12T18:53:31"/>
        <d v="2011-01-12T21:47:34"/>
        <d v="2011-01-13T20:59:59"/>
        <d v="2011-01-13T21:00:45"/>
        <d v="2011-01-15T21:18:19"/>
        <d v="2011-01-21T14:52:24"/>
        <d v="2011-01-21T23:35:23"/>
        <d v="2011-01-30T13:52:10"/>
        <d v="2011-01-31T10:06:00"/>
        <d v="2011-01-31T12:59:07"/>
        <d v="2011-01-31T19:14:45"/>
        <d v="2011-01-31T20:59:01"/>
        <d v="2011-02-01T11:30:58"/>
        <d v="2011-02-02T12:11:33"/>
        <d v="2011-02-04T10:43:30"/>
        <d v="2011-02-04T11:45:59"/>
        <d v="2011-02-04T12:50:19"/>
        <d v="2011-02-04T18:32:13"/>
        <d v="2011-02-04T20:10:02"/>
        <d v="2011-02-04T20:34:09"/>
        <d v="2011-02-04T21:28:01"/>
        <d v="2011-02-04T21:36:25"/>
        <d v="2011-02-04T22:34:26"/>
        <d v="2011-02-06T20:54:02"/>
        <d v="2011-02-07T10:25:43"/>
        <d v="2011-02-08T01:37:46"/>
        <d v="2011-02-08T11:37:46"/>
        <d v="2011-02-08T11:41:02"/>
        <d v="2011-02-08T11:46:17"/>
        <d v="2011-02-08T11:46:32"/>
        <d v="2011-02-08T11:47:58"/>
        <d v="2011-02-08T11:55:08"/>
        <d v="2011-02-10T00:08:18"/>
        <d v="2011-02-11T14:54:05"/>
        <d v="2011-02-11T20:42:56"/>
        <d v="2011-02-11T20:54:29"/>
        <d v="2011-02-11T22:16:50"/>
        <d v="2011-02-12T08:00:07"/>
        <d v="2011-02-12T10:09:45"/>
        <d v="2011-02-12T10:13:29"/>
        <d v="2011-02-12T19:31:37"/>
        <d v="2011-02-14T10:23:08"/>
        <d v="2011-02-15T16:38:50"/>
        <d v="2011-02-19T17:16:58"/>
        <d v="2011-02-20T22:35:04"/>
        <d v="2011-02-20T22:38:21"/>
        <d v="2011-02-24T20:40:38"/>
        <d v="2011-02-24T20:44:42"/>
        <d v="2011-02-27T19:48:01"/>
        <d v="2011-03-07T00:53:09"/>
        <d v="2011-03-10T22:29:41"/>
        <d v="2011-03-11T11:50:57"/>
        <d v="2011-03-13T20:58:35"/>
        <d v="2011-03-13T21:54:04"/>
        <d v="2011-03-14T13:26:11"/>
        <d v="2011-03-14T15:41:42"/>
        <d v="2011-03-14T18:10:00"/>
        <d v="2011-03-14T19:27:27"/>
        <d v="2011-03-14T21:25:53"/>
        <d v="2011-03-17T22:27:13"/>
        <d v="2011-03-17T23:09:14"/>
        <d v="2011-03-17T23:47:23"/>
        <d v="2011-03-18T17:13:54"/>
        <d v="2011-03-18T20:10:32"/>
        <d v="2011-03-18T22:18:06"/>
        <d v="2011-03-19T13:57:37"/>
        <d v="2011-03-21T13:55:42"/>
        <d v="2011-03-22T17:06:23"/>
        <d v="2011-03-24T23:43:23"/>
        <d v="2011-03-27T21:45:13"/>
        <d v="2011-03-27T23:32:47"/>
        <d v="2011-03-28T14:13:08"/>
        <d v="2011-03-28T14:32:50"/>
        <d v="2011-03-29T10:22:55"/>
        <d v="2011-03-30T10:00:10"/>
        <d v="2011-03-30T10:09:46"/>
        <d v="2011-03-30T14:33:04"/>
        <d v="2011-03-30T17:22:33"/>
        <d v="2011-03-30T17:22:55"/>
        <d v="2011-03-31T09:57:32"/>
        <d v="2011-03-31T10:00:01"/>
        <d v="2011-03-31T16:35:05"/>
        <d v="2011-03-31T18:58:25"/>
        <d v="2011-03-31T19:00:00"/>
        <d v="2011-03-31T19:02:05"/>
        <d v="2011-03-31T22:50:14"/>
        <d v="2011-04-01T15:13:56"/>
        <d v="2011-04-02T06:32:45"/>
        <d v="2011-04-02T08:14:01"/>
        <d v="2011-04-04T09:51:36"/>
        <d v="2011-04-11T09:24:17"/>
        <d v="2011-04-13T09:15:28"/>
        <d v="2011-04-15T20:11:10"/>
        <d v="2011-04-15T21:59:30"/>
        <d v="2011-04-15T22:27:33"/>
        <d v="2011-04-15T22:58:51"/>
        <d v="2011-04-18T13:16:57"/>
        <d v="2011-04-18T13:25:16"/>
        <d v="2011-04-18T13:28:37"/>
        <d v="2011-04-18T13:30:02"/>
        <d v="2011-04-18T21:49:56"/>
        <d v="2011-04-18T22:02:14"/>
        <d v="2011-04-18T22:35:22"/>
        <d v="2011-04-19T11:39:22"/>
        <d v="2011-04-20T07:45:24"/>
        <d v="2011-04-21T15:21:21"/>
        <d v="2011-04-22T12:56:49"/>
        <d v="2011-04-22T19:29:07"/>
        <d v="2011-04-25T12:20:53"/>
        <d v="2011-04-25T23:15:02"/>
        <d v="2011-04-28T18:03:42"/>
        <d v="2011-04-28T21:36:21"/>
        <d v="2011-04-28T22:25:45"/>
        <d v="2011-04-28T22:36:18"/>
        <d v="2011-04-29T01:12:28"/>
        <d v="2011-04-29T10:15:24"/>
        <d v="2011-05-01T15:15:11"/>
        <d v="2011-05-01T15:57:47"/>
        <d v="2011-05-02T16:53:29"/>
        <d v="2011-05-03T16:50:53"/>
        <d v="2011-05-03T16:56:50"/>
        <d v="2011-05-03T17:13:38"/>
        <d v="2011-05-05T05:57:45"/>
        <d v="2011-05-05T09:52:54"/>
        <d v="2011-05-05T19:26:23"/>
        <d v="2011-05-07T08:43:52"/>
        <d v="2011-05-09T16:45:55"/>
        <d v="2011-05-10T10:41:21"/>
        <d v="2011-05-10T11:39:52"/>
        <d v="2011-05-10T18:34:44"/>
        <d v="2011-05-12T10:01:49"/>
        <d v="2011-05-13T14:25:15"/>
        <d v="2011-05-13T15:05:49"/>
        <d v="2011-05-16T09:57:12"/>
        <d v="2011-05-16T14:59:50"/>
        <d v="2011-05-16T15:31:04"/>
        <d v="2011-05-18T18:20:13"/>
        <d v="2011-05-19T10:19:51"/>
        <d v="2011-05-19T16:53:56"/>
        <d v="2011-05-19T17:05:49"/>
        <d v="2011-05-20T09:18:54"/>
        <d v="2011-05-22T22:06:19"/>
        <d v="2011-05-22T23:31:18"/>
        <d v="2011-05-23T09:37:44"/>
        <d v="2011-05-23T11:20:49"/>
        <d v="2011-05-24T10:50:09"/>
        <d v="2011-05-28T16:02:22"/>
        <d v="2011-05-28T17:44:48"/>
        <d v="2011-05-31T04:53:38"/>
        <d v="2011-05-31T05:24:01"/>
        <d v="2011-05-31T05:46:21"/>
        <d v="2011-05-31T10:06:18"/>
        <d v="2011-05-31T15:10:23"/>
        <d v="2011-06-01T23:20:15"/>
        <d v="2011-06-02T16:28:31"/>
        <d v="2011-06-02T22:51:22"/>
        <d v="2011-06-03T15:34:03"/>
        <d v="2011-06-04T03:10:16"/>
        <d v="2011-06-04T10:37:20"/>
        <d v="2011-06-04T11:24:56"/>
        <d v="2011-06-05T16:15:43"/>
        <d v="2011-06-06T00:14:41"/>
        <d v="2011-06-06T22:22:50"/>
        <d v="2011-06-07T09:06:54"/>
        <d v="2011-06-07T10:29:07"/>
        <d v="2011-06-07T14:57:26"/>
        <d v="2011-06-07T17:16:44"/>
        <d v="2011-06-08T11:05:18"/>
        <d v="2011-06-12T22:07:48"/>
        <d v="2011-06-13T06:30:54"/>
        <d v="2011-06-13T09:22:36"/>
        <d v="2011-06-13T22:26:29"/>
        <d v="2011-06-14T01:30:09"/>
        <d v="2011-06-14T12:41:20"/>
        <d v="2011-06-14T17:45:17"/>
        <d v="2011-06-17T00:12:49"/>
        <d v="2011-06-17T13:49:10"/>
        <d v="2011-06-17T21:53:13"/>
        <d v="2011-06-17T23:19:56"/>
        <d v="2011-06-18T09:28:26"/>
        <d v="2011-06-19T23:08:11"/>
        <d v="2011-06-20T11:08:12"/>
        <d v="2011-06-20T17:55:33"/>
        <d v="2011-06-21T01:34:05"/>
        <d v="2011-06-21T14:36:02"/>
        <d v="2011-06-21T16:22:09"/>
        <d v="2011-06-21T17:02:31"/>
        <d v="2011-06-23T11:09:40"/>
        <d v="2011-06-24T22:03:44"/>
        <d v="2011-06-27T10:01:13"/>
        <d v="2011-06-29T16:06:47"/>
        <d v="2011-07-02T12:50:27"/>
        <d v="2011-07-04T13:20:12"/>
        <d v="2011-07-05T09:20:30"/>
        <d v="2011-07-05T10:35:34"/>
        <d v="2011-07-05T11:49:15"/>
        <d v="2011-07-05T12:26:03"/>
        <d v="2011-07-05T19:03:08"/>
        <d v="2011-07-08T21:55:26"/>
        <d v="2011-07-12T00:25:10"/>
        <d v="2011-07-17T12:07:12"/>
        <d v="2011-07-18T00:56:54"/>
        <d v="2011-07-24T00:26:43"/>
        <d v="2011-07-25T12:56:51"/>
        <d v="2011-07-25T13:59:26"/>
        <d v="2011-07-25T18:16:51"/>
        <d v="2011-07-27T22:26:32"/>
        <d v="2011-07-29T23:56:53"/>
        <d v="2011-08-01T19:37:01"/>
        <d v="2011-08-01T19:53:33"/>
        <d v="2011-08-03T06:20:27"/>
        <d v="2011-08-08T10:56:11"/>
        <d v="2011-08-08T14:42:00"/>
        <d v="2011-08-09T15:21:45"/>
        <d v="2011-08-13T20:52:10"/>
        <d v="2011-08-15T21:30:31"/>
        <d v="2011-08-17T20:39:48"/>
        <d v="2011-08-19T10:28:15"/>
        <d v="2011-08-24T09:24:28"/>
        <d v="2011-08-24T10:17:18"/>
        <d v="2011-08-27T00:22:40"/>
        <d v="2011-08-29T10:31:15"/>
        <d v="2011-08-29T10:31:17"/>
        <d v="2011-08-29T11:50:54"/>
        <d v="2011-08-29T15:42:06"/>
        <d v="2011-08-31T20:02:07"/>
        <d v="2011-09-05T08:53:46"/>
        <d v="2011-09-05T22:12:01"/>
        <d v="2011-09-06T00:31:55"/>
        <d v="2011-09-06T13:35:38"/>
        <d v="2011-09-06T20:24:04"/>
        <d v="2011-09-06T23:13:35"/>
        <d v="2011-09-07T01:24:55"/>
        <d v="2011-09-08T17:49:30"/>
        <d v="2011-09-11T16:12:09"/>
        <d v="2011-09-11T19:45:40"/>
        <d v="2011-09-15T07:52:13"/>
        <d v="2011-09-20T01:04:08"/>
        <d v="2011-09-20T02:36:38"/>
        <d v="2011-09-21T15:42:00"/>
        <d v="2011-09-22T14:44:58"/>
        <d v="2011-09-22T19:36:17"/>
        <d v="2011-09-23T11:59:07"/>
        <d v="2011-09-23T15:36:47"/>
        <d v="2011-09-23T22:06:48"/>
        <d v="2011-09-23T23:36:25"/>
        <d v="2011-09-26T09:21:01"/>
        <d v="2011-09-26T11:03:51"/>
        <d v="2011-09-26T16:21:04"/>
        <d v="2011-09-26T21:41:17"/>
        <d v="2011-09-27T11:23:25"/>
        <d v="2011-09-28T15:20:26"/>
        <d v="2011-09-28T17:26:20"/>
        <d v="2011-09-28T21:01:38"/>
        <d v="2011-09-29T00:31:46"/>
        <d v="2011-09-29T05:36:04"/>
        <d v="2011-09-30T09:24:05"/>
        <d v="2011-09-30T10:14:27"/>
        <d v="2011-09-30T10:46:57"/>
        <d v="2011-09-30T12:25:25"/>
        <d v="2011-10-01T20:51:02"/>
        <d v="2011-10-02T21:55:57"/>
        <d v="2011-10-05T12:04:16"/>
        <d v="2011-10-05T13:53:59"/>
        <d v="2011-10-07T14:09:54"/>
        <d v="2011-10-10T06:30:14"/>
        <d v="2011-10-11T21:11:58"/>
        <d v="2011-10-12T11:04:00"/>
        <d v="2011-10-13T01:40:20"/>
        <d v="2011-10-13T01:42:29"/>
        <d v="2011-10-16T23:21:03"/>
        <d v="2011-10-19T16:37:22"/>
        <d v="2011-10-20T10:27:28"/>
        <d v="2011-10-20T16:45:56"/>
        <d v="2011-10-20T21:49:51"/>
        <d v="2011-10-21T11:31:27"/>
        <d v="2011-10-23T22:42:29"/>
        <d v="2011-10-24T08:01:16"/>
        <d v="2011-10-24T22:38:40"/>
        <d v="2011-10-25T14:16:32"/>
        <d v="2011-10-26T23:43:51"/>
        <d v="2011-10-28T23:02:12"/>
        <d v="2011-10-29T14:52:44"/>
        <d v="2011-10-30T11:53:31"/>
        <d v="2011-10-31T09:32:37"/>
        <d v="2011-11-07T14:33:07"/>
        <d v="2011-11-07T15:30:02"/>
        <d v="2011-11-09T13:06:33"/>
        <d v="2011-11-10T13:06:33"/>
        <d v="2011-11-11T13:06:33"/>
        <d v="2011-11-12T13:06:33"/>
        <d v="2011-11-12T17:28:02"/>
        <d v="2011-11-13T13:06:33"/>
        <d v="2011-11-14T13:06:33"/>
        <d v="2011-11-14T17:48:52"/>
        <d v="2011-11-15T13:06:33"/>
        <d v="2011-11-17T22:12:02"/>
        <d v="2011-11-18T15:31:50"/>
        <d v="2011-11-23T15:59:18"/>
        <d v="2011-11-25T11:32:59"/>
        <d v="2011-11-27T19:20:45"/>
        <d v="2011-11-27T21:40:37"/>
        <d v="2011-11-28T17:01:22"/>
        <d v="2011-12-03T19:31:23"/>
        <d v="2011-12-04T01:57:38"/>
        <d v="2011-12-05T10:25:22"/>
        <d v="2011-12-05T10:54:32"/>
        <d v="2011-12-12T11:35:40"/>
        <d v="2011-12-13T08:38:47"/>
        <d v="2011-12-14T20:38:55"/>
        <d v="2011-12-15T17:49:29"/>
        <d v="2011-12-15T17:51:25"/>
        <d v="2011-12-19T13:01:12"/>
        <d v="2011-12-21T09:53:32"/>
        <d v="2011-12-23T17:18:07"/>
        <d v="2011-12-26T10:40:55"/>
        <d v="2011-12-28T12:00:03"/>
        <d v="2011-12-29T23:15:31"/>
        <d v="2011-12-30T15:27:34"/>
        <d v="2011-12-30T19:13:52"/>
        <d v="2011-12-31T10:36:21"/>
        <d v="2012-01-02T19:25:34"/>
        <d v="2012-01-03T20:44:16"/>
        <d v="2012-01-07T01:05:12"/>
        <d v="2012-01-09T15:34:31"/>
        <d v="2012-01-12T15:36:41"/>
        <d v="2012-01-15T10:55:55"/>
        <d v="2012-01-16T06:30:00"/>
        <d v="2012-01-17T09:53:14"/>
        <d v="2012-01-18T17:31:01"/>
        <d v="2012-01-20T22:36:41"/>
        <d v="2012-01-23T15:36:15"/>
        <d v="2012-01-25T14:13:32"/>
        <d v="2012-01-25T23:01:06"/>
        <d v="2012-01-25T23:35:07"/>
        <d v="2012-01-27T11:06:48"/>
        <d v="2012-01-29T03:49:41"/>
        <d v="2012-01-29T17:23:05"/>
        <d v="2012-01-30T06:51:45"/>
        <d v="2012-01-30T17:00:13"/>
        <d v="2012-01-30T17:36:37"/>
        <d v="2012-02-06T14:47:48"/>
        <d v="2012-02-08T08:03:59"/>
        <d v="2012-02-13T11:33:19"/>
        <d v="2012-02-16T13:28:07"/>
        <d v="2012-02-17T12:28:57"/>
        <d v="2012-02-18T15:57:16"/>
        <d v="2012-02-19T10:09:17"/>
        <d v="2012-02-20T17:43:09"/>
        <d v="2012-02-20T19:52:35"/>
        <d v="2012-02-21T22:40:32"/>
        <d v="2012-02-22T09:05:51"/>
        <d v="2012-02-23T01:28:14"/>
        <d v="2012-02-24T16:44:57"/>
        <d v="2012-02-27T09:21:24"/>
        <d v="2012-02-28T20:26:16"/>
        <d v="2012-02-29T18:44:46"/>
        <d v="2012-03-01T22:16:15"/>
        <d v="2012-03-01T22:48:53"/>
        <d v="2012-03-02T16:56:03"/>
        <d v="2012-03-02T17:21:23"/>
        <d v="2012-03-03T11:27:27"/>
        <d v="2012-03-05T13:37:45"/>
        <d v="2012-03-05T16:18:06"/>
        <d v="2012-03-05T19:52:11"/>
        <d v="2012-03-12T10:19:57"/>
        <d v="2012-03-13T10:30:51"/>
        <d v="2012-03-14T00:38:12"/>
        <d v="2012-03-14T12:36:59"/>
        <d v="2012-03-15T18:42:40"/>
        <d v="2012-03-19T09:35:13"/>
        <d v="2012-03-21T20:05:21"/>
        <d v="2012-03-22T19:40:01"/>
        <d v="2012-03-26T12:18:51"/>
        <d v="2012-03-26T15:35:29"/>
        <d v="2012-03-27T18:57:28"/>
        <d v="2012-03-29T08:28:08"/>
        <d v="2012-03-29T09:50:11"/>
        <d v="2012-03-31T23:20:18"/>
        <d v="2012-04-01T21:11:22"/>
        <d v="2012-04-02T11:59:08"/>
        <d v="2012-04-06T14:01:03"/>
        <d v="2012-04-08T03:05:12"/>
        <d v="2012-04-09T09:34:22"/>
        <d v="2012-04-10T21:20:42"/>
        <d v="2012-04-12T22:46:35"/>
        <d v="2012-04-14T12:47:41"/>
        <d v="2012-04-14T21:40:45"/>
        <d v="2012-04-14T22:52:02"/>
        <d v="2012-04-16T12:45:46"/>
        <d v="2012-04-16T12:47:00"/>
        <d v="2012-04-16T12:47:36"/>
        <d v="2012-04-16T12:48:05"/>
        <d v="2012-04-16T21:14:35"/>
        <d v="2012-04-19T01:08:01"/>
        <d v="2012-04-19T13:28:26"/>
        <d v="2012-04-21T11:28:31"/>
        <d v="2012-04-23T15:32:32"/>
        <d v="2012-04-24T10:19:30"/>
        <d v="2012-04-25T09:35:28"/>
        <d v="2012-04-25T15:16:57"/>
        <d v="2012-04-25T21:52:49"/>
        <d v="2012-04-25T22:57:49"/>
        <d v="2012-04-30T10:49:55"/>
        <d v="2012-04-30T12:30:45"/>
        <d v="2012-05-01T09:43:50"/>
        <d v="2012-05-01T11:42:24"/>
        <d v="2012-05-03T16:21:28"/>
        <d v="2012-05-05T18:53:59"/>
        <d v="2012-05-06T18:20:20"/>
        <d v="2012-05-07T10:56:28"/>
        <d v="2012-05-07T13:42:04"/>
        <d v="2012-05-07T17:29:53"/>
        <d v="2012-05-07T18:37:26"/>
        <d v="2012-05-14T11:36:40"/>
        <d v="2012-05-14T11:36:43"/>
        <d v="2012-05-15T14:19:46"/>
        <d v="2012-05-17T10:57:53"/>
        <d v="2012-05-18T11:52:26"/>
        <d v="2012-05-21T14:18:53"/>
        <d v="2012-05-21T15:55:13"/>
        <d v="2012-05-21T18:04:16"/>
        <d v="2012-05-22T12:32:33"/>
        <d v="2012-05-22T13:15:28"/>
        <d v="2012-05-22T16:51:30"/>
        <d v="2012-05-23T17:22:08"/>
        <d v="2012-05-23T20:11:58"/>
        <d v="2012-05-24T19:59:40"/>
        <d v="2012-05-28T19:48:35"/>
        <d v="2012-05-29T11:43:38"/>
        <d v="2012-05-29T19:26:43"/>
        <d v="2012-05-30T14:23:12"/>
        <d v="2012-05-31T11:21:10"/>
        <d v="2012-05-31T12:40:58"/>
        <d v="2012-06-04T11:24:00"/>
        <d v="2012-06-04T14:47:05"/>
        <d v="2012-06-04T21:40:47"/>
        <d v="2012-06-05T15:23:09"/>
        <d v="2012-06-05T17:20:41"/>
        <d v="2012-06-05T20:30:58"/>
        <d v="2012-06-11T10:00:23"/>
        <d v="2012-06-11T11:37:46"/>
        <d v="2012-06-11T15:21:57"/>
        <d v="2012-06-11T23:16:17"/>
        <d v="2012-06-13T09:20:46"/>
        <d v="2012-06-13T13:17:19"/>
        <d v="2012-06-13T17:44:52"/>
        <d v="2012-06-18T22:31:16"/>
        <d v="2012-06-18T23:26:14"/>
        <d v="2012-06-19T13:54:13"/>
        <d v="2012-06-19T18:51:27"/>
      </sharedItems>
      <fieldGroup par="5" base="0">
        <rangePr autoStart="0" autoEnd="0" groupBy="quarters" startDate="2009-03-23T00:52:28" endDate="2012-06-21T18:51:27"/>
        <groupItems count="6">
          <s v="&lt;3/23/09"/>
          <s v="Qtr1"/>
          <s v="Qtr2"/>
          <s v="Qtr3"/>
          <s v="Qtr4"/>
          <s v="&gt;6/21/12"/>
        </groupItems>
      </fieldGroup>
    </cacheField>
    <cacheField name="MF" numFmtId="0">
      <sharedItems containsString="0" containsBlank="1" containsNumber="1" containsInteger="1" minValue="1" maxValue="1"/>
    </cacheField>
    <cacheField name="TF" numFmtId="0">
      <sharedItems containsString="0" containsBlank="1" containsNumber="1" containsInteger="1" minValue="1" maxValue="1"/>
    </cacheField>
    <cacheField name="BF" numFmtId="0">
      <sharedItems containsString="0" containsBlank="1" containsNumber="1" containsInteger="1" minValue="1" maxValue="1"/>
    </cacheField>
    <cacheField name="Conflicts" numFmtId="0">
      <sharedItems containsSemiMixedTypes="0" containsString="0" containsNumber="1" containsInteger="1" minValue="0" maxValue="2"/>
    </cacheField>
    <cacheField name="Years" numFmtId="0" databaseField="0">
      <fieldGroup base="0">
        <rangePr autoStart="0" autoEnd="0" groupBy="years" startDate="2009-03-23T00:52:28" endDate="2012-06-21T18:51:27"/>
        <groupItems count="6">
          <s v="&lt;3/23/09"/>
          <s v="2009"/>
          <s v="2010"/>
          <s v="2011"/>
          <s v="2012"/>
          <s v="&gt;6/21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Bakhtiar Khan Kasi" refreshedDate="41134.520802314815" createdVersion="4" refreshedVersion="4" minRefreshableVersion="3" recordCount="11">
  <cacheSource type="worksheet">
    <worksheetSource ref="H1:K12" sheet="jWL"/>
  </cacheSource>
  <cacheFields count="4">
    <cacheField name="Dev" numFmtId="0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Date" numFmtId="164">
      <sharedItems containsSemiMixedTypes="0" containsNonDate="0" containsDate="1" containsString="0" minDate="2010-09-23T21:44:03" maxDate="2010-12-12T01:29:54"/>
    </cacheField>
    <cacheField name="Id" numFmtId="49">
      <sharedItems/>
    </cacheField>
    <cacheField name="Prefs" numFmtId="0">
      <sharedItems containsSemiMixedTypes="0" containsString="0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Bakhtiar Khan Kasi" refreshedDate="41134.535322222226" createdVersion="4" refreshedVersion="4" minRefreshableVersion="3" recordCount="30">
  <cacheSource type="worksheet">
    <worksheetSource ref="G1:J31" sheet="jWH"/>
  </cacheSource>
  <cacheFields count="4">
    <cacheField name="Devs" numFmtId="0">
      <sharedItems count="8">
        <s v="Fred G"/>
        <s v="Kohsuke"/>
        <s v="Kohsuke Kawaguchi"/>
        <s v="Olivier Lamy"/>
        <s v="Seiji Sogabe"/>
        <s v="Stephen"/>
        <s v="Stephen Connolly"/>
        <s v="Ulli Hafner"/>
      </sharedItems>
    </cacheField>
    <cacheField name="Dev" numFmtId="0">
      <sharedItems containsSemiMixedTypes="0" containsString="0" containsNumber="1" containsInteger="1" minValue="1" maxValue="8"/>
    </cacheField>
    <cacheField name="Date" numFmtId="164">
      <sharedItems containsSemiMixedTypes="0" containsNonDate="0" containsDate="1" containsString="0" minDate="2011-03-23T16:01:42" maxDate="2011-04-02T08:14:01"/>
    </cacheField>
    <cacheField name="Id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Bakhtiar Khan Kasi" refreshedDate="41134.536239583336" createdVersion="4" refreshedVersion="4" minRefreshableVersion="3" recordCount="75">
  <cacheSource type="worksheet">
    <worksheetSource ref="G1:K76" sheet="jMH"/>
  </cacheSource>
  <cacheFields count="5">
    <cacheField name="Devs" numFmtId="0">
      <sharedItems/>
    </cacheField>
    <cacheField name="Dev" numFmtId="0">
      <sharedItems containsSemiMixedTypes="0" containsString="0" containsNumber="1" containsInteger="1" minValue="1" maxValue="24" count="2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</sharedItems>
    </cacheField>
    <cacheField name="Date" numFmtId="164">
      <sharedItems containsSemiMixedTypes="0" containsNonDate="0" containsDate="1" containsString="0" minDate="2011-05-13T13:48:00" maxDate="2011-06-29T16:06:00"/>
    </cacheField>
    <cacheField name="Id" numFmtId="49">
      <sharedItems/>
    </cacheField>
    <cacheField name="Prefs" numFmtId="0">
      <sharedItems containsSemiMixedTypes="0" containsString="0" containsNumber="1" containsInteger="1" minValue="1" maxValue="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Bakhtiar Khan Kasi" refreshedDate="41134.544152893519" createdVersion="4" refreshedVersion="4" minRefreshableVersion="3" recordCount="32">
  <cacheSource type="worksheet">
    <worksheetSource ref="G1:J33" sheet="jML"/>
  </cacheSource>
  <cacheFields count="4">
    <cacheField name="Devs" numFmtId="0">
      <sharedItems/>
    </cacheField>
    <cacheField name="Dev" numFmtId="0">
      <sharedItems containsSemiMixedTypes="0" containsString="0" containsNumber="1" containsInteger="1" minValue="1" maxValue="16" count="1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</sharedItems>
    </cacheField>
    <cacheField name="Date" numFmtId="164">
      <sharedItems containsSemiMixedTypes="0" containsNonDate="0" containsDate="1" containsString="0" minDate="2012-01-07T14:01:00" maxDate="2012-02-29T18:44:00"/>
    </cacheField>
    <cacheField name="Id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Bakhtiar Khan Kasi" refreshedDate="41134.584448263886" createdVersion="4" refreshedVersion="4" minRefreshableVersion="3" recordCount="203">
  <cacheSource type="worksheet">
    <worksheetSource ref="G1:J204" sheet="jQH"/>
  </cacheSource>
  <cacheFields count="4">
    <cacheField name="Devs" numFmtId="0">
      <sharedItems/>
    </cacheField>
    <cacheField name="Dev" numFmtId="0">
      <sharedItems containsSemiMixedTypes="0" containsString="0" containsNumber="1" containsInteger="1" minValue="1" maxValue="38" count="3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</sharedItems>
    </cacheField>
    <cacheField name="Date" numFmtId="164">
      <sharedItems containsSemiMixedTypes="0" containsNonDate="0" containsDate="1" containsString="0" minDate="2011-03-19T22:01:39" maxDate="2011-06-29T16:06:47"/>
    </cacheField>
    <cacheField name="Id" numFmtId="49">
      <sharedItems containsMixedTypes="1" containsNumber="1" containsInteger="1" minValue="454682" maxValue="87143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Bakhtiar Khan Kasi" refreshedDate="41134.594409143516" createdVersion="4" refreshedVersion="4" minRefreshableVersion="3" recordCount="49">
  <cacheSource type="worksheet">
    <worksheetSource ref="G1:J50" sheet="JQL"/>
  </cacheSource>
  <cacheFields count="4">
    <cacheField name="Devs" numFmtId="0">
      <sharedItems/>
    </cacheField>
    <cacheField name="Dev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te" numFmtId="164">
      <sharedItems containsSemiMixedTypes="0" containsNonDate="0" containsDate="1" containsString="0" minDate="2009-05-16T01:31:00" maxDate="2010-12-28T23:51:00"/>
    </cacheField>
    <cacheField name="Id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Bakhtiar Khan Kasi" refreshedDate="41134.614212731482" createdVersion="4" refreshedVersion="4" minRefreshableVersion="3" recordCount="384">
  <cacheSource type="worksheet">
    <worksheetSource ref="H1:J385" sheet="j6MH"/>
  </cacheSource>
  <cacheFields count="3">
    <cacheField name="Dev" numFmtId="0">
      <sharedItems containsSemiMixedTypes="0" containsString="0" containsNumber="1" containsInteger="1" minValue="1" maxValue="59" count="5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</sharedItems>
    </cacheField>
    <cacheField name="Date" numFmtId="164">
      <sharedItems containsSemiMixedTypes="0" containsNonDate="0" containsDate="1" containsString="0" minDate="2010-12-31T21:43:00" maxDate="2011-06-29T16:06:00"/>
    </cacheField>
    <cacheField name="Id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r:id="rId1" refreshedBy="Bakhtiar Khan Kasi" refreshedDate="41134.62526828704" createdVersion="4" refreshedVersion="4" minRefreshableVersion="3" recordCount="258">
  <cacheSource type="worksheet">
    <worksheetSource ref="H1:J259" sheet="j6ML"/>
  </cacheSource>
  <cacheFields count="3">
    <cacheField name="Dev" numFmtId="0">
      <sharedItems containsSemiMixedTypes="0" containsString="0" containsNumber="1" containsInteger="1" minValue="1" maxValue="48" count="4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</sharedItems>
    </cacheField>
    <cacheField name="Date" numFmtId="164">
      <sharedItems containsSemiMixedTypes="0" containsNonDate="0" containsDate="1" containsString="0" minDate="2012-01-02T02:17:00" maxDate="2012-06-19T18:51:00"/>
    </cacheField>
    <cacheField name="Id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r:id="rId1" refreshedBy="Bakhtiar Khan Kasi" refreshedDate="41137.008160879632" createdVersion="4" refreshedVersion="4" minRefreshableVersion="3" recordCount="185">
  <cacheSource type="worksheet">
    <worksheetSource ref="F604:L789" sheet="all ids"/>
  </cacheSource>
  <cacheFields count="8">
    <cacheField name="Second" numFmtId="49">
      <sharedItems/>
    </cacheField>
    <cacheField name="Developer" numFmtId="49">
      <sharedItems count="45">
        <s v="Craig A. Berry"/>
        <s v="Jarkko Hietaniemi"/>
        <s v="Michael G. Schwern"/>
        <s v="Nick Ing-Simmons"/>
        <s v="Stas Bekman"/>
        <s v="Paul Marquess"/>
        <s v="Gurusamy Sarathy"/>
        <s v="Rafael Garcia-Suarez"/>
        <s v="Artur Bergman"/>
        <s v="Hugo van der Sanden"/>
        <s v="Abhijit Menon-Sen"/>
        <s v="H.Merijn Brand"/>
        <s v="Nick"/>
        <s v="Richard Soderberg"/>
        <s v="Andreas König"/>
        <s v="Gurusamy"/>
        <s v="Dave Mitchell"/>
        <s v="Gerrit P. Haase"/>
        <s v="Yves Orton"/>
        <s v="Steve Hay"/>
        <s v="Vincent Pit"/>
        <s v="Leon Brocard"/>
        <s v="Rafael"/>
        <s v="David Mitchell"/>
        <s v="Abigail"/>
        <s v="Steffen Mueller"/>
        <s v="Jerry D. Hedden"/>
        <s v="Marcus Holland-Moritz"/>
        <s v="Steve Peters"/>
        <s v="Nicholas Clark"/>
        <s v="David Cantrell"/>
        <s v="Duke Leto"/>
        <s v="Jim Cromie"/>
        <s v="Paul Fenwick"/>
        <s v="Ricardo SIGNES"/>
        <s v="The Doctor"/>
        <s v="Chris 'BinGOs' Williams"/>
        <s v="Jesse Vincent"/>
        <s v="Chris Williams"/>
        <s v="brian"/>
        <s v="Max Maischein"/>
        <s v="David Golden"/>
        <s v="Tony Cook"/>
        <s v="Gerard Goossen"/>
        <s v="Karl Williamson"/>
      </sharedItems>
    </cacheField>
    <cacheField name="Date" numFmtId="164">
      <sharedItems containsSemiMixedTypes="0" containsNonDate="0" containsDate="1" containsString="0" minDate="2002-06-11T17:44:31" maxDate="2010-02-09T07:31:16" count="181">
        <d v="2002-06-11T17:44:31"/>
        <d v="2002-06-14T01:36:12"/>
        <d v="2002-06-14T14:25:38"/>
        <d v="2002-06-15T23:49:27"/>
        <d v="2002-06-16T16:38:59"/>
        <d v="2002-06-18T00:31:48"/>
        <d v="2002-06-18T07:03:08"/>
        <d v="2002-06-18T17:31:43"/>
        <d v="2002-06-18T20:19:25"/>
        <d v="2002-06-19T12:33:04"/>
        <d v="2002-06-19T14:06:55"/>
        <d v="2002-06-20T00:16:11"/>
        <d v="2002-06-20T04:51:48"/>
        <d v="2002-06-20T16:54:01"/>
        <d v="2002-06-20T20:04:01"/>
        <d v="2002-06-21T08:46:57"/>
        <d v="2002-06-21T13:30:07"/>
        <d v="2002-06-28T13:15:17"/>
        <d v="2002-07-04T20:21:10"/>
        <d v="2002-07-05T12:46:22"/>
        <d v="2002-07-09T00:17:49"/>
        <d v="2002-07-09T13:42:06"/>
        <d v="2002-07-09T17:13:41"/>
        <d v="2002-07-10T03:58:58"/>
        <d v="2002-07-11T05:35:53"/>
        <d v="2002-07-11T09:16:46"/>
        <d v="2002-07-13T00:10:07"/>
        <d v="2002-07-15T04:03:51"/>
        <d v="2002-07-16T18:13:50"/>
        <d v="2002-07-17T03:11:53"/>
        <d v="2002-07-17T12:25:39"/>
        <d v="2002-07-17T16:26:34"/>
        <d v="2002-07-18T04:42:13"/>
        <d v="2002-07-18T22:08:32"/>
        <d v="2002-07-19T07:09:37"/>
        <d v="2002-08-05T22:26:45"/>
        <d v="2002-08-19T07:48:39"/>
        <d v="2002-08-27T11:28:32"/>
        <d v="2002-08-30T09:56:38"/>
        <d v="2002-09-05T06:28:36"/>
        <d v="2002-09-13T14:02:18"/>
        <d v="2002-10-19T14:10:21"/>
        <d v="2002-10-22T12:16:21"/>
        <d v="2002-10-25T18:20:42"/>
        <d v="2002-11-04T13:23:49"/>
        <d v="2002-11-16T22:08:44"/>
        <d v="2002-12-03T12:51:02"/>
        <d v="2002-12-31T04:07:56"/>
        <d v="2003-01-09T08:44:40"/>
        <d v="2003-01-13T01:31:01"/>
        <d v="2003-01-13T02:38:33"/>
        <d v="2003-01-13T02:41:04"/>
        <d v="2003-01-16T22:53:23"/>
        <d v="2003-01-18T18:07:01"/>
        <d v="2003-01-20T08:34:10"/>
        <d v="2003-01-20T17:48:51"/>
        <d v="2003-01-21T21:08:13"/>
        <d v="2003-01-22T12:27:48"/>
        <d v="2003-01-22T17:19:41"/>
        <d v="2003-01-31T08:58:40"/>
        <d v="2003-02-01T12:01:01"/>
        <d v="2003-02-01T21:04:36"/>
        <d v="2003-02-15T08:39:38"/>
        <d v="2003-02-16T08:29:54"/>
        <d v="2003-03-07T08:40:52"/>
        <d v="2003-03-15T13:04:18"/>
        <d v="2003-03-31T10:51:36"/>
        <d v="2003-04-17T09:20:27"/>
        <d v="2003-04-27T08:13:34"/>
        <d v="2003-05-02T08:41:40"/>
        <d v="2003-05-06T05:12:23"/>
        <d v="2003-05-06T10:58:27"/>
        <d v="2003-05-10T07:07:30"/>
        <d v="2003-05-10T12:45:15"/>
        <d v="2003-05-11T16:11:55"/>
        <d v="2003-05-12T05:25:14"/>
        <d v="2003-05-13T13:28:42"/>
        <d v="2003-05-17T06:32:46"/>
        <d v="2003-05-18T05:58:58"/>
        <d v="2003-05-18T08:48:17"/>
        <d v="2003-05-19T04:56:16"/>
        <d v="2003-05-19T04:58:25"/>
        <d v="2003-05-19T19:52:23"/>
        <d v="2003-05-22T11:13:19"/>
        <d v="2003-05-24T18:51:29"/>
        <d v="2003-06-03T09:51:59"/>
        <d v="2003-06-10T05:27:33"/>
        <d v="2003-06-27T10:08:20"/>
        <d v="2003-06-30T09:42:22"/>
        <d v="2003-06-30T14:24:57"/>
        <d v="2008-12-19T17:11:38"/>
        <d v="2008-12-19T17:38:22"/>
        <d v="2008-12-21T20:34:23"/>
        <d v="2008-12-23T16:52:13"/>
        <d v="2008-12-23T18:10:54"/>
        <d v="2008-12-26T09:47:06"/>
        <d v="2008-12-26T13:12:44"/>
        <d v="2008-12-27T22:03:37"/>
        <d v="2009-01-02T10:46:22"/>
        <d v="2009-01-02T12:05:59"/>
        <d v="2009-01-03T14:19:00"/>
        <d v="2009-01-03T18:55:29"/>
        <d v="2009-01-06T17:49:16"/>
        <d v="2009-01-06T17:51:08"/>
        <d v="2009-01-09T17:00:37"/>
        <d v="2009-01-09T17:09:33"/>
        <d v="2009-01-10T19:34:57"/>
        <d v="2009-01-11T15:48:21"/>
        <d v="2009-01-20T09:13:06"/>
        <d v="2009-01-25T16:57:19"/>
        <d v="2009-02-20T16:30:59"/>
        <d v="2009-02-23T11:04:07"/>
        <d v="2009-03-24T11:33:03"/>
        <d v="2009-03-24T19:37:13"/>
        <d v="2009-03-25T07:26:01"/>
        <d v="2009-03-26T19:59:23"/>
        <d v="2009-03-27T13:19:16"/>
        <d v="2009-03-29T21:39:05"/>
        <d v="2009-04-08T14:49:14"/>
        <d v="2009-04-13T14:38:42"/>
        <d v="2009-05-05T09:55:27"/>
        <d v="2009-05-13T10:30:07"/>
        <d v="2009-05-26T16:56:39"/>
        <d v="2009-05-26T18:09:15"/>
        <d v="2009-05-26T18:26:40"/>
        <d v="2009-05-31T15:09:56"/>
        <d v="2009-06-02T01:13:51"/>
        <d v="2009-06-02T08:46:41"/>
        <d v="2009-06-03T13:29:14"/>
        <d v="2009-06-04T09:36:50"/>
        <d v="2009-06-06T13:44:18"/>
        <d v="2009-06-10T12:25:48"/>
        <d v="2009-06-13T15:51:20"/>
        <d v="2009-06-14T12:34:55"/>
        <d v="2009-06-17T21:23:49"/>
        <d v="2009-06-21T07:52:28"/>
        <d v="2009-06-22T20:45:23"/>
        <d v="2009-07-07T18:48:36"/>
        <d v="2009-07-09T14:04:35"/>
        <d v="2009-07-22T11:48:22"/>
        <d v="2009-07-22T22:29:10"/>
        <d v="2009-07-29T14:25:58"/>
        <d v="2009-08-13T13:34:48"/>
        <d v="2009-08-24T09:22:44"/>
        <d v="2009-08-24T16:16:52"/>
        <d v="2009-08-24T16:34:29"/>
        <d v="2009-08-24T16:50:23"/>
        <d v="2009-08-26T20:55:36"/>
        <d v="2009-08-30T23:31:31"/>
        <d v="2009-08-31T21:46:48"/>
        <d v="2009-09-06T12:44:04"/>
        <d v="2009-09-07T10:33:41"/>
        <d v="2009-09-07T11:33:58"/>
        <d v="2009-09-07T12:31:13"/>
        <d v="2009-09-24T17:06:04"/>
        <d v="2009-09-24T21:18:07"/>
        <d v="2009-10-05T19:03:19"/>
        <d v="2009-10-08T15:12:11"/>
        <d v="2009-10-15T15:12:49"/>
        <d v="2009-10-19T21:36:16"/>
        <d v="2009-11-06T14:05:29"/>
        <d v="2009-11-07T14:51:44"/>
        <d v="2009-11-07T20:53:38"/>
        <d v="2009-11-18T21:45:00"/>
        <d v="2009-11-19T17:15:49"/>
        <d v="2009-11-19T17:18:28"/>
        <d v="2009-11-20T18:58:34"/>
        <d v="2009-11-22T21:37:51"/>
        <d v="2009-11-28T23:43:11"/>
        <d v="2009-12-06T22:43:41"/>
        <d v="2009-12-08T12:42:58"/>
        <d v="2009-12-10T13:20:27"/>
        <d v="2009-12-20T16:50:15"/>
        <d v="2009-12-20T23:17:00"/>
        <d v="2009-12-20T23:33:56"/>
        <d v="2010-01-06T18:19:11"/>
        <d v="2010-01-25T10:51:13"/>
        <d v="2010-01-28T21:16:33"/>
        <d v="2010-02-03T18:25:46"/>
        <d v="2010-02-06T17:55:32"/>
        <d v="2010-02-09T07:31:16"/>
      </sharedItems>
      <fieldGroup par="7" base="2">
        <rangePr autoStart="0" autoEnd="0" groupBy="quarters" startDate="2002-04-11T17:44:31" endDate="2010-08-09T07:31:16"/>
        <groupItems count="6">
          <s v="&lt;4/11/02"/>
          <s v="Qtr1"/>
          <s v="Qtr2"/>
          <s v="Qtr3"/>
          <s v="Qtr4"/>
          <s v="&gt;8/9/10"/>
        </groupItems>
      </fieldGroup>
    </cacheField>
    <cacheField name="merge" numFmtId="0">
      <sharedItems containsString="0" containsBlank="1" containsNumber="1" containsInteger="1" minValue="1" maxValue="1"/>
    </cacheField>
    <cacheField name="bF" numFmtId="0">
      <sharedItems containsString="0" containsBlank="1" containsNumber="1" containsInteger="1" minValue="1" maxValue="1"/>
    </cacheField>
    <cacheField name="TF" numFmtId="0">
      <sharedItems containsString="0" containsBlank="1" containsNumber="1" containsInteger="1" minValue="1" maxValue="1"/>
    </cacheField>
    <cacheField name="TotalC" numFmtId="0">
      <sharedItems containsSemiMixedTypes="0" containsString="0" containsNumber="1" containsInteger="1" minValue="0" maxValue="2"/>
    </cacheField>
    <cacheField name="Years" numFmtId="0" databaseField="0">
      <fieldGroup base="2">
        <rangePr autoStart="0" autoEnd="0" groupBy="years" startDate="2002-04-11T17:44:31" endDate="2010-08-09T07:31:16"/>
        <groupItems count="11">
          <s v="&lt;4/11/02"/>
          <s v="2002"/>
          <s v="2003"/>
          <s v="2004"/>
          <s v="2005"/>
          <s v="2006"/>
          <s v="2007"/>
          <s v="2008"/>
          <s v="2009"/>
          <s v="2010"/>
          <s v="&gt;8/9/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r:id="rId1" refreshedBy="Bakhtiar Khan Kasi" refreshedDate="41137.012505902778" createdVersion="4" refreshedVersion="4" minRefreshableVersion="3" recordCount="380">
  <cacheSource type="worksheet">
    <worksheetSource ref="F793:L1173" sheet="all ids"/>
  </cacheSource>
  <cacheFields count="8">
    <cacheField name="Second" numFmtId="49">
      <sharedItems/>
    </cacheField>
    <cacheField name="Developer" numFmtId="49">
      <sharedItems/>
    </cacheField>
    <cacheField name="Date" numFmtId="164">
      <sharedItems containsSemiMixedTypes="0" containsNonDate="0" containsDate="1" containsString="0" minDate="2009-05-31T23:21:54" maxDate="2012-06-13T09:53:45" count="353">
        <d v="2009-05-31T23:21:54"/>
        <d v="2009-06-03T16:28:06"/>
        <d v="2009-06-03T18:35:44"/>
        <d v="2009-06-03T23:33:49"/>
        <d v="2009-06-04T22:39:27"/>
        <d v="2009-06-05T11:10:09"/>
        <d v="2009-06-05T15:51:35"/>
        <d v="2009-06-05T19:44:57"/>
        <d v="2009-06-05T19:46:14"/>
        <d v="2009-06-07T03:37:42"/>
        <d v="2009-06-08T16:43:49"/>
        <d v="2009-06-09T12:00:40"/>
        <d v="2009-06-09T12:39:48"/>
        <d v="2009-06-09T13:24:07"/>
        <d v="2009-06-09T23:00:47"/>
        <d v="2009-06-10T04:32:43"/>
        <d v="2009-06-10T14:23:30"/>
        <d v="2009-06-14T20:04:05"/>
        <d v="2009-06-15T11:27:00"/>
        <d v="2009-06-18T10:31:47"/>
        <d v="2009-06-18T15:12:27"/>
        <d v="2009-06-20T14:33:10"/>
        <d v="2009-06-21T22:34:28"/>
        <d v="2009-06-23T12:10:15"/>
        <d v="2009-06-23T18:22:45"/>
        <d v="2009-06-25T19:03:42"/>
        <d v="2009-06-26T13:23:57"/>
        <d v="2009-06-26T13:34:14"/>
        <d v="2009-06-26T22:02:15"/>
        <d v="2009-06-29T12:28:25"/>
        <d v="2009-07-06T00:00:49"/>
        <d v="2009-07-08T19:11:32"/>
        <d v="2009-07-08T21:59:16"/>
        <d v="2009-07-13T17:47:04"/>
        <d v="2009-07-18T17:05:33"/>
        <d v="2009-07-20T15:32:41"/>
        <d v="2009-07-20T15:40:30"/>
        <d v="2009-07-27T20:42:24"/>
        <d v="2009-07-29T09:23:05"/>
        <d v="2009-08-14T19:49:54"/>
        <d v="2009-08-25T14:47:26"/>
        <d v="2009-08-25T16:11:51"/>
        <d v="2009-08-27T14:54:35"/>
        <d v="2009-09-17T07:39:07"/>
        <d v="2009-09-21T09:16:12"/>
        <d v="2009-09-26T12:59:02"/>
        <d v="2009-10-06T10:52:54"/>
        <d v="2009-10-07T16:08:28"/>
        <d v="2009-10-08T14:18:50"/>
        <d v="2009-10-12T14:06:59"/>
        <d v="2009-10-12T23:29:30"/>
        <d v="2009-10-13T12:53:08"/>
        <d v="2009-10-16T15:43:55"/>
        <d v="2009-10-21T11:02:49"/>
        <d v="2009-10-21T14:30:54"/>
        <d v="2009-10-23T14:29:05"/>
        <d v="2009-10-24T08:43:24"/>
        <d v="2009-10-27T13:40:31"/>
        <d v="2009-10-29T18:41:45"/>
        <d v="2009-10-29T22:49:54"/>
        <d v="2009-10-30T14:45:29"/>
        <d v="2009-10-30T14:59:08"/>
        <d v="2009-11-02T10:20:58"/>
        <d v="2009-11-02T10:36:05"/>
        <d v="2009-11-03T17:38:17"/>
        <d v="2009-11-03T21:01:25"/>
        <d v="2009-11-04T21:09:25"/>
        <d v="2009-11-05T11:29:35"/>
        <d v="2009-11-05T12:51:24"/>
        <d v="2009-11-05T14:28:39"/>
        <d v="2009-11-09T13:36:45"/>
        <d v="2009-11-09T16:28:16"/>
        <d v="2009-11-13T13:38:40"/>
        <d v="2009-11-16T10:10:06"/>
        <d v="2009-11-16T17:07:35"/>
        <d v="2009-11-17T12:18:15"/>
        <d v="2009-11-17T17:23:37"/>
        <d v="2009-11-18T09:15:11"/>
        <d v="2009-11-20T07:02:37"/>
        <d v="2009-11-20T07:13:47"/>
        <d v="2009-11-20T11:56:31"/>
        <d v="2009-11-20T18:14:34"/>
        <d v="2009-11-21T10:56:09"/>
        <d v="2009-11-23T16:30:54"/>
        <d v="2009-11-25T00:56:06"/>
        <d v="2009-11-25T07:45:21"/>
        <d v="2009-11-25T16:02:08"/>
        <d v="2009-11-25T18:50:53"/>
        <d v="2009-11-29T23:42:46"/>
        <d v="2009-11-30T14:30:22"/>
        <d v="2009-12-03T15:07:24"/>
        <d v="2009-12-04T17:58:59"/>
        <d v="2009-12-04T18:29:12"/>
        <d v="2009-12-05T13:38:06"/>
        <d v="2009-12-05T21:05:34"/>
        <d v="2009-12-08T18:48:47"/>
        <d v="2009-12-10T10:36:15"/>
        <d v="2009-12-10T10:43:39"/>
        <d v="2009-12-10T11:51:21"/>
        <d v="2009-12-10T15:01:13"/>
        <d v="2009-12-13T14:53:19"/>
        <d v="2009-12-13T20:24:16"/>
        <d v="2009-12-14T08:56:33"/>
        <d v="2009-12-14T10:31:26"/>
        <d v="2009-12-15T13:03:58"/>
        <d v="2009-12-15T13:44:02"/>
        <d v="2009-12-15T14:33:45"/>
        <d v="2009-12-15T16:09:34"/>
        <d v="2009-12-15T17:26:33"/>
        <d v="2009-12-15T18:10:04"/>
        <d v="2009-12-15T18:36:54"/>
        <d v="2009-12-16T11:01:59"/>
        <d v="2009-12-16T13:35:11"/>
        <d v="2009-12-16T16:42:27"/>
        <d v="2009-12-17T15:01:41"/>
        <d v="2009-12-17T16:17:25"/>
        <d v="2009-12-18T10:36:15"/>
        <d v="2009-12-18T10:45:29"/>
        <d v="2009-12-18T10:50:50"/>
        <d v="2009-12-18T13:38:46"/>
        <d v="2009-12-22T12:33:45"/>
        <d v="2009-12-22T16:12:24"/>
        <d v="2009-12-22T17:19:45"/>
        <d v="2010-01-05T10:08:02"/>
        <d v="2010-01-05T10:58:32"/>
        <d v="2010-01-05T12:21:22"/>
        <d v="2010-01-05T12:35:12"/>
        <d v="2010-01-05T13:47:03"/>
        <d v="2010-01-05T14:30:22"/>
        <d v="2010-01-05T15:18:21"/>
        <d v="2010-01-05T15:22:19"/>
        <d v="2010-01-05T15:57:53"/>
        <d v="2010-01-05T18:54:07"/>
        <d v="2010-01-06T11:01:29"/>
        <d v="2010-01-06T18:11:19"/>
        <d v="2010-01-07T12:02:09"/>
        <d v="2010-01-07T15:36:59"/>
        <d v="2010-01-07T15:54:52"/>
        <d v="2010-01-08T10:24:36"/>
        <d v="2010-01-08T10:52:44"/>
        <d v="2010-01-08T11:49:48"/>
        <d v="2010-01-08T17:08:19"/>
        <d v="2010-01-11T17:08:54"/>
        <d v="2010-01-11T18:20:55"/>
        <d v="2010-01-13T15:49:12"/>
        <d v="2010-01-13T23:56:22"/>
        <d v="2010-01-14T00:04:05"/>
        <d v="2010-01-16T15:40:54"/>
        <d v="2010-01-16T17:54:54"/>
        <d v="2010-01-17T22:22:40"/>
        <d v="2010-01-19T10:38:42"/>
        <d v="2010-01-19T10:43:38"/>
        <d v="2010-01-20T17:17:29"/>
        <d v="2010-01-21T12:08:39"/>
        <d v="2010-01-21T23:26:33"/>
        <d v="2010-01-22T11:02:40"/>
        <d v="2010-01-22T11:12:14"/>
        <d v="2010-01-22T15:39:28"/>
        <d v="2010-01-27T18:24:26"/>
        <d v="2010-01-28T20:17:30"/>
        <d v="2010-01-29T19:39:53"/>
        <d v="2010-02-01T01:17:28"/>
        <d v="2010-02-01T09:02:17"/>
        <d v="2010-02-01T13:59:36"/>
        <d v="2010-02-02T06:14:24"/>
        <d v="2010-02-02T12:28:54"/>
        <d v="2010-02-02T20:58:56"/>
        <d v="2010-02-03T07:54:39"/>
        <d v="2010-02-03T09:36:48"/>
        <d v="2010-02-03T19:47:50"/>
        <d v="2010-02-08T15:27:29"/>
        <d v="2010-02-08T15:28:02"/>
        <d v="2010-02-08T18:10:31"/>
        <d v="2010-02-09T02:46:20"/>
        <d v="2010-02-09T12:01:15"/>
        <d v="2010-02-10T15:03:38"/>
        <d v="2010-02-12T14:53:00"/>
        <d v="2010-02-15T10:01:13"/>
        <d v="2010-02-15T11:39:19"/>
        <d v="2010-02-15T11:43:39"/>
        <d v="2010-02-17T15:13:00"/>
        <d v="2010-02-18T18:29:03"/>
        <d v="2010-02-28T19:43:55"/>
        <d v="2010-02-28T20:53:23"/>
        <d v="2010-03-06T08:58:50"/>
        <d v="2010-03-08T13:39:50"/>
        <d v="2010-03-08T13:40:08"/>
        <d v="2010-03-08T14:47:30"/>
        <d v="2010-03-12T22:47:29"/>
        <d v="2010-03-15T18:05:15"/>
        <d v="2010-03-16T10:57:01"/>
        <d v="2010-03-19T15:45:29"/>
        <d v="2010-04-12T18:53:05"/>
        <d v="2010-04-14T09:26:52"/>
        <d v="2010-04-14T09:38:44"/>
        <d v="2010-04-22T11:28:56"/>
        <d v="2010-04-23T00:23:06"/>
        <d v="2010-05-03T18:08:42"/>
        <d v="2010-05-07T14:07:40"/>
        <d v="2010-05-20T21:27:56"/>
        <d v="2010-05-24T23:25:35"/>
        <d v="2010-05-25T21:06:44"/>
        <d v="2010-06-11T16:05:56"/>
        <d v="2010-06-11T22:33:51"/>
        <d v="2010-06-16T18:27:44"/>
        <d v="2010-06-24T12:57:31"/>
        <d v="2010-06-25T21:26:31"/>
        <d v="2010-07-09T00:33:34"/>
        <d v="2010-07-09T12:36:38"/>
        <d v="2010-07-11T23:23:50"/>
        <d v="2010-07-11T23:24:19"/>
        <d v="2010-07-12T15:28:47"/>
        <d v="2010-07-15T14:08:46"/>
        <d v="2010-07-19T15:01:06"/>
        <d v="2010-07-20T16:35:29"/>
        <d v="2010-08-13T14:52:18"/>
        <d v="2010-08-18T14:03:17"/>
        <d v="2010-08-20T12:39:54"/>
        <d v="2010-08-27T18:21:56"/>
        <d v="2010-08-28T17:49:56"/>
        <d v="2010-09-01T15:52:04"/>
        <d v="2010-09-20T13:47:57"/>
        <d v="2010-09-27T16:40:37"/>
        <d v="2010-10-03T18:29:05"/>
        <d v="2010-10-04T15:36:01"/>
        <d v="2010-10-15T14:00:26"/>
        <d v="2010-12-15T16:10:42"/>
        <d v="2010-12-21T23:26:19"/>
        <d v="2010-12-27T01:41:57"/>
        <d v="2011-01-13T18:59:02"/>
        <d v="2011-01-15T23:34:13"/>
        <d v="2011-01-18T16:40:09"/>
        <d v="2011-01-20T13:01:49"/>
        <d v="2011-02-01T19:30:10"/>
        <d v="2011-02-07T09:54:34"/>
        <d v="2011-02-07T09:55:52"/>
        <d v="2011-02-07T09:56:06"/>
        <d v="2011-02-07T23:22:24"/>
        <d v="2011-02-14T10:43:47"/>
        <d v="2011-02-18T15:26:13"/>
        <d v="2011-02-18T15:58:30"/>
        <d v="2011-02-18T19:53:32"/>
        <d v="2011-02-20T20:27:35"/>
        <d v="2011-02-25T15:17:09"/>
        <d v="2011-02-25T17:13:40"/>
        <d v="2011-02-25T17:31:36"/>
        <d v="2011-02-25T18:55:26"/>
        <d v="2011-03-09T11:46:44"/>
        <d v="2011-03-15T13:10:12"/>
        <d v="2011-03-16T11:39:25"/>
        <d v="2011-03-17T10:46:46"/>
        <d v="2011-03-17T15:15:52"/>
        <d v="2011-03-22T20:58:07"/>
        <d v="2011-03-23T19:53:35"/>
        <d v="2011-03-25T11:04:58"/>
        <d v="2011-03-25T12:59:20"/>
        <d v="2011-03-25T14:06:15"/>
        <d v="2011-03-28T16:10:38"/>
        <d v="2011-03-29T13:07:23"/>
        <d v="2011-03-29T13:16:50"/>
        <d v="2011-03-29T13:55:59"/>
        <d v="2011-03-29T16:10:21"/>
        <d v="2011-03-29T19:24:19"/>
        <d v="2011-03-30T15:29:22"/>
        <d v="2011-03-30T15:34:10"/>
        <d v="2011-03-30T15:39:10"/>
        <d v="2011-04-01T15:36:31"/>
        <d v="2011-04-01T15:42:17"/>
        <d v="2011-04-01T18:50:38"/>
        <d v="2011-04-04T13:40:03"/>
        <d v="2011-04-07T21:03:52"/>
        <d v="2011-04-19T12:43:09"/>
        <d v="2011-04-27T15:20:25"/>
        <d v="2011-04-28T15:26:23"/>
        <d v="2011-04-28T15:47:24"/>
        <d v="2011-05-12T14:46:41"/>
        <d v="2011-05-12T14:46:56"/>
        <d v="2011-05-12T19:16:43"/>
        <d v="2011-05-19T14:33:25"/>
        <d v="2011-05-19T17:09:52"/>
        <d v="2011-05-19T18:07:39"/>
        <d v="2011-05-19T19:12:51"/>
        <d v="2011-05-31T19:08:35"/>
        <d v="2011-05-31T19:16:56"/>
        <d v="2011-06-09T22:31:08"/>
        <d v="2011-06-10T16:10:07"/>
        <d v="2011-06-14T11:02:00"/>
        <d v="2011-06-15T00:21:29"/>
        <d v="2011-06-15T11:17:49"/>
        <d v="2011-06-23T13:02:45"/>
        <d v="2011-06-23T22:47:55"/>
        <d v="2011-06-23T23:05:40"/>
        <d v="2011-07-13T19:50:44"/>
        <d v="2011-07-13T19:52:58"/>
        <d v="2011-07-14T23:15:23"/>
        <d v="2011-07-14T23:33:27"/>
        <d v="2011-07-15T22:56:05"/>
        <d v="2011-07-16T09:11:32"/>
        <d v="2011-07-22T18:33:44"/>
        <d v="2011-07-26T16:26:16"/>
        <d v="2011-07-28T11:01:02"/>
        <d v="2011-08-02T10:27:19"/>
        <d v="2011-08-12T14:20:18"/>
        <d v="2011-09-02T20:54:01"/>
        <d v="2011-10-03T14:26:50"/>
        <d v="2011-10-04T13:52:23"/>
        <d v="2011-10-06T14:44:23"/>
        <d v="2011-10-18T12:02:01"/>
        <d v="2011-10-19T16:48:33"/>
        <d v="2011-10-20T12:35:49"/>
        <d v="2011-10-20T12:39:56"/>
        <d v="2011-10-20T15:41:16"/>
        <d v="2011-10-21T10:55:38"/>
        <d v="2011-10-21T10:55:55"/>
        <d v="2011-10-25T09:48:44"/>
        <d v="2011-10-25T15:31:10"/>
        <d v="2011-10-26T17:39:56"/>
        <d v="2011-11-11T18:42:30"/>
        <d v="2011-11-14T17:51:53"/>
        <d v="2011-11-14T18:00:35"/>
        <d v="2011-11-23T10:42:33"/>
        <d v="2011-11-28T17:30:10"/>
        <d v="2011-12-15T11:47:45"/>
        <d v="2011-12-29T16:43:18"/>
        <d v="2011-12-29T18:17:31"/>
        <d v="2011-12-30T16:34:41"/>
        <d v="2011-12-31T10:49:36"/>
        <d v="2011-12-31T10:52:12"/>
        <d v="2012-01-05T00:13:07"/>
        <d v="2012-01-05T10:39:45"/>
        <d v="2012-01-17T19:51:22"/>
        <d v="2012-01-23T09:56:54"/>
        <d v="2012-01-23T17:25:19"/>
        <d v="2012-01-25T11:02:51"/>
        <d v="2012-01-25T13:31:30"/>
        <d v="2012-02-03T15:10:28"/>
        <d v="2012-02-21T19:50:52"/>
        <d v="2012-02-28T19:45:48"/>
        <d v="2012-03-15T13:22:45"/>
        <d v="2012-03-22T19:09:49"/>
        <d v="2012-03-26T10:22:24"/>
        <d v="2012-04-02T17:57:55"/>
        <d v="2012-04-07T11:47:00"/>
        <d v="2012-04-11T16:37:06"/>
        <d v="2012-05-11T15:01:52"/>
        <d v="2012-05-14T14:31:40"/>
        <d v="2012-06-02T01:06:47"/>
        <d v="2012-06-06T13:42:58"/>
        <d v="2012-06-06T14:38:45"/>
        <d v="2012-06-07T16:14:13"/>
        <d v="2012-06-07T16:23:19"/>
        <d v="2012-06-07T22:35:52"/>
        <d v="2012-06-13T09:53:45"/>
      </sharedItems>
      <fieldGroup par="7" base="2">
        <rangePr groupBy="quarters" startDate="2009-05-31T23:21:54" endDate="2012-06-13T09:53:45"/>
        <groupItems count="6">
          <s v="&lt;5/31/09"/>
          <s v="Qtr1"/>
          <s v="Qtr2"/>
          <s v="Qtr3"/>
          <s v="Qtr4"/>
          <s v="&gt;6/13/12"/>
        </groupItems>
      </fieldGroup>
    </cacheField>
    <cacheField name="merge" numFmtId="0">
      <sharedItems containsString="0" containsBlank="1" containsNumber="1" containsInteger="1" minValue="1" maxValue="1"/>
    </cacheField>
    <cacheField name="bF" numFmtId="0">
      <sharedItems containsString="0" containsBlank="1" containsNumber="1" containsInteger="1" minValue="1" maxValue="1"/>
    </cacheField>
    <cacheField name="TF" numFmtId="0">
      <sharedItems containsString="0" containsBlank="1" containsNumber="1" containsInteger="1" minValue="1" maxValue="1"/>
    </cacheField>
    <cacheField name="TotalC" numFmtId="0">
      <sharedItems containsSemiMixedTypes="0" containsString="0" containsNumber="1" containsInteger="1" minValue="0" maxValue="2"/>
    </cacheField>
    <cacheField name="Years" numFmtId="0" databaseField="0">
      <fieldGroup base="2">
        <rangePr groupBy="years" startDate="2009-05-31T23:21:54" endDate="2012-06-13T09:53:45"/>
        <groupItems count="6">
          <s v="&lt;5/31/09"/>
          <s v="2009"/>
          <s v="2010"/>
          <s v="2011"/>
          <s v="2012"/>
          <s v="&gt;6/13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r:id="rId1" refreshedBy="Bakhtiar Khan Kasi" refreshedDate="41137.810576504628" createdVersion="4" refreshedVersion="4" minRefreshableVersion="3" recordCount="88">
  <cacheSource type="worksheet">
    <worksheetSource ref="F511:L599" sheet="all ids"/>
  </cacheSource>
  <cacheFields count="8">
    <cacheField name="Second" numFmtId="49">
      <sharedItems containsMixedTypes="1" containsNumber="1" containsInteger="1" minValue="2529452" maxValue="9807286"/>
    </cacheField>
    <cacheField name="Developer" numFmtId="0">
      <sharedItems count="7">
        <s v="Nathan"/>
        <s v="Sam Stokes"/>
        <s v="Nathan Marz"/>
        <s v="Sam Ritchie"/>
        <s v="Michael Cetrulo"/>
        <s v="James Xu"/>
        <s v="Thomas Jack"/>
      </sharedItems>
    </cacheField>
    <cacheField name="Date" numFmtId="164">
      <sharedItems containsSemiMixedTypes="0" containsNonDate="0" containsDate="1" containsString="0" minDate="2011-09-24T02:59:41" maxDate="2012-06-20T23:17:08" count="86">
        <d v="2011-09-24T02:59:41"/>
        <d v="2011-09-25T19:52:54"/>
        <d v="2011-10-11T00:26:34"/>
        <d v="2011-10-12T15:30:50"/>
        <d v="2011-11-20T15:35:18"/>
        <d v="2011-11-30T13:09:01"/>
        <d v="2011-12-14T22:44:46"/>
        <d v="2011-12-25T01:48:55"/>
        <d v="2012-01-04T14:35:19"/>
        <d v="2012-01-04T14:54:15"/>
        <d v="2012-01-05T04:52:57"/>
        <d v="2012-01-12T14:09:11"/>
        <d v="2012-01-13T03:22:09"/>
        <d v="2012-01-15T15:29:51"/>
        <d v="2012-01-15T18:27:58"/>
        <d v="2012-01-19T16:12:01"/>
        <d v="2012-01-20T09:52:34"/>
        <d v="2012-01-25T15:35:43"/>
        <d v="2012-01-25T16:00:11"/>
        <d v="2012-01-28T22:46:24"/>
        <d v="2012-01-31T20:50:08"/>
        <d v="2012-02-02T15:32:37"/>
        <d v="2012-02-02T22:53:39"/>
        <d v="2012-02-03T01:11:13"/>
        <d v="2012-02-03T17:03:59"/>
        <d v="2012-02-05T22:34:08"/>
        <d v="2012-02-08T21:43:28"/>
        <d v="2012-02-13T00:27:16"/>
        <d v="2012-02-28T11:33:19"/>
        <d v="2012-03-01T19:58:31"/>
        <d v="2012-03-03T17:06:29"/>
        <d v="2012-03-03T18:21:57"/>
        <d v="2012-03-03T19:06:56"/>
        <d v="2012-03-03T19:07:18"/>
        <d v="2012-03-03T20:33:06"/>
        <d v="2012-03-03T20:43:31"/>
        <d v="2012-03-08T18:46:35"/>
        <d v="2012-03-17T14:17:37"/>
        <d v="2012-03-21T04:29:32"/>
        <d v="2012-03-22T02:10:05"/>
        <d v="2012-03-22T21:59:18"/>
        <d v="2012-04-02T12:52:48"/>
        <d v="2012-04-03T00:11:27"/>
        <d v="2012-04-04T23:35:03"/>
        <d v="2012-04-12T13:53:01"/>
        <d v="2012-04-12T19:45:48"/>
        <d v="2012-04-13T11:40:32"/>
        <d v="2012-04-17T11:12:47"/>
        <d v="2012-04-19T22:27:38"/>
        <d v="2012-04-20T20:12:03"/>
        <d v="2012-04-20T23:05:56"/>
        <d v="2012-04-24T18:39:29"/>
        <d v="2012-04-28T23:04:57"/>
        <d v="2012-05-06T17:23:02"/>
        <d v="2012-05-06T20:29:58"/>
        <d v="2012-05-08T17:50:07"/>
        <d v="2012-05-08T17:52:17"/>
        <d v="2012-05-09T01:11:20"/>
        <d v="2012-05-09T13:02:40"/>
        <d v="2012-05-09T15:48:09"/>
        <d v="2012-05-09T16:15:43"/>
        <d v="2012-05-09T17:56:30"/>
        <d v="2012-05-09T18:39:49"/>
        <d v="2012-05-12T00:46:26"/>
        <d v="2012-05-12T17:12:39"/>
        <d v="2012-05-12T17:12:40"/>
        <d v="2012-05-14T01:02:08"/>
        <d v="2012-05-14T23:28:38"/>
        <d v="2012-05-16T20:51:14"/>
        <d v="2012-05-16T20:51:22"/>
        <d v="2012-05-17T14:38:29"/>
        <d v="2012-05-17T18:36:08"/>
        <d v="2012-05-17T18:43:34"/>
        <d v="2012-05-24T18:36:26"/>
        <d v="2012-05-25T21:52:41"/>
        <d v="2012-05-28T20:38:16"/>
        <d v="2012-06-01T16:20:32"/>
        <d v="2012-06-01T17:12:39"/>
        <d v="2012-06-03T11:47:21"/>
        <d v="2012-06-04T12:08:13"/>
        <d v="2012-06-04T19:28:52"/>
        <d v="2012-06-05T11:02:12"/>
        <d v="2012-06-05T12:14:58"/>
        <d v="2012-06-06T00:47:43"/>
        <d v="2012-06-06T01:00:45"/>
        <d v="2012-06-20T23:17:08"/>
      </sharedItems>
      <fieldGroup par="7" base="2">
        <rangePr autoStart="0" autoEnd="0" groupBy="months" startDate="2011-09-19T02:59:41" endDate="2012-06-25T23:17:08"/>
        <groupItems count="14">
          <s v="&lt;9/19/1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25/12"/>
        </groupItems>
      </fieldGroup>
    </cacheField>
    <cacheField name="merge" numFmtId="0">
      <sharedItems containsString="0" containsBlank="1" containsNumber="1" containsInteger="1" minValue="1" maxValue="1"/>
    </cacheField>
    <cacheField name="bF" numFmtId="0">
      <sharedItems containsString="0" containsBlank="1" containsNumber="1" containsInteger="1" minValue="1" maxValue="1"/>
    </cacheField>
    <cacheField name="TF" numFmtId="0">
      <sharedItems containsString="0" containsBlank="1" containsNumber="1" containsInteger="1" minValue="1" maxValue="1"/>
    </cacheField>
    <cacheField name="TotalC" numFmtId="0">
      <sharedItems containsString="0" containsBlank="1" containsNumber="1" containsInteger="1" minValue="0" maxValue="2"/>
    </cacheField>
    <cacheField name="Years" numFmtId="0" databaseField="0">
      <fieldGroup base="2">
        <rangePr autoStart="0" autoEnd="0" groupBy="years" startDate="2011-09-19T02:59:41" endDate="2012-06-25T23:17:08"/>
        <groupItems count="4">
          <s v="&lt;9/19/11"/>
          <s v="2011"/>
          <s v="2012"/>
          <s v="&gt;6/2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r:id="rId1" refreshedBy="Bakhtiar Khan Kasi" refreshedDate="41137.932771643522" createdVersion="4" refreshedVersion="4" minRefreshableVersion="3" recordCount="505">
  <cacheSource type="worksheet">
    <worksheetSource ref="A4:E509" sheet="jenk'spivot2"/>
  </cacheSource>
  <cacheFields count="6">
    <cacheField name="ChangeSet" numFmtId="0">
      <sharedItems/>
    </cacheField>
    <cacheField name="Date" numFmtId="164">
      <sharedItems containsSemiMixedTypes="0" containsNonDate="0" containsDate="1" containsString="0" minDate="2009-03-26T00:52:28" maxDate="2012-06-19T18:51:27" count="498">
        <d v="2009-03-26T00:52:28"/>
        <d v="2009-04-02T02:43:49"/>
        <d v="2009-04-08T15:47:29"/>
        <d v="2009-04-15T21:04:25"/>
        <d v="2009-04-22T21:11:42"/>
        <d v="2009-04-29T16:57:38"/>
        <d v="2009-05-07T01:35:53"/>
        <d v="2009-05-13T22:15:24"/>
        <d v="2009-10-14T19:56:55"/>
        <d v="2010-02-03T18:21:55"/>
        <d v="2010-04-14T00:48:48"/>
        <d v="2010-05-05T20:19:13"/>
        <d v="2010-09-23T22:55:57"/>
        <d v="2010-11-17T23:06:06"/>
        <d v="2010-11-22T18:03:34"/>
        <d v="2010-11-25T06:55:07"/>
        <d v="2010-11-25T08:05:16"/>
        <d v="2010-11-27T09:02:27"/>
        <d v="2010-12-02T22:24:49"/>
        <d v="2010-12-05T07:20:32"/>
        <d v="2010-12-05T22:41:18"/>
        <d v="2010-12-06T21:23:20"/>
        <d v="2010-12-07T15:19:31"/>
        <d v="2010-12-10T12:56:27"/>
        <d v="2010-12-10T13:18:51"/>
        <d v="2010-12-11T22:07:29"/>
        <d v="2010-12-12T01:29:54"/>
        <d v="2010-12-13T14:19:26"/>
        <d v="2010-12-15T21:07:11"/>
        <d v="2010-12-16T20:43:08"/>
        <d v="2010-12-18T01:28:35"/>
        <d v="2010-12-23T19:45:57"/>
        <d v="2010-12-24T22:05:39"/>
        <d v="2010-12-24T22:19:10"/>
        <d v="2010-12-24T22:20:38"/>
        <d v="2010-12-26T10:26:17"/>
        <d v="2010-12-26T10:30:20"/>
        <d v="2010-12-28T23:51:12"/>
        <d v="2011-01-01T01:44:54"/>
        <d v="2011-01-06T13:06:35"/>
        <d v="2011-01-06T15:59:39"/>
        <d v="2011-01-06T21:35:10"/>
        <d v="2011-01-09T18:09:12"/>
        <d v="2011-01-10T21:21:14"/>
        <d v="2011-01-11T10:59:52"/>
        <d v="2011-01-11T14:01:27"/>
        <d v="2011-01-11T14:28:17"/>
        <d v="2011-01-12T18:53:31"/>
        <d v="2011-01-12T21:47:34"/>
        <d v="2011-01-13T20:59:59"/>
        <d v="2011-01-13T21:00:45"/>
        <d v="2011-01-15T21:18:19"/>
        <d v="2011-01-21T14:52:24"/>
        <d v="2011-01-21T23:35:23"/>
        <d v="2011-01-30T13:52:10"/>
        <d v="2011-01-31T10:06:00"/>
        <d v="2011-01-31T12:59:07"/>
        <d v="2011-01-31T19:14:45"/>
        <d v="2011-01-31T20:59:01"/>
        <d v="2011-02-01T11:30:58"/>
        <d v="2011-02-02T12:11:33"/>
        <d v="2011-02-04T10:43:30"/>
        <d v="2011-02-04T11:45:59"/>
        <d v="2011-02-04T12:50:19"/>
        <d v="2011-02-04T18:32:13"/>
        <d v="2011-02-04T20:10:02"/>
        <d v="2011-02-04T20:34:09"/>
        <d v="2011-02-04T21:28:01"/>
        <d v="2011-02-04T21:36:25"/>
        <d v="2011-02-04T22:34:26"/>
        <d v="2011-02-06T20:54:02"/>
        <d v="2011-02-07T10:25:43"/>
        <d v="2011-02-08T01:37:46"/>
        <d v="2011-02-08T11:37:46"/>
        <d v="2011-02-08T11:41:02"/>
        <d v="2011-02-08T11:46:17"/>
        <d v="2011-02-08T11:46:32"/>
        <d v="2011-02-08T11:47:58"/>
        <d v="2011-02-08T11:55:08"/>
        <d v="2011-02-10T00:08:18"/>
        <d v="2011-02-11T14:54:05"/>
        <d v="2011-02-11T20:42:56"/>
        <d v="2011-02-11T20:54:29"/>
        <d v="2011-02-11T22:16:50"/>
        <d v="2011-02-12T08:00:07"/>
        <d v="2011-02-12T10:09:45"/>
        <d v="2011-02-12T10:13:29"/>
        <d v="2011-02-12T19:31:37"/>
        <d v="2011-02-14T10:23:08"/>
        <d v="2011-02-15T16:38:50"/>
        <d v="2011-02-19T17:16:58"/>
        <d v="2011-02-20T22:35:04"/>
        <d v="2011-02-20T22:38:21"/>
        <d v="2011-02-24T20:40:38"/>
        <d v="2011-02-24T20:44:42"/>
        <d v="2011-02-27T19:48:01"/>
        <d v="2011-03-07T00:53:09"/>
        <d v="2011-03-10T22:29:41"/>
        <d v="2011-03-11T11:50:57"/>
        <d v="2011-03-13T20:58:35"/>
        <d v="2011-03-13T21:54:04"/>
        <d v="2011-03-14T13:26:11"/>
        <d v="2011-03-14T15:41:42"/>
        <d v="2011-03-14T18:10:00"/>
        <d v="2011-03-14T19:27:27"/>
        <d v="2011-03-14T21:25:53"/>
        <d v="2011-03-17T22:27:13"/>
        <d v="2011-03-17T23:09:14"/>
        <d v="2011-03-17T23:47:23"/>
        <d v="2011-03-18T17:13:54"/>
        <d v="2011-03-18T20:10:32"/>
        <d v="2011-03-18T22:18:06"/>
        <d v="2011-03-19T13:57:37"/>
        <d v="2011-03-21T13:55:42"/>
        <d v="2011-03-22T17:06:23"/>
        <d v="2011-03-24T23:43:23"/>
        <d v="2011-03-27T21:45:13"/>
        <d v="2011-03-27T23:32:47"/>
        <d v="2011-03-28T14:13:08"/>
        <d v="2011-03-28T14:32:50"/>
        <d v="2011-03-29T10:22:55"/>
        <d v="2011-03-30T10:00:10"/>
        <d v="2011-03-30T10:09:46"/>
        <d v="2011-03-30T14:33:04"/>
        <d v="2011-03-30T17:22:33"/>
        <d v="2011-03-30T17:22:55"/>
        <d v="2011-03-31T09:57:32"/>
        <d v="2011-03-31T10:00:01"/>
        <d v="2011-03-31T16:35:05"/>
        <d v="2011-03-31T18:58:25"/>
        <d v="2011-03-31T19:00:00"/>
        <d v="2011-03-31T19:02:05"/>
        <d v="2011-03-31T22:50:14"/>
        <d v="2011-04-01T15:13:56"/>
        <d v="2011-04-02T06:32:45"/>
        <d v="2011-04-02T08:14:01"/>
        <d v="2011-04-04T09:51:36"/>
        <d v="2011-04-11T09:24:17"/>
        <d v="2011-04-13T09:15:28"/>
        <d v="2011-04-15T20:11:10"/>
        <d v="2011-04-15T21:59:30"/>
        <d v="2011-04-15T22:27:33"/>
        <d v="2011-04-15T22:58:51"/>
        <d v="2011-04-18T13:16:57"/>
        <d v="2011-04-18T13:25:16"/>
        <d v="2011-04-18T13:28:37"/>
        <d v="2011-04-18T13:30:02"/>
        <d v="2011-04-18T21:49:56"/>
        <d v="2011-04-18T22:02:14"/>
        <d v="2011-04-18T22:35:22"/>
        <d v="2011-04-19T11:39:22"/>
        <d v="2011-04-20T07:45:24"/>
        <d v="2011-04-21T15:21:21"/>
        <d v="2011-04-22T12:56:49"/>
        <d v="2011-04-22T19:29:07"/>
        <d v="2011-04-25T12:20:53"/>
        <d v="2011-04-25T23:15:02"/>
        <d v="2011-04-28T18:03:42"/>
        <d v="2011-04-28T21:36:21"/>
        <d v="2011-04-28T22:25:45"/>
        <d v="2011-04-28T22:36:18"/>
        <d v="2011-04-29T01:12:28"/>
        <d v="2011-04-29T10:15:24"/>
        <d v="2011-05-01T15:15:11"/>
        <d v="2011-05-01T15:57:47"/>
        <d v="2011-05-02T16:53:29"/>
        <d v="2011-05-03T16:50:53"/>
        <d v="2011-05-03T16:56:50"/>
        <d v="2011-05-03T17:13:38"/>
        <d v="2011-05-05T05:57:45"/>
        <d v="2011-05-05T09:52:54"/>
        <d v="2011-05-05T19:26:23"/>
        <d v="2011-05-07T08:43:52"/>
        <d v="2011-05-09T16:45:55"/>
        <d v="2011-05-10T10:41:21"/>
        <d v="2011-05-10T11:39:52"/>
        <d v="2011-05-10T18:34:44"/>
        <d v="2011-05-12T10:01:49"/>
        <d v="2011-05-13T14:25:15"/>
        <d v="2011-05-13T15:05:49"/>
        <d v="2011-05-16T09:57:12"/>
        <d v="2011-05-16T14:59:50"/>
        <d v="2011-05-16T15:31:04"/>
        <d v="2011-05-18T18:20:13"/>
        <d v="2011-05-19T10:19:51"/>
        <d v="2011-05-19T16:53:56"/>
        <d v="2011-05-19T17:05:49"/>
        <d v="2011-05-20T09:18:54"/>
        <d v="2011-05-22T22:06:19"/>
        <d v="2011-05-22T23:31:18"/>
        <d v="2011-05-23T09:37:44"/>
        <d v="2011-05-23T11:20:49"/>
        <d v="2011-05-24T10:50:09"/>
        <d v="2011-05-28T16:02:22"/>
        <d v="2011-05-28T17:44:48"/>
        <d v="2011-05-31T04:53:38"/>
        <d v="2011-05-31T05:24:01"/>
        <d v="2011-05-31T05:46:21"/>
        <d v="2011-05-31T10:06:18"/>
        <d v="2011-05-31T15:10:23"/>
        <d v="2011-06-01T23:20:15"/>
        <d v="2011-06-02T16:28:31"/>
        <d v="2011-06-02T22:51:22"/>
        <d v="2011-06-03T15:34:03"/>
        <d v="2011-06-04T03:10:16"/>
        <d v="2011-06-04T10:37:20"/>
        <d v="2011-06-04T11:24:56"/>
        <d v="2011-06-05T16:15:43"/>
        <d v="2011-06-06T00:14:41"/>
        <d v="2011-06-06T22:22:50"/>
        <d v="2011-06-07T09:06:54"/>
        <d v="2011-06-07T10:29:07"/>
        <d v="2011-06-07T14:57:26"/>
        <d v="2011-06-07T17:16:44"/>
        <d v="2011-06-08T11:05:18"/>
        <d v="2011-06-12T22:07:48"/>
        <d v="2011-06-13T06:30:54"/>
        <d v="2011-06-13T09:22:36"/>
        <d v="2011-06-13T22:26:29"/>
        <d v="2011-06-14T01:30:09"/>
        <d v="2011-06-14T12:41:20"/>
        <d v="2011-06-14T17:45:17"/>
        <d v="2011-06-17T00:12:49"/>
        <d v="2011-06-17T13:49:10"/>
        <d v="2011-06-17T21:53:13"/>
        <d v="2011-06-17T23:19:56"/>
        <d v="2011-06-18T09:28:26"/>
        <d v="2011-06-19T23:08:11"/>
        <d v="2011-06-20T11:08:12"/>
        <d v="2011-06-20T17:55:33"/>
        <d v="2011-06-21T01:34:05"/>
        <d v="2011-06-21T14:36:02"/>
        <d v="2011-06-21T16:22:09"/>
        <d v="2011-06-21T17:02:31"/>
        <d v="2011-06-23T11:09:40"/>
        <d v="2011-06-24T22:03:44"/>
        <d v="2011-06-27T10:01:13"/>
        <d v="2011-06-29T16:06:47"/>
        <d v="2011-07-02T12:50:27"/>
        <d v="2011-07-04T13:20:12"/>
        <d v="2011-07-05T09:20:30"/>
        <d v="2011-07-05T10:35:34"/>
        <d v="2011-07-05T11:49:15"/>
        <d v="2011-07-05T12:26:03"/>
        <d v="2011-07-05T19:03:08"/>
        <d v="2011-07-08T21:55:26"/>
        <d v="2011-07-12T00:25:10"/>
        <d v="2011-07-17T12:07:12"/>
        <d v="2011-07-18T00:56:54"/>
        <d v="2011-07-24T00:26:43"/>
        <d v="2011-07-25T12:56:51"/>
        <d v="2011-07-25T13:59:26"/>
        <d v="2011-07-25T18:16:51"/>
        <d v="2011-07-27T22:26:32"/>
        <d v="2011-07-29T23:56:53"/>
        <d v="2011-08-01T19:37:01"/>
        <d v="2011-08-01T19:53:33"/>
        <d v="2011-08-03T06:20:27"/>
        <d v="2011-08-08T10:56:11"/>
        <d v="2011-08-08T14:42:00"/>
        <d v="2011-08-09T15:21:45"/>
        <d v="2011-08-13T20:52:10"/>
        <d v="2011-08-15T21:30:31"/>
        <d v="2011-08-17T20:39:48"/>
        <d v="2011-08-19T10:28:15"/>
        <d v="2011-08-24T09:24:28"/>
        <d v="2011-08-24T10:17:18"/>
        <d v="2011-08-27T00:22:40"/>
        <d v="2011-08-29T10:31:15"/>
        <d v="2011-08-29T10:31:17"/>
        <d v="2011-08-29T11:50:54"/>
        <d v="2011-08-29T15:42:06"/>
        <d v="2011-08-31T20:02:07"/>
        <d v="2011-09-05T08:53:46"/>
        <d v="2011-09-05T22:12:01"/>
        <d v="2011-09-06T00:31:55"/>
        <d v="2011-09-06T13:35:38"/>
        <d v="2011-09-06T20:24:04"/>
        <d v="2011-09-06T23:13:35"/>
        <d v="2011-09-07T01:24:55"/>
        <d v="2011-09-08T17:49:30"/>
        <d v="2011-09-11T16:12:09"/>
        <d v="2011-09-11T19:45:40"/>
        <d v="2011-09-15T07:52:13"/>
        <d v="2011-09-20T01:04:08"/>
        <d v="2011-09-20T02:36:38"/>
        <d v="2011-09-21T15:42:00"/>
        <d v="2011-09-22T14:44:58"/>
        <d v="2011-09-22T19:36:17"/>
        <d v="2011-09-23T11:59:07"/>
        <d v="2011-09-23T15:36:47"/>
        <d v="2011-09-23T22:06:48"/>
        <d v="2011-09-23T23:36:25"/>
        <d v="2011-09-26T09:21:01"/>
        <d v="2011-09-26T11:03:51"/>
        <d v="2011-09-26T16:21:04"/>
        <d v="2011-09-26T21:41:17"/>
        <d v="2011-09-27T11:23:25"/>
        <d v="2011-09-28T15:20:26"/>
        <d v="2011-09-28T17:26:20"/>
        <d v="2011-09-28T21:01:38"/>
        <d v="2011-09-29T00:31:46"/>
        <d v="2011-09-29T05:36:04"/>
        <d v="2011-09-30T09:24:05"/>
        <d v="2011-09-30T10:14:27"/>
        <d v="2011-09-30T10:46:57"/>
        <d v="2011-09-30T12:25:25"/>
        <d v="2011-10-01T20:51:02"/>
        <d v="2011-10-02T21:55:57"/>
        <d v="2011-10-05T12:04:16"/>
        <d v="2011-10-05T13:53:59"/>
        <d v="2011-10-07T14:09:54"/>
        <d v="2011-10-10T06:30:14"/>
        <d v="2011-10-11T21:11:58"/>
        <d v="2011-10-12T11:04:00"/>
        <d v="2011-10-13T01:40:20"/>
        <d v="2011-10-13T01:42:29"/>
        <d v="2011-10-16T23:21:03"/>
        <d v="2011-10-19T16:37:22"/>
        <d v="2011-10-20T10:27:28"/>
        <d v="2011-10-20T16:45:56"/>
        <d v="2011-10-20T21:49:51"/>
        <d v="2011-10-21T11:31:27"/>
        <d v="2011-10-23T22:42:29"/>
        <d v="2011-10-24T08:01:16"/>
        <d v="2011-10-24T22:38:40"/>
        <d v="2011-10-25T14:16:32"/>
        <d v="2011-10-26T23:43:51"/>
        <d v="2011-10-28T23:02:12"/>
        <d v="2011-10-29T14:52:44"/>
        <d v="2011-10-30T11:53:31"/>
        <d v="2011-10-31T09:32:37"/>
        <d v="2011-11-07T14:33:07"/>
        <d v="2011-11-07T15:30:02"/>
        <d v="2011-11-09T13:06:33"/>
        <d v="2011-11-10T13:06:33"/>
        <d v="2011-11-11T13:06:33"/>
        <d v="2011-11-12T13:06:33"/>
        <d v="2011-11-12T17:28:02"/>
        <d v="2011-11-13T13:06:33"/>
        <d v="2011-11-14T13:06:33"/>
        <d v="2011-11-14T17:48:52"/>
        <d v="2011-11-15T13:06:33"/>
        <d v="2011-11-17T22:12:02"/>
        <d v="2011-11-18T15:31:50"/>
        <d v="2011-11-23T15:59:18"/>
        <d v="2011-11-25T11:32:59"/>
        <d v="2011-11-27T19:20:45"/>
        <d v="2011-11-27T21:40:37"/>
        <d v="2011-11-28T17:01:22"/>
        <d v="2011-12-03T19:31:23"/>
        <d v="2011-12-04T01:57:38"/>
        <d v="2011-12-05T10:25:22"/>
        <d v="2011-12-05T10:54:32"/>
        <d v="2011-12-12T11:35:40"/>
        <d v="2011-12-13T08:38:47"/>
        <d v="2011-12-14T20:38:55"/>
        <d v="2011-12-15T17:49:29"/>
        <d v="2011-12-15T17:51:25"/>
        <d v="2011-12-19T13:01:12"/>
        <d v="2011-12-21T09:53:32"/>
        <d v="2011-12-23T17:18:07"/>
        <d v="2011-12-26T10:40:55"/>
        <d v="2011-12-28T12:00:03"/>
        <d v="2011-12-29T23:15:31"/>
        <d v="2011-12-30T15:27:34"/>
        <d v="2011-12-30T19:13:52"/>
        <d v="2011-12-31T10:36:21"/>
        <d v="2012-01-02T19:25:34"/>
        <d v="2012-01-03T20:44:16"/>
        <d v="2012-01-07T01:05:12"/>
        <d v="2012-01-09T15:34:31"/>
        <d v="2012-01-12T15:36:41"/>
        <d v="2012-01-15T10:55:55"/>
        <d v="2012-01-16T06:30:00"/>
        <d v="2012-01-17T09:53:14"/>
        <d v="2012-01-18T17:31:01"/>
        <d v="2012-01-20T22:36:41"/>
        <d v="2012-01-23T15:36:15"/>
        <d v="2012-01-25T14:13:32"/>
        <d v="2012-01-25T23:01:06"/>
        <d v="2012-01-25T23:35:07"/>
        <d v="2012-01-27T11:06:48"/>
        <d v="2012-01-29T03:49:41"/>
        <d v="2012-01-29T17:23:05"/>
        <d v="2012-01-30T06:51:45"/>
        <d v="2012-01-30T17:00:13"/>
        <d v="2012-01-30T17:36:37"/>
        <d v="2012-02-06T14:47:48"/>
        <d v="2012-02-08T08:03:59"/>
        <d v="2012-02-13T11:33:19"/>
        <d v="2012-02-16T13:28:07"/>
        <d v="2012-02-17T12:28:57"/>
        <d v="2012-02-18T15:57:16"/>
        <d v="2012-02-19T10:09:17"/>
        <d v="2012-02-20T17:43:09"/>
        <d v="2012-02-20T19:52:35"/>
        <d v="2012-02-21T22:40:32"/>
        <d v="2012-02-22T09:05:51"/>
        <d v="2012-02-23T01:28:14"/>
        <d v="2012-02-24T16:44:57"/>
        <d v="2012-02-27T09:21:24"/>
        <d v="2012-02-28T20:26:16"/>
        <d v="2012-02-29T18:44:46"/>
        <d v="2012-03-01T22:16:15"/>
        <d v="2012-03-01T22:48:53"/>
        <d v="2012-03-02T16:56:03"/>
        <d v="2012-03-02T17:21:23"/>
        <d v="2012-03-03T11:27:27"/>
        <d v="2012-03-05T13:37:45"/>
        <d v="2012-03-05T16:18:06"/>
        <d v="2012-03-05T19:52:11"/>
        <d v="2012-03-12T10:19:57"/>
        <d v="2012-03-13T10:30:51"/>
        <d v="2012-03-14T00:38:12"/>
        <d v="2012-03-14T12:36:59"/>
        <d v="2012-03-15T18:42:40"/>
        <d v="2012-03-19T09:35:13"/>
        <d v="2012-03-21T20:05:21"/>
        <d v="2012-03-22T19:40:01"/>
        <d v="2012-03-26T12:18:51"/>
        <d v="2012-03-26T15:35:29"/>
        <d v="2012-03-27T18:57:28"/>
        <d v="2012-03-29T08:28:08"/>
        <d v="2012-03-29T09:50:11"/>
        <d v="2012-03-31T23:20:18"/>
        <d v="2012-04-01T21:11:22"/>
        <d v="2012-04-02T11:59:08"/>
        <d v="2012-04-06T14:01:03"/>
        <d v="2012-04-08T03:05:12"/>
        <d v="2012-04-09T09:34:22"/>
        <d v="2012-04-10T21:20:42"/>
        <d v="2012-04-12T22:46:35"/>
        <d v="2012-04-14T12:47:41"/>
        <d v="2012-04-14T21:40:45"/>
        <d v="2012-04-14T22:52:02"/>
        <d v="2012-04-16T12:45:46"/>
        <d v="2012-04-16T12:47:00"/>
        <d v="2012-04-16T12:47:36"/>
        <d v="2012-04-16T12:48:05"/>
        <d v="2012-04-16T21:14:35"/>
        <d v="2012-04-19T01:08:01"/>
        <d v="2012-04-19T13:28:26"/>
        <d v="2012-04-21T11:28:31"/>
        <d v="2012-04-23T15:32:32"/>
        <d v="2012-04-24T10:19:30"/>
        <d v="2012-04-25T09:35:28"/>
        <d v="2012-04-25T15:16:57"/>
        <d v="2012-04-25T21:52:49"/>
        <d v="2012-04-25T22:57:49"/>
        <d v="2012-04-30T10:49:55"/>
        <d v="2012-04-30T12:30:45"/>
        <d v="2012-05-01T09:43:50"/>
        <d v="2012-05-01T11:42:24"/>
        <d v="2012-05-03T16:21:28"/>
        <d v="2012-05-05T18:53:59"/>
        <d v="2012-05-06T18:20:20"/>
        <d v="2012-05-07T10:56:28"/>
        <d v="2012-05-07T13:42:04"/>
        <d v="2012-05-07T17:29:53"/>
        <d v="2012-05-07T18:37:26"/>
        <d v="2012-05-14T11:36:40"/>
        <d v="2012-05-14T11:36:43"/>
        <d v="2012-05-15T14:19:46"/>
        <d v="2012-05-17T10:57:53"/>
        <d v="2012-05-18T11:52:26"/>
        <d v="2012-05-21T14:18:53"/>
        <d v="2012-05-21T15:55:13"/>
        <d v="2012-05-21T18:04:16"/>
        <d v="2012-05-22T12:32:33"/>
        <d v="2012-05-22T13:15:28"/>
        <d v="2012-05-22T16:51:30"/>
        <d v="2012-05-23T17:22:08"/>
        <d v="2012-05-23T20:11:58"/>
        <d v="2012-05-24T19:59:40"/>
        <d v="2012-05-28T19:48:35"/>
        <d v="2012-05-29T11:43:38"/>
        <d v="2012-05-29T19:26:43"/>
        <d v="2012-05-30T14:23:12"/>
        <d v="2012-05-31T11:21:10"/>
        <d v="2012-05-31T12:40:58"/>
        <d v="2012-06-04T11:24:00"/>
        <d v="2012-06-04T14:47:05"/>
        <d v="2012-06-04T21:40:47"/>
        <d v="2012-06-05T15:23:09"/>
        <d v="2012-06-05T17:20:41"/>
        <d v="2012-06-05T20:30:58"/>
        <d v="2012-06-11T10:00:23"/>
        <d v="2012-06-11T11:37:46"/>
        <d v="2012-06-11T15:21:57"/>
        <d v="2012-06-11T23:16:17"/>
        <d v="2012-06-13T09:20:46"/>
        <d v="2012-06-13T13:17:19"/>
        <d v="2012-06-13T17:44:52"/>
        <d v="2012-06-18T22:31:16"/>
        <d v="2012-06-18T23:26:14"/>
        <d v="2012-06-19T13:54:13"/>
        <d v="2012-06-19T18:51:27"/>
      </sharedItems>
      <fieldGroup par="5" base="1">
        <rangePr autoStart="0" autoEnd="0" groupBy="months" startDate="2009-03-19T00:52:28" endDate="2012-06-25T18:51:27"/>
        <groupItems count="14">
          <s v="&lt;3/19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25/12"/>
        </groupItems>
      </fieldGroup>
    </cacheField>
    <cacheField name="Devs" numFmtId="0">
      <sharedItems containsSemiMixedTypes="0" containsString="0" containsNumber="1" containsInteger="1" minValue="2" maxValue="2" count="1">
        <n v="2"/>
      </sharedItems>
    </cacheField>
    <cacheField name="noofchang" numFmtId="0">
      <sharedItems containsSemiMixedTypes="0" containsString="0" containsNumber="1" containsInteger="1" minValue="2" maxValue="2"/>
    </cacheField>
    <cacheField name="Conf's" numFmtId="0">
      <sharedItems containsSemiMixedTypes="0" containsString="0" containsNumber="1" containsInteger="1" minValue="0" maxValue="2"/>
    </cacheField>
    <cacheField name="Years" numFmtId="0" databaseField="0">
      <fieldGroup base="1">
        <rangePr autoStart="0" autoEnd="0" groupBy="years" startDate="2009-03-19T00:52:28" endDate="2012-06-25T18:51:27"/>
        <groupItems count="6">
          <s v="&lt;3/19/09"/>
          <s v="2009"/>
          <s v="2010"/>
          <s v="2011"/>
          <s v="2012"/>
          <s v="&gt;6/2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9">
  <r>
    <x v="0"/>
    <d v="2011-03-14T21:25:53"/>
    <s v="3e0b5a6"/>
    <n v="1"/>
    <n v="7"/>
  </r>
  <r>
    <x v="1"/>
    <d v="2011-03-13T15:21:27"/>
    <s v="5e3000f"/>
    <n v="1"/>
    <n v="2"/>
  </r>
  <r>
    <x v="1"/>
    <d v="2011-03-18T14:07:50"/>
    <s v="3f81160"/>
    <n v="2"/>
    <n v="18"/>
  </r>
  <r>
    <x v="1"/>
    <d v="2011-04-21T12:48:09"/>
    <s v="f28409e"/>
    <n v="3"/>
    <n v="4"/>
  </r>
  <r>
    <x v="1"/>
    <d v="2011-05-19T16:53:56"/>
    <s v="0667a43"/>
    <n v="4"/>
    <n v="2"/>
  </r>
  <r>
    <x v="1"/>
    <d v="2011-05-19T17:05:49"/>
    <s v="ee8de0f"/>
    <n v="5"/>
    <n v="2"/>
  </r>
  <r>
    <x v="1"/>
    <d v="2011-05-19T17:07:37"/>
    <s v="d7dcb96"/>
    <n v="6"/>
    <n v="2"/>
  </r>
  <r>
    <x v="1"/>
    <d v="2011-05-23T11:20:49"/>
    <s v="c0628ee"/>
    <n v="7"/>
    <n v="5"/>
  </r>
  <r>
    <x v="1"/>
    <d v="2011-06-14T17:45:17"/>
    <s v="2b14fe3"/>
    <n v="8"/>
    <n v="2"/>
  </r>
  <r>
    <x v="2"/>
    <d v="2011-06-13T06:30:54"/>
    <s v="06770c3"/>
    <n v="1"/>
    <n v="2"/>
  </r>
  <r>
    <x v="3"/>
    <d v="2011-05-22T23:31:18"/>
    <s v="073734f"/>
    <n v="1"/>
    <n v="2"/>
  </r>
  <r>
    <x v="4"/>
    <d v="2011-05-22T23:31:18"/>
    <s v="0cfbe3f"/>
    <n v="1"/>
    <n v="2"/>
  </r>
  <r>
    <x v="4"/>
    <d v="2011-05-28T12:13:30"/>
    <s v="3c88fc5"/>
    <n v="2"/>
    <n v="2"/>
  </r>
  <r>
    <x v="4"/>
    <d v="2011-05-28T16:56:31"/>
    <s v="be03ace"/>
    <n v="3"/>
    <n v="6"/>
  </r>
  <r>
    <x v="4"/>
    <d v="2011-05-28T12:38:38"/>
    <n v="8714352"/>
    <n v="4"/>
    <n v="2"/>
  </r>
  <r>
    <x v="4"/>
    <d v="2011-05-31T10:06:18"/>
    <s v="fe30ad8"/>
    <n v="5"/>
    <n v="7"/>
  </r>
  <r>
    <x v="4"/>
    <d v="2011-06-01T23:20:15"/>
    <n v="454682"/>
    <n v="6"/>
    <n v="0"/>
  </r>
  <r>
    <x v="4"/>
    <d v="2011-06-23T11:09:40"/>
    <s v="34e8a40"/>
    <n v="7"/>
    <n v="2"/>
  </r>
  <r>
    <x v="5"/>
    <d v="2011-04-10T14:29:55"/>
    <s v="5cbe179"/>
    <n v="1"/>
    <n v="3"/>
  </r>
  <r>
    <x v="5"/>
    <d v="2011-05-18T18:20:13"/>
    <s v="1ead9d3"/>
    <n v="2"/>
    <n v="2"/>
  </r>
  <r>
    <x v="5"/>
    <d v="2011-05-14T17:20:33"/>
    <s v="8578e58"/>
    <n v="3"/>
    <n v="10"/>
  </r>
  <r>
    <x v="5"/>
    <d v="2011-05-21T14:41:25"/>
    <s v="c4d9fe8"/>
    <n v="4"/>
    <n v="3"/>
  </r>
  <r>
    <x v="5"/>
    <d v="2011-06-03T20:28:26"/>
    <s v="495779d"/>
    <n v="5"/>
    <n v="2"/>
  </r>
  <r>
    <x v="6"/>
    <d v="2011-05-03T16:20:25"/>
    <s v="c565c56"/>
    <n v="1"/>
    <n v="2"/>
  </r>
  <r>
    <x v="7"/>
    <d v="2011-05-13T15:05:49"/>
    <s v="f10b5eb"/>
    <n v="1"/>
    <n v="3"/>
  </r>
  <r>
    <x v="8"/>
    <d v="2011-03-14T15:41:42"/>
    <s v="836fc8b"/>
    <n v="1"/>
    <n v="2"/>
  </r>
  <r>
    <x v="8"/>
    <d v="2011-05-22T21:10:37"/>
    <s v="819c852"/>
    <n v="2"/>
    <n v="2"/>
  </r>
  <r>
    <x v="8"/>
    <d v="2011-06-02T16:28:31"/>
    <s v="d5b8cf4"/>
    <n v="3"/>
    <n v="4"/>
  </r>
  <r>
    <x v="8"/>
    <d v="2011-06-24T22:03:44"/>
    <s v="89bd7cd"/>
    <n v="4"/>
    <n v="2"/>
  </r>
  <r>
    <x v="9"/>
    <d v="2011-05-17T01:28:29"/>
    <s v="70da17e"/>
    <n v="1"/>
    <n v="2"/>
  </r>
  <r>
    <x v="10"/>
    <d v="2011-06-22T05:00:27"/>
    <s v="591cbfd"/>
    <n v="1"/>
    <n v="3"/>
  </r>
  <r>
    <x v="11"/>
    <d v="2011-05-28T17:44:48"/>
    <s v="84a78d5"/>
    <n v="1"/>
    <n v="5"/>
  </r>
  <r>
    <x v="12"/>
    <d v="2011-06-05T13:09:46"/>
    <s v="e4a846d"/>
    <n v="1"/>
    <n v="2"/>
  </r>
  <r>
    <x v="13"/>
    <d v="2011-04-28T21:36:21"/>
    <s v="0d3e461"/>
    <n v="1"/>
    <n v="2"/>
  </r>
  <r>
    <x v="14"/>
    <d v="2011-03-27T23:32:47"/>
    <s v="8403e8e"/>
    <n v="1"/>
    <n v="15"/>
  </r>
  <r>
    <x v="14"/>
    <d v="2011-03-27T23:32:47"/>
    <s v="e9992be"/>
    <n v="2"/>
    <n v="15"/>
  </r>
  <r>
    <x v="14"/>
    <d v="2011-03-31T01:40:02"/>
    <s v="821bf00"/>
    <n v="3"/>
    <n v="3"/>
  </r>
  <r>
    <x v="14"/>
    <d v="2011-04-01T00:41:22"/>
    <s v="54d9840"/>
    <n v="4"/>
    <n v="2"/>
  </r>
  <r>
    <x v="14"/>
    <d v="2011-04-14T03:14:10"/>
    <s v="3755b4c"/>
    <n v="5"/>
    <n v="17"/>
  </r>
  <r>
    <x v="14"/>
    <d v="2011-04-20T00:47:21"/>
    <s v="831e746"/>
    <n v="6"/>
    <n v="5"/>
  </r>
  <r>
    <x v="14"/>
    <d v="2011-05-01T07:01:13"/>
    <s v="ba41484"/>
    <n v="7"/>
    <n v="2"/>
  </r>
  <r>
    <x v="14"/>
    <d v="2011-05-01T15:57:47"/>
    <s v="80c9fe8"/>
    <n v="8"/>
    <n v="2"/>
  </r>
  <r>
    <x v="14"/>
    <d v="2011-05-10T03:23:30"/>
    <s v="825dc6d"/>
    <n v="9"/>
    <n v="15"/>
  </r>
  <r>
    <x v="15"/>
    <d v="2011-04-26T11:46:25"/>
    <s v="7b15c23"/>
    <n v="1"/>
    <n v="2"/>
  </r>
  <r>
    <x v="15"/>
    <d v="2011-06-09T15:43:28"/>
    <s v="17a835d"/>
    <n v="2"/>
    <n v="2"/>
  </r>
  <r>
    <x v="15"/>
    <d v="2011-06-13T20:48:51"/>
    <s v="985f378"/>
    <n v="3"/>
    <n v="3"/>
  </r>
  <r>
    <x v="16"/>
    <d v="2011-06-06T23:05:24"/>
    <s v="8ce6893"/>
    <n v="1"/>
    <n v="2"/>
  </r>
  <r>
    <x v="16"/>
    <d v="2011-06-20T13:09:38"/>
    <s v="6be5275"/>
    <n v="2"/>
    <n v="2"/>
  </r>
  <r>
    <x v="17"/>
    <d v="2011-06-13T22:26:29"/>
    <s v="2cd6960"/>
    <n v="1"/>
    <n v="2"/>
  </r>
  <r>
    <x v="18"/>
    <d v="2011-03-14T13:26:11"/>
    <s v="c3fc099"/>
    <n v="1"/>
    <n v="7"/>
  </r>
  <r>
    <x v="18"/>
    <d v="2011-03-14T18:10:00"/>
    <s v="803d111"/>
    <n v="2"/>
    <n v="2"/>
  </r>
  <r>
    <x v="18"/>
    <d v="2011-03-17T23:09:14"/>
    <s v="9e788b4"/>
    <n v="3"/>
    <n v="2"/>
  </r>
  <r>
    <x v="18"/>
    <d v="2011-03-18T17:13:54"/>
    <s v="dfead9c"/>
    <n v="4"/>
    <n v="2"/>
  </r>
  <r>
    <x v="18"/>
    <d v="2011-03-18T22:18:06"/>
    <s v="c21918d"/>
    <n v="5"/>
    <n v="5"/>
  </r>
  <r>
    <x v="18"/>
    <d v="2011-03-24T23:43:23"/>
    <s v="b22a064"/>
    <n v="6"/>
    <n v="2"/>
  </r>
  <r>
    <x v="18"/>
    <d v="2011-03-27T21:45:13"/>
    <s v="eadb72f"/>
    <n v="7"/>
    <n v="10"/>
  </r>
  <r>
    <x v="18"/>
    <d v="2011-03-28T14:13:08"/>
    <s v="af04d72"/>
    <n v="8"/>
    <n v="10"/>
  </r>
  <r>
    <x v="18"/>
    <d v="2011-03-29T10:22:55"/>
    <s v="51562a2"/>
    <n v="9"/>
    <n v="4"/>
  </r>
  <r>
    <x v="18"/>
    <d v="2011-03-30T10:09:46"/>
    <s v="92e7aa0"/>
    <n v="10"/>
    <n v="2"/>
  </r>
  <r>
    <x v="18"/>
    <d v="2011-03-31T18:58:25"/>
    <s v="6b3b555"/>
    <n v="11"/>
    <n v="2"/>
  </r>
  <r>
    <x v="18"/>
    <d v="2011-03-31T19:02:05"/>
    <s v="427a8ab"/>
    <n v="12"/>
    <n v="2"/>
  </r>
  <r>
    <x v="18"/>
    <d v="2011-04-01T15:13:56"/>
    <s v="9b03bf4"/>
    <n v="13"/>
    <n v="2"/>
  </r>
  <r>
    <x v="18"/>
    <d v="2011-04-15T20:11:10"/>
    <s v="d3d564c"/>
    <n v="14"/>
    <n v="2"/>
  </r>
  <r>
    <x v="18"/>
    <d v="2011-04-15T22:27:33"/>
    <s v="5c990b4"/>
    <n v="15"/>
    <n v="2"/>
  </r>
  <r>
    <x v="18"/>
    <d v="2011-04-15T22:58:51"/>
    <s v="f3c44a0"/>
    <n v="16"/>
    <n v="2"/>
  </r>
  <r>
    <x v="18"/>
    <d v="2011-04-18T13:16:57"/>
    <s v="31e7dae"/>
    <n v="17"/>
    <n v="2"/>
  </r>
  <r>
    <x v="18"/>
    <d v="2011-04-18T13:25:16"/>
    <s v="0ecb07b"/>
    <n v="18"/>
    <n v="2"/>
  </r>
  <r>
    <x v="18"/>
    <d v="2011-04-18T13:30:02"/>
    <s v="b013c4d"/>
    <n v="19"/>
    <n v="2"/>
  </r>
  <r>
    <x v="18"/>
    <d v="2011-04-18T22:02:14"/>
    <s v="1d4abe2"/>
    <n v="20"/>
    <n v="2"/>
  </r>
  <r>
    <x v="18"/>
    <d v="2011-04-19T11:39:22"/>
    <s v="31bb961"/>
    <n v="21"/>
    <n v="3"/>
  </r>
  <r>
    <x v="18"/>
    <d v="2011-04-22T12:56:49"/>
    <s v="2220b7f"/>
    <n v="22"/>
    <n v="3"/>
  </r>
  <r>
    <x v="18"/>
    <d v="2011-05-10T18:34:44"/>
    <s v="688e81c"/>
    <n v="23"/>
    <n v="6"/>
  </r>
  <r>
    <x v="18"/>
    <d v="2011-05-16T09:57:12"/>
    <s v="200bcaf"/>
    <n v="24"/>
    <n v="2"/>
  </r>
  <r>
    <x v="18"/>
    <d v="2011-05-16T14:59:50"/>
    <s v="642f301"/>
    <n v="25"/>
    <n v="3"/>
  </r>
  <r>
    <x v="18"/>
    <d v="2011-06-04T11:24:56"/>
    <s v="82a26a5"/>
    <n v="26"/>
    <n v="10"/>
  </r>
  <r>
    <x v="18"/>
    <d v="2011-06-07T14:57:26"/>
    <s v="6de74a5"/>
    <n v="27"/>
    <n v="4"/>
  </r>
  <r>
    <x v="18"/>
    <d v="2011-06-17T13:49:10"/>
    <s v="7b20516"/>
    <n v="28"/>
    <n v="3"/>
  </r>
  <r>
    <x v="18"/>
    <d v="2011-06-17T21:53:13"/>
    <s v="5dddebc"/>
    <n v="29"/>
    <n v="13"/>
  </r>
  <r>
    <x v="18"/>
    <d v="2011-06-17T23:19:56"/>
    <s v="312861f"/>
    <n v="30"/>
    <n v="2"/>
  </r>
  <r>
    <x v="18"/>
    <d v="2011-06-18T09:28:26"/>
    <s v="b2a9ccd"/>
    <n v="31"/>
    <n v="23"/>
  </r>
  <r>
    <x v="19"/>
    <d v="2011-03-06T22:32:02"/>
    <s v="ed44cc3"/>
    <n v="1"/>
    <n v="2"/>
  </r>
  <r>
    <x v="19"/>
    <d v="2011-03-10T18:38:59"/>
    <s v="70d1039"/>
    <n v="2"/>
    <n v="2"/>
  </r>
  <r>
    <x v="19"/>
    <d v="2011-03-13T20:58:35"/>
    <n v="3245687"/>
    <n v="3"/>
    <n v="2"/>
  </r>
  <r>
    <x v="19"/>
    <d v="2011-03-14T11:31:34"/>
    <s v="4a6b5c1"/>
    <n v="4"/>
    <n v="2"/>
  </r>
  <r>
    <x v="19"/>
    <d v="2011-03-14T13:32:44"/>
    <s v="5c4cc60"/>
    <n v="5"/>
    <n v="7"/>
  </r>
  <r>
    <x v="19"/>
    <d v="2011-03-14T11:29:17"/>
    <s v="cbe2677"/>
    <n v="6"/>
    <n v="2"/>
  </r>
  <r>
    <x v="19"/>
    <d v="2011-03-14T21:08:20"/>
    <s v="d6a9559"/>
    <n v="7"/>
    <n v="2"/>
  </r>
  <r>
    <x v="19"/>
    <d v="2011-03-17T13:32:57"/>
    <s v="c9d54a4"/>
    <n v="8"/>
    <n v="3"/>
  </r>
  <r>
    <x v="19"/>
    <d v="2011-03-18T15:14:48"/>
    <s v="04584b8"/>
    <n v="9"/>
    <n v="2"/>
  </r>
  <r>
    <x v="19"/>
    <d v="2011-03-18T20:10:32"/>
    <n v="2066157"/>
    <n v="10"/>
    <n v="2"/>
  </r>
  <r>
    <x v="19"/>
    <d v="2011-03-18T21:28:21"/>
    <s v="29dc1d5"/>
    <n v="11"/>
    <n v="6"/>
  </r>
  <r>
    <x v="19"/>
    <d v="2011-03-20T23:37:09"/>
    <s v="4b63591"/>
    <n v="12"/>
    <n v="2"/>
  </r>
  <r>
    <x v="19"/>
    <d v="2011-03-27T21:08:05"/>
    <s v="174ad3b"/>
    <n v="13"/>
    <n v="2"/>
  </r>
  <r>
    <x v="19"/>
    <d v="2011-03-26T21:41:31"/>
    <s v="39eb87c"/>
    <n v="14"/>
    <n v="2"/>
  </r>
  <r>
    <x v="19"/>
    <d v="2011-03-28T14:13:18"/>
    <s v="2b9b4d0"/>
    <n v="15"/>
    <n v="10"/>
  </r>
  <r>
    <x v="19"/>
    <d v="2011-03-29T09:00:18"/>
    <s v="40983ba"/>
    <n v="16"/>
    <n v="2"/>
  </r>
  <r>
    <x v="19"/>
    <d v="2011-03-30T10:00:10"/>
    <s v="55debe8"/>
    <n v="17"/>
    <n v="7"/>
  </r>
  <r>
    <x v="19"/>
    <d v="2011-03-30T14:33:04"/>
    <s v="4129ac5"/>
    <n v="18"/>
    <n v="3"/>
  </r>
  <r>
    <x v="19"/>
    <d v="2011-03-30T10:09:46"/>
    <s v="205fea6"/>
    <n v="19"/>
    <n v="2"/>
  </r>
  <r>
    <x v="19"/>
    <d v="2011-03-30T21:38:43"/>
    <s v="ff05abe"/>
    <n v="20"/>
    <n v="2"/>
  </r>
  <r>
    <x v="19"/>
    <d v="2011-03-31T19:00:00"/>
    <s v="5bbc78f"/>
    <n v="21"/>
    <n v="2"/>
  </r>
  <r>
    <x v="19"/>
    <d v="2011-03-31T18:19:13"/>
    <s v="55d1f1f"/>
    <n v="22"/>
    <n v="3"/>
  </r>
  <r>
    <x v="19"/>
    <d v="2011-04-01T15:06:48"/>
    <s v="9a9ac35"/>
    <n v="23"/>
    <n v="2"/>
  </r>
  <r>
    <x v="19"/>
    <d v="2011-04-01T14:25:46"/>
    <s v="ad343a6"/>
    <n v="24"/>
    <n v="6"/>
  </r>
  <r>
    <x v="19"/>
    <d v="2011-04-04T09:51:36"/>
    <s v="f987e4e"/>
    <n v="25"/>
    <n v="2"/>
  </r>
  <r>
    <x v="19"/>
    <d v="2011-04-11T09:24:17"/>
    <s v="be85b9c"/>
    <n v="26"/>
    <n v="2"/>
  </r>
  <r>
    <x v="19"/>
    <d v="2011-04-13T09:15:28"/>
    <s v="6065a95"/>
    <n v="27"/>
    <n v="5"/>
  </r>
  <r>
    <x v="19"/>
    <d v="2011-04-15T17:33:40"/>
    <s v="5b0fcc6"/>
    <n v="28"/>
    <n v="2"/>
  </r>
  <r>
    <x v="19"/>
    <d v="2011-04-15T14:55:12"/>
    <s v="ff1f609"/>
    <n v="29"/>
    <n v="4"/>
  </r>
  <r>
    <x v="19"/>
    <d v="2011-04-15T21:40:04"/>
    <s v="7e14d2e"/>
    <n v="30"/>
    <n v="10"/>
  </r>
  <r>
    <x v="19"/>
    <d v="2011-04-15T22:56:03"/>
    <s v="fcf7f46"/>
    <n v="31"/>
    <n v="2"/>
  </r>
  <r>
    <x v="19"/>
    <d v="2011-04-18T13:21:22"/>
    <s v="5c21f12"/>
    <n v="32"/>
    <n v="9"/>
  </r>
  <r>
    <x v="19"/>
    <d v="2011-04-18T13:28:37"/>
    <s v="9c7e08b"/>
    <n v="33"/>
    <n v="10"/>
  </r>
  <r>
    <x v="19"/>
    <d v="2011-04-18T13:29:19"/>
    <s v="4bf8f09"/>
    <n v="34"/>
    <n v="10"/>
  </r>
  <r>
    <x v="19"/>
    <d v="2011-04-18T13:24:25"/>
    <s v="ffcf4c5"/>
    <n v="35"/>
    <n v="2"/>
  </r>
  <r>
    <x v="19"/>
    <d v="2011-04-19T10:30:19"/>
    <s v="1369c4f"/>
    <n v="36"/>
    <n v="2"/>
  </r>
  <r>
    <x v="19"/>
    <d v="2011-04-21T15:21:21"/>
    <s v="f5209cd"/>
    <n v="37"/>
    <n v="2"/>
  </r>
  <r>
    <x v="19"/>
    <d v="2011-04-22T11:01:44"/>
    <s v="23daeee"/>
    <n v="38"/>
    <n v="3"/>
  </r>
  <r>
    <x v="19"/>
    <d v="2011-04-21T21:04:28"/>
    <s v="50f7aa3"/>
    <n v="39"/>
    <n v="2"/>
  </r>
  <r>
    <x v="19"/>
    <d v="2011-04-25T12:20:53"/>
    <s v="ac1c08c"/>
    <n v="40"/>
    <n v="2"/>
  </r>
  <r>
    <x v="19"/>
    <d v="2011-04-25T13:26:34"/>
    <s v="307af57"/>
    <n v="41"/>
    <n v="10"/>
  </r>
  <r>
    <x v="19"/>
    <d v="2011-04-26T17:38:21"/>
    <s v="8d29f47"/>
    <n v="42"/>
    <n v="10"/>
  </r>
  <r>
    <x v="19"/>
    <d v="2011-04-28T17:04:40"/>
    <s v="c36b35f"/>
    <n v="43"/>
    <n v="3"/>
  </r>
  <r>
    <x v="19"/>
    <d v="2011-05-01T15:15:11"/>
    <s v="b89b418"/>
    <n v="44"/>
    <n v="2"/>
  </r>
  <r>
    <x v="19"/>
    <d v="2011-05-01T16:18:00"/>
    <n v="7149903"/>
    <n v="45"/>
    <n v="2"/>
  </r>
  <r>
    <x v="19"/>
    <d v="2011-05-01T12:54:29"/>
    <s v="fe452bf"/>
    <n v="46"/>
    <n v="3"/>
  </r>
  <r>
    <x v="19"/>
    <d v="2011-05-04T11:34:47"/>
    <s v="6243cf5"/>
    <n v="47"/>
    <n v="2"/>
  </r>
  <r>
    <x v="19"/>
    <d v="2011-04-12T13:57:56"/>
    <s v="c617653"/>
    <n v="48"/>
    <n v="10"/>
  </r>
  <r>
    <x v="19"/>
    <d v="2011-05-09T09:36:16"/>
    <s v="23da993"/>
    <n v="49"/>
    <n v="2"/>
  </r>
  <r>
    <x v="19"/>
    <d v="2011-05-10T10:41:21"/>
    <s v="20c6fd4"/>
    <n v="50"/>
    <n v="2"/>
  </r>
  <r>
    <x v="19"/>
    <d v="2011-03-19T22:01:39"/>
    <s v="84b90dd"/>
    <n v="51"/>
    <n v="2"/>
  </r>
  <r>
    <x v="19"/>
    <d v="2011-05-11T17:28:41"/>
    <s v="e14c13c"/>
    <n v="52"/>
    <n v="2"/>
  </r>
  <r>
    <x v="19"/>
    <d v="2011-05-13T14:25:15"/>
    <s v="0203876"/>
    <n v="53"/>
    <n v="2"/>
  </r>
  <r>
    <x v="19"/>
    <d v="2011-05-13T14:26:36"/>
    <s v="31d3620"/>
    <n v="54"/>
    <n v="2"/>
  </r>
  <r>
    <x v="19"/>
    <d v="2011-05-16T14:35:54"/>
    <n v="2741433"/>
    <n v="55"/>
    <n v="10"/>
  </r>
  <r>
    <x v="19"/>
    <d v="2011-05-16T15:31:04"/>
    <s v="872b4df"/>
    <n v="56"/>
    <n v="3"/>
  </r>
  <r>
    <x v="19"/>
    <d v="2011-05-22T22:06:19"/>
    <s v="cb86f97"/>
    <n v="57"/>
    <n v="2"/>
  </r>
  <r>
    <x v="19"/>
    <d v="2011-05-23T02:02:13"/>
    <s v="531f439"/>
    <n v="58"/>
    <n v="10"/>
  </r>
  <r>
    <x v="19"/>
    <d v="2011-06-03T15:34:03"/>
    <s v="2ca3836"/>
    <n v="59"/>
    <n v="3"/>
  </r>
  <r>
    <x v="19"/>
    <d v="2011-05-13T13:48:25"/>
    <s v="e76b021"/>
    <n v="60"/>
    <n v="3"/>
  </r>
  <r>
    <x v="19"/>
    <d v="2011-06-04T10:37:20"/>
    <s v="d2f90ce"/>
    <n v="61"/>
    <n v="2"/>
  </r>
  <r>
    <x v="19"/>
    <d v="2011-06-03T11:38:28"/>
    <s v="514b5fd"/>
    <n v="62"/>
    <n v="7"/>
  </r>
  <r>
    <x v="19"/>
    <d v="2011-06-05T16:15:43"/>
    <s v="2ff3cab"/>
    <n v="63"/>
    <n v="4"/>
  </r>
  <r>
    <x v="19"/>
    <d v="2011-06-06T16:17:49"/>
    <s v="77290b9"/>
    <n v="64"/>
    <n v="3"/>
  </r>
  <r>
    <x v="19"/>
    <d v="2011-06-06T18:26:03"/>
    <s v="3fb0fb2"/>
    <n v="65"/>
    <n v="2"/>
  </r>
  <r>
    <x v="19"/>
    <d v="2011-06-07T10:29:07"/>
    <s v="8cd638a"/>
    <n v="66"/>
    <n v="2"/>
  </r>
  <r>
    <x v="19"/>
    <d v="2011-06-07T14:27:51"/>
    <n v="8291720"/>
    <n v="67"/>
    <n v="2"/>
  </r>
  <r>
    <x v="19"/>
    <d v="2011-06-12T22:07:48"/>
    <s v="ef05e4c"/>
    <n v="68"/>
    <n v="2"/>
  </r>
  <r>
    <x v="19"/>
    <d v="2011-06-11T18:39:35"/>
    <s v="e03ba7d"/>
    <n v="69"/>
    <n v="6"/>
  </r>
  <r>
    <x v="19"/>
    <d v="2011-06-13T09:22:36"/>
    <s v="c61ffdd"/>
    <n v="70"/>
    <n v="2"/>
  </r>
  <r>
    <x v="19"/>
    <d v="2011-06-13T09:39:32"/>
    <n v="6464917"/>
    <n v="71"/>
    <n v="10"/>
  </r>
  <r>
    <x v="19"/>
    <d v="2011-06-17T11:26:46"/>
    <s v="a3354b1"/>
    <n v="72"/>
    <n v="11"/>
  </r>
  <r>
    <x v="19"/>
    <d v="2011-06-17T18:39:23"/>
    <s v="26fc0c8"/>
    <n v="73"/>
    <n v="7"/>
  </r>
  <r>
    <x v="19"/>
    <d v="2011-06-17T22:12:34"/>
    <s v="40ffd56"/>
    <n v="74"/>
    <n v="13"/>
  </r>
  <r>
    <x v="19"/>
    <d v="2011-06-17T23:19:59"/>
    <s v="cf3104d"/>
    <n v="75"/>
    <n v="2"/>
  </r>
  <r>
    <x v="19"/>
    <d v="2011-06-20T11:08:12"/>
    <s v="405f913"/>
    <n v="76"/>
    <n v="2"/>
  </r>
  <r>
    <x v="19"/>
    <d v="2011-06-20T17:55:33"/>
    <s v="78cdd29"/>
    <n v="77"/>
    <n v="2"/>
  </r>
  <r>
    <x v="19"/>
    <d v="2011-06-20T11:08:08"/>
    <s v="556ef07"/>
    <n v="78"/>
    <n v="2"/>
  </r>
  <r>
    <x v="19"/>
    <d v="2011-06-18T09:31:17"/>
    <s v="06b1009"/>
    <n v="79"/>
    <n v="23"/>
  </r>
  <r>
    <x v="19"/>
    <d v="2011-06-21T17:02:31"/>
    <s v="63a2916"/>
    <n v="80"/>
    <n v="2"/>
  </r>
  <r>
    <x v="19"/>
    <d v="2011-06-27T10:01:13"/>
    <s v="9f526b3"/>
    <n v="81"/>
    <n v="2"/>
  </r>
  <r>
    <x v="19"/>
    <d v="2011-06-28T23:22:16"/>
    <s v="d741fd9"/>
    <n v="82"/>
    <n v="5"/>
  </r>
  <r>
    <x v="20"/>
    <d v="2011-05-12T10:01:49"/>
    <s v="2836ae4"/>
    <n v="1"/>
    <n v="2"/>
  </r>
  <r>
    <x v="20"/>
    <d v="2011-05-20T09:18:54"/>
    <s v="e3a0be9"/>
    <n v="2"/>
    <n v="7"/>
  </r>
  <r>
    <x v="20"/>
    <d v="2011-05-23T09:37:44"/>
    <s v="cee7a85"/>
    <n v="3"/>
    <n v="3"/>
  </r>
  <r>
    <x v="20"/>
    <d v="2011-05-23T16:40:36"/>
    <s v="018b75e"/>
    <n v="4"/>
    <n v="10"/>
  </r>
  <r>
    <x v="20"/>
    <d v="2011-05-24T13:42:59"/>
    <s v="0bc4655"/>
    <n v="5"/>
    <n v="2"/>
  </r>
  <r>
    <x v="21"/>
    <d v="2011-06-21T16:22:09"/>
    <s v="c83d2cf"/>
    <n v="1"/>
    <n v="2"/>
  </r>
  <r>
    <x v="22"/>
    <d v="2011-04-28T22:25:45"/>
    <s v="cae5ea0"/>
    <n v="1"/>
    <n v="2"/>
  </r>
  <r>
    <x v="22"/>
    <d v="2011-04-28T13:27:54"/>
    <s v="39d738f"/>
    <n v="2"/>
    <n v="2"/>
  </r>
  <r>
    <x v="22"/>
    <d v="2011-05-13T21:57:11"/>
    <s v="6ae77ed"/>
    <n v="3"/>
    <n v="6"/>
  </r>
  <r>
    <x v="23"/>
    <d v="2011-06-02T22:51:22"/>
    <s v="c3eef5b"/>
    <n v="1"/>
    <n v="4"/>
  </r>
  <r>
    <x v="24"/>
    <d v="2011-03-22T17:06:23"/>
    <s v="d5c2873"/>
    <n v="1"/>
    <n v="2"/>
  </r>
  <r>
    <x v="24"/>
    <d v="2011-05-28T16:02:22"/>
    <s v="a84188e"/>
    <n v="2"/>
    <n v="8"/>
  </r>
  <r>
    <x v="24"/>
    <d v="2011-05-31T04:53:38"/>
    <s v="1a7001b"/>
    <n v="3"/>
    <n v="7"/>
  </r>
  <r>
    <x v="24"/>
    <d v="2011-05-31T06:31:18"/>
    <s v="a365727"/>
    <n v="4"/>
    <n v="8"/>
  </r>
  <r>
    <x v="24"/>
    <d v="2011-06-02T22:51:22"/>
    <s v="3f13f6d"/>
    <n v="5"/>
    <n v="4"/>
  </r>
  <r>
    <x v="24"/>
    <d v="2011-06-03T07:57:32"/>
    <s v="005b75d"/>
    <n v="6"/>
    <n v="4"/>
  </r>
  <r>
    <x v="24"/>
    <d v="2011-06-21T14:36:02"/>
    <s v="9323b34"/>
    <n v="7"/>
    <n v="2"/>
  </r>
  <r>
    <x v="25"/>
    <d v="2011-03-06T16:49:56"/>
    <s v="ef3fd82"/>
    <n v="1"/>
    <n v="7"/>
  </r>
  <r>
    <x v="25"/>
    <d v="2011-05-29T11:04:27"/>
    <s v="017e445"/>
    <n v="2"/>
    <n v="10"/>
  </r>
  <r>
    <x v="25"/>
    <d v="2011-06-07T09:06:54"/>
    <s v="79eb909"/>
    <n v="3"/>
    <n v="3"/>
  </r>
  <r>
    <x v="25"/>
    <d v="2011-06-07T09:42:28"/>
    <s v="dbe586c"/>
    <n v="4"/>
    <n v="3"/>
  </r>
  <r>
    <x v="25"/>
    <d v="2011-06-08T10:08:41"/>
    <s v="bb06bd1"/>
    <n v="5"/>
    <n v="4"/>
  </r>
  <r>
    <x v="26"/>
    <d v="2011-03-17T22:22:12"/>
    <s v="c5bc472"/>
    <n v="1"/>
    <n v="3"/>
  </r>
  <r>
    <x v="26"/>
    <d v="2011-03-17T23:47:23"/>
    <s v="81d5129"/>
    <n v="2"/>
    <n v="4"/>
  </r>
  <r>
    <x v="27"/>
    <d v="2011-03-07T00:53:09"/>
    <s v="8045c5e"/>
    <n v="1"/>
    <n v="3"/>
  </r>
  <r>
    <x v="27"/>
    <d v="2011-03-10T22:29:41"/>
    <s v="ea99014"/>
    <n v="2"/>
    <n v="2"/>
  </r>
  <r>
    <x v="27"/>
    <d v="2011-03-11T11:50:57"/>
    <s v="cf87c8f"/>
    <n v="3"/>
    <n v="2"/>
  </r>
  <r>
    <x v="27"/>
    <d v="2011-03-13T20:55:32"/>
    <s v="a92526b"/>
    <n v="4"/>
    <n v="2"/>
  </r>
  <r>
    <x v="27"/>
    <d v="2011-03-14T14:03:40"/>
    <s v="7d46b22"/>
    <n v="5"/>
    <n v="3"/>
  </r>
  <r>
    <x v="27"/>
    <d v="2011-03-14T19:27:27"/>
    <s v="18eb948"/>
    <n v="6"/>
    <n v="2"/>
  </r>
  <r>
    <x v="27"/>
    <d v="2011-03-17T22:27:13"/>
    <s v="951580f"/>
    <n v="7"/>
    <n v="3"/>
  </r>
  <r>
    <x v="27"/>
    <d v="2011-03-17T22:59:41"/>
    <s v="283cb18"/>
    <n v="8"/>
    <n v="2"/>
  </r>
  <r>
    <x v="27"/>
    <d v="2011-03-31T22:50:14"/>
    <s v="bafc4f6"/>
    <n v="9"/>
    <n v="2"/>
  </r>
  <r>
    <x v="27"/>
    <d v="2011-04-18T21:49:56"/>
    <s v="ebcc791"/>
    <n v="10"/>
    <n v="2"/>
  </r>
  <r>
    <x v="27"/>
    <d v="2011-04-28T22:36:18"/>
    <s v="c465b6e"/>
    <n v="11"/>
    <n v="2"/>
  </r>
  <r>
    <x v="27"/>
    <d v="2011-04-29T01:12:28"/>
    <s v="92606d7"/>
    <n v="12"/>
    <n v="3"/>
  </r>
  <r>
    <x v="27"/>
    <d v="2011-04-29T10:15:24"/>
    <s v="c267d49"/>
    <n v="13"/>
    <n v="3"/>
  </r>
  <r>
    <x v="27"/>
    <d v="2011-05-03T07:55:34"/>
    <s v="b2e09c5"/>
    <n v="14"/>
    <n v="5"/>
  </r>
  <r>
    <x v="27"/>
    <d v="2011-05-03T08:01:17"/>
    <s v="69cdef2"/>
    <n v="15"/>
    <n v="2"/>
  </r>
  <r>
    <x v="27"/>
    <d v="2011-05-12T01:04:49"/>
    <s v="68f4bd5"/>
    <n v="16"/>
    <n v="2"/>
  </r>
  <r>
    <x v="27"/>
    <d v="2011-05-24T10:50:09"/>
    <s v="cd48b4e"/>
    <n v="17"/>
    <n v="2"/>
  </r>
  <r>
    <x v="27"/>
    <d v="2011-05-31T05:46:21"/>
    <n v="6204016"/>
    <n v="18"/>
    <n v="7"/>
  </r>
  <r>
    <x v="27"/>
    <d v="2011-05-31T15:10:23"/>
    <s v="ed51d4d"/>
    <n v="19"/>
    <n v="7"/>
  </r>
  <r>
    <x v="27"/>
    <d v="2011-05-31T16:10:41"/>
    <s v="b1926cf"/>
    <n v="20"/>
    <n v="2"/>
  </r>
  <r>
    <x v="27"/>
    <d v="2011-06-06T00:14:41"/>
    <s v="d9e6602"/>
    <n v="21"/>
    <n v="4"/>
  </r>
  <r>
    <x v="27"/>
    <d v="2011-06-06T22:22:50"/>
    <s v="5ea48db"/>
    <n v="22"/>
    <n v="3"/>
  </r>
  <r>
    <x v="27"/>
    <d v="2011-06-08T11:05:18"/>
    <s v="0aca5e5"/>
    <n v="23"/>
    <n v="3"/>
  </r>
  <r>
    <x v="27"/>
    <d v="2011-06-13T05:49:44"/>
    <s v="8007d83"/>
    <n v="24"/>
    <n v="2"/>
  </r>
  <r>
    <x v="27"/>
    <d v="2011-06-14T01:30:09"/>
    <n v="3059872"/>
    <n v="25"/>
    <n v="2"/>
  </r>
  <r>
    <x v="27"/>
    <d v="2011-06-14T12:41:20"/>
    <s v="3ac5a04"/>
    <n v="26"/>
    <n v="2"/>
  </r>
  <r>
    <x v="27"/>
    <d v="2011-06-16T16:03:56"/>
    <s v="bfddacf"/>
    <n v="27"/>
    <n v="2"/>
  </r>
  <r>
    <x v="27"/>
    <d v="2011-06-21T14:36:57"/>
    <s v="816e080"/>
    <n v="28"/>
    <n v="2"/>
  </r>
  <r>
    <x v="27"/>
    <d v="2011-06-22T13:38:29"/>
    <s v="2b8930c"/>
    <n v="29"/>
    <n v="2"/>
  </r>
  <r>
    <x v="28"/>
    <d v="2011-03-13T21:54:04"/>
    <s v="51beb72"/>
    <n v="1"/>
    <n v="4"/>
  </r>
  <r>
    <x v="28"/>
    <d v="2011-05-24T16:34:37"/>
    <s v="e7dc6f1"/>
    <n v="2"/>
    <n v="2"/>
  </r>
  <r>
    <x v="28"/>
    <d v="2011-06-29T16:06:47"/>
    <s v="d546378"/>
    <n v="3"/>
    <n v="2"/>
  </r>
  <r>
    <x v="29"/>
    <d v="2011-04-18T22:35:22"/>
    <s v="d1f862d"/>
    <n v="1"/>
    <n v="3"/>
  </r>
  <r>
    <x v="30"/>
    <d v="2011-03-22T10:01:12"/>
    <s v="33b796d"/>
    <n v="1"/>
    <n v="2"/>
  </r>
  <r>
    <x v="30"/>
    <d v="2011-04-25T23:15:02"/>
    <s v="95b9ff4"/>
    <n v="2"/>
    <n v="2"/>
  </r>
  <r>
    <x v="30"/>
    <d v="2011-04-26T00:22:52"/>
    <s v="8b09a58"/>
    <n v="3"/>
    <n v="3"/>
  </r>
  <r>
    <x v="30"/>
    <d v="2011-06-19T23:08:11"/>
    <s v="63dbe8a"/>
    <n v="4"/>
    <n v="2"/>
  </r>
  <r>
    <x v="31"/>
    <d v="2011-04-28T18:03:42"/>
    <s v="539ea13"/>
    <n v="1"/>
    <n v="2"/>
  </r>
  <r>
    <x v="31"/>
    <d v="2011-04-28T18:07:04"/>
    <s v="d0eef1f"/>
    <n v="2"/>
    <n v="2"/>
  </r>
  <r>
    <x v="32"/>
    <d v="2011-03-19T13:57:37"/>
    <s v="df0b554"/>
    <n v="1"/>
    <n v="36"/>
  </r>
  <r>
    <x v="32"/>
    <d v="2011-03-21T13:55:42"/>
    <s v="ea3452c"/>
    <n v="2"/>
    <n v="3"/>
  </r>
  <r>
    <x v="32"/>
    <d v="2011-04-02T06:32:45"/>
    <s v="995f402"/>
    <n v="3"/>
    <n v="2"/>
  </r>
  <r>
    <x v="32"/>
    <d v="2011-04-02T08:14:01"/>
    <s v="2b7ebb5"/>
    <n v="4"/>
    <n v="2"/>
  </r>
  <r>
    <x v="32"/>
    <d v="2011-04-03T05:27:34"/>
    <s v="177a932"/>
    <n v="5"/>
    <n v="2"/>
  </r>
  <r>
    <x v="32"/>
    <d v="2011-04-15T21:59:30"/>
    <s v="b8152f4"/>
    <n v="6"/>
    <n v="3"/>
  </r>
  <r>
    <x v="32"/>
    <d v="2011-04-20T07:45:24"/>
    <s v="071c51a"/>
    <n v="7"/>
    <n v="5"/>
  </r>
  <r>
    <x v="32"/>
    <d v="2011-04-23T23:16:58"/>
    <s v="7540d09"/>
    <n v="8"/>
    <n v="3"/>
  </r>
  <r>
    <x v="32"/>
    <d v="2011-05-05T05:57:45"/>
    <s v="9fc9401"/>
    <n v="9"/>
    <n v="3"/>
  </r>
  <r>
    <x v="32"/>
    <d v="2011-05-05T19:26:23"/>
    <s v="505a0bb"/>
    <n v="10"/>
    <n v="2"/>
  </r>
  <r>
    <x v="32"/>
    <d v="2011-05-07T08:43:52"/>
    <n v="7501670"/>
    <n v="11"/>
    <n v="2"/>
  </r>
  <r>
    <x v="32"/>
    <d v="2011-05-31T05:24:01"/>
    <s v="5aa7229"/>
    <n v="12"/>
    <n v="7"/>
  </r>
  <r>
    <x v="32"/>
    <d v="2011-05-30T19:39:08"/>
    <s v="a0fb3a8"/>
    <n v="13"/>
    <n v="2"/>
  </r>
  <r>
    <x v="32"/>
    <d v="2011-06-04T03:10:16"/>
    <s v="d24afe9"/>
    <n v="14"/>
    <n v="7"/>
  </r>
  <r>
    <x v="32"/>
    <d v="2011-06-21T01:34:05"/>
    <s v="855f0db"/>
    <n v="15"/>
    <n v="2"/>
  </r>
  <r>
    <x v="33"/>
    <d v="2011-05-13T10:03:50"/>
    <s v="9610fe5"/>
    <n v="1"/>
    <n v="2"/>
  </r>
  <r>
    <x v="33"/>
    <d v="2011-06-10T06:36:34"/>
    <s v="8a2fc3b"/>
    <n v="2"/>
    <n v="2"/>
  </r>
  <r>
    <x v="34"/>
    <d v="2011-03-30T17:22:33"/>
    <s v="d8096f2"/>
    <n v="1"/>
    <n v="4"/>
  </r>
  <r>
    <x v="35"/>
    <d v="2011-03-23T16:01:42"/>
    <s v="049c0ea"/>
    <n v="1"/>
    <n v="5"/>
  </r>
  <r>
    <x v="35"/>
    <d v="2011-03-30T12:08:23"/>
    <s v="cd083bf"/>
    <n v="2"/>
    <n v="6"/>
  </r>
  <r>
    <x v="35"/>
    <d v="2011-03-30T17:22:55"/>
    <s v="afa9e5b"/>
    <n v="3"/>
    <n v="4"/>
  </r>
  <r>
    <x v="35"/>
    <d v="2011-03-31T09:57:32"/>
    <s v="9194d14"/>
    <n v="4"/>
    <n v="7"/>
  </r>
  <r>
    <x v="35"/>
    <d v="2011-03-31T10:00:01"/>
    <s v="782f7f7"/>
    <n v="5"/>
    <n v="2"/>
  </r>
  <r>
    <x v="35"/>
    <d v="2011-03-31T16:35:05"/>
    <s v="97f1d02"/>
    <n v="6"/>
    <n v="2"/>
  </r>
  <r>
    <x v="35"/>
    <d v="2011-05-05T09:52:54"/>
    <s v="f9ee867"/>
    <n v="7"/>
    <n v="3"/>
  </r>
  <r>
    <x v="35"/>
    <d v="2011-06-07T17:16:44"/>
    <s v="4f569c8"/>
    <n v="8"/>
    <n v="2"/>
  </r>
  <r>
    <x v="35"/>
    <d v="2011-06-07T17:16:44"/>
    <s v="e78248c"/>
    <n v="9"/>
    <n v="2"/>
  </r>
  <r>
    <x v="36"/>
    <d v="2011-03-28T14:32:50"/>
    <s v="cf7bc42"/>
    <n v="1"/>
    <n v="3"/>
  </r>
  <r>
    <x v="36"/>
    <d v="2011-05-06T19:59:23"/>
    <s v="119aea8"/>
    <n v="2"/>
    <n v="2"/>
  </r>
  <r>
    <x v="36"/>
    <d v="2011-05-09T16:45:55"/>
    <s v="393e397"/>
    <n v="3"/>
    <n v="3"/>
  </r>
  <r>
    <x v="36"/>
    <d v="2011-05-10T11:39:52"/>
    <s v="9578bf7"/>
    <n v="4"/>
    <n v="2"/>
  </r>
  <r>
    <x v="36"/>
    <d v="2011-05-18T13:05:24"/>
    <s v="008bb9d"/>
    <n v="5"/>
    <n v="2"/>
  </r>
  <r>
    <x v="36"/>
    <d v="2011-05-19T10:19:51"/>
    <s v="208c7b6"/>
    <n v="6"/>
    <n v="2"/>
  </r>
  <r>
    <x v="37"/>
    <d v="2011-05-02T16:53:29"/>
    <s v="2ec192b"/>
    <n v="1"/>
    <n v="10"/>
  </r>
  <r>
    <x v="37"/>
    <d v="2011-05-03T16:50:53"/>
    <s v="70a2a69"/>
    <n v="2"/>
    <n v="5"/>
  </r>
  <r>
    <x v="37"/>
    <d v="2011-05-03T16:56:50"/>
    <s v="c217ff1"/>
    <n v="3"/>
    <n v="2"/>
  </r>
  <r>
    <x v="37"/>
    <d v="2011-05-03T17:13:38"/>
    <s v="e57f40d"/>
    <n v="4"/>
    <n v="2"/>
  </r>
  <r>
    <x v="37"/>
    <d v="2011-05-05T16:55:23"/>
    <s v="86d077d"/>
    <n v="5"/>
    <n v="4"/>
  </r>
  <r>
    <x v="38"/>
    <d v="2011-04-18T13:25:33"/>
    <s v="2d629d6"/>
    <n v="1"/>
    <n v="2"/>
  </r>
  <r>
    <x v="39"/>
    <d v="2011-04-22T19:29:07"/>
    <s v="7c5da9b"/>
    <n v="1"/>
    <n v="2"/>
  </r>
  <r>
    <x v="39"/>
    <d v="2011-05-30T11:29:06"/>
    <s v="a2c2088"/>
    <n v="2"/>
    <n v="2"/>
  </r>
  <r>
    <x v="39"/>
    <d v="2011-06-10T22:57:48"/>
    <s v="a2d8257"/>
    <n v="3"/>
    <n v="2"/>
  </r>
  <r>
    <x v="40"/>
    <d v="2011-06-17T00:12:49"/>
    <s v="c1c487b"/>
    <n v="1"/>
    <n v="2"/>
  </r>
  <r>
    <x v="40"/>
    <d v="2011-06-19T01:23:11"/>
    <s v="547c8d6"/>
    <n v="2"/>
    <n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8">
  <r>
    <x v="0"/>
    <n v="2"/>
    <d v="2011-08-31T19:51:29"/>
    <s v="b817ebd"/>
    <n v="1"/>
    <n v="2"/>
  </r>
  <r>
    <x v="1"/>
    <n v="3"/>
    <d v="2011-09-06T20:24:04"/>
    <s v="38e5d11"/>
    <n v="1"/>
    <n v="3"/>
  </r>
  <r>
    <x v="1"/>
    <n v="3"/>
    <d v="2011-09-25T22:00:18"/>
    <s v="20e9ab6"/>
    <n v="2"/>
    <n v="2"/>
  </r>
  <r>
    <x v="1"/>
    <n v="3"/>
    <d v="2011-10-04T10:17:40"/>
    <s v="7f82940"/>
    <n v="3"/>
    <n v="2"/>
  </r>
  <r>
    <x v="1"/>
    <n v="3"/>
    <d v="2011-10-23T11:46:35"/>
    <s v="4808f82"/>
    <n v="4"/>
    <n v="2"/>
  </r>
  <r>
    <x v="1"/>
    <n v="3"/>
    <d v="2011-10-26T23:43:51"/>
    <s v="609b321"/>
    <n v="5"/>
    <n v="3"/>
  </r>
  <r>
    <x v="1"/>
    <n v="3"/>
    <d v="2011-10-30T11:53:31"/>
    <s v="a834807"/>
    <n v="6"/>
    <n v="2"/>
  </r>
  <r>
    <x v="1"/>
    <n v="3"/>
    <d v="2011-11-12T17:28:02"/>
    <s v="a7ce870"/>
    <n v="7"/>
    <n v="2"/>
  </r>
  <r>
    <x v="1"/>
    <n v="3"/>
    <d v="2011-11-14T17:48:52"/>
    <s v="33cab21"/>
    <n v="8"/>
    <n v="2"/>
  </r>
  <r>
    <x v="1"/>
    <n v="3"/>
    <d v="2011-11-17T13:09:31"/>
    <s v="7025cf3"/>
    <n v="9"/>
    <n v="2"/>
  </r>
  <r>
    <x v="1"/>
    <n v="3"/>
    <d v="2011-11-18T15:26:12"/>
    <s v="b835fb1"/>
    <n v="10"/>
    <n v="2"/>
  </r>
  <r>
    <x v="1"/>
    <n v="3"/>
    <d v="2011-11-27T11:42:13"/>
    <s v="e1355a4"/>
    <n v="11"/>
    <n v="2"/>
  </r>
  <r>
    <x v="1"/>
    <n v="3"/>
    <d v="2011-12-04T13:02:12"/>
    <s v="c7ea4b7"/>
    <n v="12"/>
    <n v="2"/>
  </r>
  <r>
    <x v="1"/>
    <n v="3"/>
    <d v="2011-12-30T16:50:45"/>
    <s v="ce2c0c5"/>
    <n v="13"/>
    <n v="2"/>
  </r>
  <r>
    <x v="1"/>
    <n v="3"/>
    <d v="2011-12-30T19:16:06"/>
    <s v="e295fdf"/>
    <n v="14"/>
    <n v="3"/>
  </r>
  <r>
    <x v="2"/>
    <n v="4"/>
    <d v="2011-09-11T16:12:09"/>
    <s v="ec43fae"/>
    <n v="1"/>
    <n v="2"/>
  </r>
  <r>
    <x v="3"/>
    <n v="5"/>
    <d v="2011-09-28T03:09:14"/>
    <s v="f967fea"/>
    <n v="1"/>
    <n v="2"/>
  </r>
  <r>
    <x v="4"/>
    <n v="6"/>
    <d v="2011-12-30T15:27:34"/>
    <s v="41f19a9"/>
    <n v="1"/>
    <n v="2"/>
  </r>
  <r>
    <x v="5"/>
    <n v="7"/>
    <d v="2011-10-26T20:55:58"/>
    <s v="f2401d1"/>
    <n v="1"/>
    <n v="2"/>
  </r>
  <r>
    <x v="5"/>
    <n v="7"/>
    <d v="2011-12-03T19:31:23"/>
    <s v="70fb68e"/>
    <n v="2"/>
    <n v="2"/>
  </r>
  <r>
    <x v="6"/>
    <n v="8"/>
    <d v="2011-09-30T09:43:09"/>
    <s v="ca7e9d7"/>
    <n v="1"/>
    <n v="2"/>
  </r>
  <r>
    <x v="6"/>
    <n v="8"/>
    <d v="2011-09-30T10:46:57"/>
    <s v="cb0a95e"/>
    <n v="2"/>
    <n v="2"/>
  </r>
  <r>
    <x v="7"/>
    <n v="9"/>
    <d v="2011-09-04T17:48:48"/>
    <s v="920e8cd"/>
    <n v="1"/>
    <n v="4"/>
  </r>
  <r>
    <x v="8"/>
    <n v="10"/>
    <d v="2011-10-02T21:55:57"/>
    <s v="db30b67"/>
    <n v="1"/>
    <n v="2"/>
  </r>
  <r>
    <x v="9"/>
    <n v="11"/>
    <d v="2011-09-13T17:58:13"/>
    <s v="ebb122d"/>
    <n v="1"/>
    <n v="2"/>
  </r>
  <r>
    <x v="10"/>
    <n v="12"/>
    <d v="2011-09-20T01:04:08"/>
    <s v="23c2176"/>
    <n v="1"/>
    <n v="3"/>
  </r>
  <r>
    <x v="10"/>
    <n v="12"/>
    <d v="2011-10-16T23:21:03"/>
    <s v="bfb579a"/>
    <n v="2"/>
    <n v="2"/>
  </r>
  <r>
    <x v="10"/>
    <n v="12"/>
    <d v="2011-12-20T03:17:48"/>
    <s v="c5bee09"/>
    <n v="3"/>
    <n v="3"/>
  </r>
  <r>
    <x v="11"/>
    <n v="13"/>
    <d v="2011-12-04T01:57:38"/>
    <s v="cf9034f"/>
    <n v="1"/>
    <n v="3"/>
  </r>
  <r>
    <x v="11"/>
    <n v="13"/>
    <d v="2011-12-04T02:31:05"/>
    <s v="5e9713d"/>
    <n v="2"/>
    <n v="3"/>
  </r>
  <r>
    <x v="12"/>
    <n v="14"/>
    <d v="2011-12-20T17:35:47"/>
    <s v="695c26f"/>
    <n v="1"/>
    <n v="2"/>
  </r>
  <r>
    <x v="13"/>
    <n v="15"/>
    <d v="2011-10-25T14:16:32"/>
    <s v="f05f62c"/>
    <n v="1"/>
    <n v="2"/>
  </r>
  <r>
    <x v="13"/>
    <n v="15"/>
    <d v="2011-11-23T15:59:18"/>
    <s v="c167f52"/>
    <n v="2"/>
    <n v="4"/>
  </r>
  <r>
    <x v="13"/>
    <n v="15"/>
    <d v="2011-12-14T19:29:35"/>
    <s v="1c9262e"/>
    <n v="3"/>
    <n v="3"/>
  </r>
  <r>
    <x v="13"/>
    <n v="15"/>
    <d v="2011-12-25T16:21:39"/>
    <s v="753d625"/>
    <n v="4"/>
    <n v="3"/>
  </r>
  <r>
    <x v="14"/>
    <n v="16"/>
    <d v="2011-11-23T15:59:18"/>
    <s v="9519de1"/>
    <n v="1"/>
    <n v="4"/>
  </r>
  <r>
    <x v="15"/>
    <n v="17"/>
    <d v="2011-10-20T11:38:51"/>
    <s v="cd02481"/>
    <n v="1"/>
    <n v="2"/>
  </r>
  <r>
    <x v="16"/>
    <n v="18"/>
    <d v="2011-09-15T07:52:13"/>
    <s v="4add1da"/>
    <n v="1"/>
    <n v="2"/>
  </r>
  <r>
    <x v="16"/>
    <n v="18"/>
    <d v="2011-02-03T05:41:50"/>
    <s v="5150e71"/>
    <n v="2"/>
    <n v="2"/>
  </r>
  <r>
    <x v="17"/>
    <n v="19"/>
    <d v="2011-09-23T13:55:13"/>
    <s v="653f70b"/>
    <n v="1"/>
    <n v="2"/>
  </r>
  <r>
    <x v="17"/>
    <n v="19"/>
    <d v="2011-09-26T20:58:52"/>
    <s v="00410a8"/>
    <n v="2"/>
    <n v="2"/>
  </r>
  <r>
    <x v="17"/>
    <n v="19"/>
    <d v="2011-11-12T13:06:33"/>
    <s v="580d8f2"/>
    <n v="3"/>
    <n v="3"/>
  </r>
  <r>
    <x v="17"/>
    <n v="19"/>
    <d v="2011-11-15T13:06:33"/>
    <s v="8fdbedb"/>
    <n v="4"/>
    <n v="3"/>
  </r>
  <r>
    <x v="18"/>
    <n v="20"/>
    <d v="2011-09-30T09:24:05"/>
    <s v="bedd109"/>
    <n v="1"/>
    <n v="2"/>
  </r>
  <r>
    <x v="18"/>
    <n v="20"/>
    <d v="2011-09-30T10:14:27"/>
    <s v="085c910"/>
    <n v="2"/>
    <n v="2"/>
  </r>
  <r>
    <x v="19"/>
    <n v="21"/>
    <d v="2011-09-28T15:20:26"/>
    <n v="1143736"/>
    <n v="1"/>
    <n v="2"/>
  </r>
  <r>
    <x v="20"/>
    <n v="22"/>
    <d v="2011-09-26T16:21:04"/>
    <s v="a97c918"/>
    <n v="1"/>
    <n v="2"/>
  </r>
  <r>
    <x v="21"/>
    <n v="23"/>
    <d v="2011-11-24T20:59:40"/>
    <s v="142a7bb"/>
    <n v="1"/>
    <n v="2"/>
  </r>
  <r>
    <x v="22"/>
    <n v="24"/>
    <d v="2011-09-06T13:35:38"/>
    <s v="8bf3c53"/>
    <n v="1"/>
    <n v="9"/>
  </r>
  <r>
    <x v="22"/>
    <n v="24"/>
    <d v="2011-09-08T17:49:30"/>
    <s v="e981264"/>
    <n v="2"/>
    <n v="3"/>
  </r>
  <r>
    <x v="22"/>
    <n v="24"/>
    <d v="2011-09-11T19:45:40"/>
    <s v="50b4fe2"/>
    <n v="3"/>
    <n v="2"/>
  </r>
  <r>
    <x v="22"/>
    <n v="24"/>
    <d v="2011-09-23T11:59:07"/>
    <s v="5d90351"/>
    <n v="4"/>
    <n v="4"/>
  </r>
  <r>
    <x v="22"/>
    <n v="24"/>
    <d v="2011-09-23T23:36:25"/>
    <s v="f9e6fd0"/>
    <n v="5"/>
    <n v="3"/>
  </r>
  <r>
    <x v="22"/>
    <n v="24"/>
    <d v="2011-10-10T06:30:14"/>
    <s v="d2c9d73"/>
    <n v="6"/>
    <n v="3"/>
  </r>
  <r>
    <x v="22"/>
    <n v="24"/>
    <d v="2011-10-31T09:32:37"/>
    <s v="5dbe2fd"/>
    <n v="7"/>
    <n v="2"/>
  </r>
  <r>
    <x v="22"/>
    <n v="24"/>
    <d v="2011-11-07T14:33:07"/>
    <s v="8cbbc20"/>
    <n v="8"/>
    <n v="2"/>
  </r>
  <r>
    <x v="22"/>
    <n v="24"/>
    <d v="2011-11-11T13:06:33"/>
    <s v="e8137c8"/>
    <n v="9"/>
    <n v="2"/>
  </r>
  <r>
    <x v="22"/>
    <n v="24"/>
    <d v="2011-11-27T21:40:37"/>
    <s v="0492707"/>
    <n v="10"/>
    <n v="2"/>
  </r>
  <r>
    <x v="22"/>
    <n v="24"/>
    <d v="2011-11-28T17:01:22"/>
    <s v="992158b"/>
    <n v="11"/>
    <n v="5"/>
  </r>
  <r>
    <x v="22"/>
    <n v="24"/>
    <d v="2011-12-12T11:35:40"/>
    <s v="4b14ef5"/>
    <n v="12"/>
    <n v="2"/>
  </r>
  <r>
    <x v="22"/>
    <n v="24"/>
    <d v="2011-12-15T15:11:42"/>
    <s v="8a9260f"/>
    <n v="13"/>
    <n v="2"/>
  </r>
  <r>
    <x v="22"/>
    <n v="24"/>
    <d v="2011-12-15T17:51:25"/>
    <s v="86ce56c"/>
    <n v="14"/>
    <n v="9"/>
  </r>
  <r>
    <x v="22"/>
    <n v="24"/>
    <d v="2011-12-19T13:01:12"/>
    <s v="0db035a"/>
    <n v="15"/>
    <n v="2"/>
  </r>
  <r>
    <x v="22"/>
    <n v="24"/>
    <d v="2011-12-28T12:00:03"/>
    <s v="17ac083"/>
    <n v="16"/>
    <n v="2"/>
  </r>
  <r>
    <x v="22"/>
    <n v="24"/>
    <d v="2011-12-30T19:13:52"/>
    <s v="2d958cd"/>
    <n v="17"/>
    <n v="3"/>
  </r>
  <r>
    <x v="23"/>
    <n v="25"/>
    <d v="2011-09-06T13:12:39"/>
    <s v="4df292d"/>
    <n v="1"/>
    <n v="2"/>
  </r>
  <r>
    <x v="23"/>
    <n v="25"/>
    <d v="2011-09-06T12:08:41"/>
    <s v="fca7ccf"/>
    <n v="2"/>
    <n v="2"/>
  </r>
  <r>
    <x v="23"/>
    <n v="25"/>
    <d v="2011-09-06T13:36:23"/>
    <n v="9349370"/>
    <n v="3"/>
    <n v="9"/>
  </r>
  <r>
    <x v="23"/>
    <n v="25"/>
    <d v="2011-08-31T17:32:58"/>
    <s v="e632df6"/>
    <n v="4"/>
    <n v="2"/>
  </r>
  <r>
    <x v="23"/>
    <n v="25"/>
    <d v="2011-09-08T16:38:11"/>
    <s v="9a3b928"/>
    <n v="5"/>
    <n v="2"/>
  </r>
  <r>
    <x v="23"/>
    <n v="25"/>
    <d v="2011-09-09T09:20:53"/>
    <s v="8b7b11a"/>
    <n v="6"/>
    <n v="2"/>
  </r>
  <r>
    <x v="23"/>
    <n v="25"/>
    <d v="2011-09-11T19:41:53"/>
    <s v="74febb1"/>
    <n v="7"/>
    <n v="2"/>
  </r>
  <r>
    <x v="23"/>
    <n v="25"/>
    <d v="2011-09-19T18:37:00"/>
    <s v="9ce4d7c"/>
    <n v="8"/>
    <n v="2"/>
  </r>
  <r>
    <x v="23"/>
    <n v="25"/>
    <d v="2011-09-19T18:36:34"/>
    <s v="e1d4b80"/>
    <n v="9"/>
    <n v="2"/>
  </r>
  <r>
    <x v="23"/>
    <n v="25"/>
    <d v="2010-12-12T23:30:06"/>
    <s v="731c8aa"/>
    <n v="10"/>
    <n v="2"/>
  </r>
  <r>
    <x v="23"/>
    <n v="25"/>
    <d v="2011-09-22T14:44:58"/>
    <n v="9127640"/>
    <n v="11"/>
    <n v="3"/>
  </r>
  <r>
    <x v="23"/>
    <n v="25"/>
    <d v="2011-09-23T07:25:40"/>
    <s v="8c95d32"/>
    <n v="12"/>
    <n v="2"/>
  </r>
  <r>
    <x v="23"/>
    <n v="25"/>
    <d v="2011-09-23T15:36:47"/>
    <s v="18c7da3"/>
    <n v="13"/>
    <n v="2"/>
  </r>
  <r>
    <x v="23"/>
    <n v="25"/>
    <d v="2011-09-23T22:55:33"/>
    <s v="acd14d1"/>
    <n v="14"/>
    <n v="2"/>
  </r>
  <r>
    <x v="23"/>
    <n v="25"/>
    <d v="2011-09-26T09:21:01"/>
    <s v="7f332b2"/>
    <n v="15"/>
    <n v="2"/>
  </r>
  <r>
    <x v="23"/>
    <n v="25"/>
    <d v="2011-09-26T09:21:05"/>
    <s v="d6ef420"/>
    <n v="16"/>
    <n v="2"/>
  </r>
  <r>
    <x v="23"/>
    <n v="25"/>
    <d v="2011-09-26T14:54:17"/>
    <s v="505661e"/>
    <n v="17"/>
    <n v="9"/>
  </r>
  <r>
    <x v="23"/>
    <n v="25"/>
    <d v="2011-09-28T17:26:20"/>
    <s v="004d50a"/>
    <n v="18"/>
    <n v="3"/>
  </r>
  <r>
    <x v="23"/>
    <n v="25"/>
    <d v="2011-09-28T21:01:38"/>
    <s v="c7b673f"/>
    <n v="19"/>
    <n v="3"/>
  </r>
  <r>
    <x v="23"/>
    <n v="25"/>
    <d v="2011-09-28T16:52:56"/>
    <n v="2247444"/>
    <n v="20"/>
    <n v="3"/>
  </r>
  <r>
    <x v="23"/>
    <n v="25"/>
    <d v="2011-10-01T20:51:02"/>
    <s v="206b691"/>
    <n v="21"/>
    <n v="2"/>
  </r>
  <r>
    <x v="23"/>
    <n v="25"/>
    <d v="2011-10-01T22:05:56"/>
    <s v="f994a4c"/>
    <n v="22"/>
    <n v="2"/>
  </r>
  <r>
    <x v="23"/>
    <n v="25"/>
    <d v="2011-10-09T16:07:18"/>
    <s v="2b7cbeb"/>
    <n v="23"/>
    <n v="2"/>
  </r>
  <r>
    <x v="23"/>
    <n v="25"/>
    <d v="2011-10-11T09:01:52"/>
    <s v="a117dc0"/>
    <n v="24"/>
    <n v="2"/>
  </r>
  <r>
    <x v="23"/>
    <n v="25"/>
    <d v="2011-10-23T22:42:29"/>
    <s v="bac65b5"/>
    <n v="25"/>
    <n v="2"/>
  </r>
  <r>
    <x v="23"/>
    <n v="25"/>
    <d v="2011-10-24T08:01:16"/>
    <s v="c172859"/>
    <n v="26"/>
    <n v="9"/>
  </r>
  <r>
    <x v="23"/>
    <n v="25"/>
    <d v="2011-10-24T08:00:24"/>
    <s v="08214f2"/>
    <n v="27"/>
    <n v="9"/>
  </r>
  <r>
    <x v="23"/>
    <n v="25"/>
    <d v="2011-10-21T11:53:20"/>
    <s v="8af1559"/>
    <n v="28"/>
    <n v="2"/>
  </r>
  <r>
    <x v="23"/>
    <n v="25"/>
    <d v="2011-10-28T17:31:46"/>
    <s v="d2b16af"/>
    <n v="29"/>
    <n v="2"/>
  </r>
  <r>
    <x v="23"/>
    <n v="25"/>
    <d v="2011-10-29T10:16:55"/>
    <s v="4745dbc"/>
    <n v="30"/>
    <n v="7"/>
  </r>
  <r>
    <x v="23"/>
    <n v="25"/>
    <d v="2011-10-30T19:00:16"/>
    <s v="e1691a1"/>
    <n v="31"/>
    <n v="4"/>
  </r>
  <r>
    <x v="23"/>
    <n v="25"/>
    <d v="2011-11-07T14:29:28"/>
    <s v="8b9c741"/>
    <n v="32"/>
    <n v="2"/>
  </r>
  <r>
    <x v="23"/>
    <n v="25"/>
    <d v="2011-11-07T14:32:54"/>
    <s v="40d55da"/>
    <n v="33"/>
    <n v="2"/>
  </r>
  <r>
    <x v="23"/>
    <n v="25"/>
    <d v="2011-11-09T13:06:33"/>
    <s v="7c53833"/>
    <n v="34"/>
    <n v="2"/>
  </r>
  <r>
    <x v="23"/>
    <n v="25"/>
    <d v="2012-06-11T23:34:56"/>
    <s v="8b9b5d6"/>
    <n v="35"/>
    <n v="2"/>
  </r>
  <r>
    <x v="23"/>
    <n v="25"/>
    <d v="2012-01-24T11:42:18"/>
    <s v="c857792"/>
    <n v="36"/>
    <n v="9"/>
  </r>
  <r>
    <x v="23"/>
    <n v="25"/>
    <d v="2011-11-13T13:06:33"/>
    <s v="5c0d955"/>
    <n v="37"/>
    <n v="2"/>
  </r>
  <r>
    <x v="23"/>
    <n v="25"/>
    <d v="2011-01-13T10:17:22"/>
    <s v="8a3d9c0"/>
    <n v="38"/>
    <n v="2"/>
  </r>
  <r>
    <x v="23"/>
    <n v="25"/>
    <d v="2011-11-14T12:13:17"/>
    <s v="0492120"/>
    <n v="39"/>
    <n v="2"/>
  </r>
  <r>
    <x v="23"/>
    <n v="25"/>
    <d v="2011-11-17T22:12:02"/>
    <s v="b15409a"/>
    <n v="40"/>
    <n v="2"/>
  </r>
  <r>
    <x v="23"/>
    <n v="25"/>
    <d v="2011-11-27T19:20:45"/>
    <s v="0db7b74"/>
    <n v="41"/>
    <n v="9"/>
  </r>
  <r>
    <x v="23"/>
    <n v="25"/>
    <d v="2011-11-27T19:21:13"/>
    <s v="4150d11"/>
    <n v="42"/>
    <n v="9"/>
  </r>
  <r>
    <x v="23"/>
    <n v="25"/>
    <d v="2011-11-27T21:40:40"/>
    <s v="bfa7d1e"/>
    <n v="43"/>
    <n v="2"/>
  </r>
  <r>
    <x v="23"/>
    <n v="25"/>
    <d v="2011-12-02T23:45:03"/>
    <s v="e645c17"/>
    <n v="44"/>
    <n v="2"/>
  </r>
  <r>
    <x v="23"/>
    <n v="25"/>
    <d v="2011-12-05T10:25:22"/>
    <s v="f8a220d"/>
    <n v="45"/>
    <n v="2"/>
  </r>
  <r>
    <x v="23"/>
    <n v="25"/>
    <d v="2011-12-05T10:54:32"/>
    <s v="5b634a3"/>
    <n v="46"/>
    <n v="9"/>
  </r>
  <r>
    <x v="23"/>
    <n v="25"/>
    <d v="2011-12-12T09:42:46"/>
    <s v="d755cda"/>
    <n v="47"/>
    <n v="2"/>
  </r>
  <r>
    <x v="23"/>
    <n v="25"/>
    <d v="2011-12-12T17:57:02"/>
    <s v="ad6a638"/>
    <n v="48"/>
    <n v="2"/>
  </r>
  <r>
    <x v="23"/>
    <n v="25"/>
    <d v="2011-12-15T17:49:29"/>
    <s v="7c63543"/>
    <n v="49"/>
    <n v="9"/>
  </r>
  <r>
    <x v="23"/>
    <n v="25"/>
    <d v="2011-08-15T20:22:53"/>
    <s v="3fd9889"/>
    <n v="50"/>
    <n v="3"/>
  </r>
  <r>
    <x v="23"/>
    <n v="25"/>
    <d v="2011-12-19T12:15:34"/>
    <n v="9713527"/>
    <n v="51"/>
    <n v="5"/>
  </r>
  <r>
    <x v="23"/>
    <n v="25"/>
    <d v="2011-12-23T17:18:07"/>
    <s v="8bfbd43"/>
    <n v="52"/>
    <n v="2"/>
  </r>
  <r>
    <x v="23"/>
    <n v="25"/>
    <d v="2011-12-26T10:40:55"/>
    <n v="7008376"/>
    <n v="53"/>
    <n v="2"/>
  </r>
  <r>
    <x v="23"/>
    <n v="25"/>
    <d v="2011-12-27T14:02:00"/>
    <s v="af0b6f8"/>
    <n v="54"/>
    <n v="3"/>
  </r>
  <r>
    <x v="24"/>
    <n v="26"/>
    <d v="2011-10-21T11:31:27"/>
    <s v="c8c5c13"/>
    <n v="1"/>
    <n v="2"/>
  </r>
  <r>
    <x v="24"/>
    <n v="26"/>
    <d v="2011-10-04T13:19:42"/>
    <s v="528ee7e"/>
    <n v="2"/>
    <n v="4"/>
  </r>
  <r>
    <x v="24"/>
    <n v="26"/>
    <d v="2011-12-13T08:38:47"/>
    <s v="65af34a"/>
    <n v="3"/>
    <n v="2"/>
  </r>
  <r>
    <x v="25"/>
    <n v="27"/>
    <d v="2011-12-29T18:17:15"/>
    <s v="927f7e0"/>
    <n v="1"/>
    <n v="2"/>
  </r>
  <r>
    <x v="26"/>
    <n v="28"/>
    <d v="2011-10-29T14:52:44"/>
    <s v="ccdbd83"/>
    <n v="1"/>
    <n v="2"/>
  </r>
  <r>
    <x v="27"/>
    <n v="29"/>
    <d v="2011-11-14T13:06:33"/>
    <s v="9ef8a5c"/>
    <n v="1"/>
    <n v="2"/>
  </r>
  <r>
    <x v="28"/>
    <n v="30"/>
    <d v="2011-10-05T13:53:59"/>
    <s v="06f88e0"/>
    <n v="1"/>
    <n v="13"/>
  </r>
  <r>
    <x v="28"/>
    <n v="30"/>
    <d v="2011-10-13T01:42:29"/>
    <s v="87f18ec"/>
    <n v="2"/>
    <n v="3"/>
  </r>
  <r>
    <x v="29"/>
    <n v="31"/>
    <d v="2011-09-05T08:53:46"/>
    <s v="17ab5d5"/>
    <n v="1"/>
    <n v="2"/>
  </r>
  <r>
    <x v="29"/>
    <n v="31"/>
    <d v="2011-09-14T09:51:39"/>
    <s v="3b00a37"/>
    <n v="2"/>
    <n v="3"/>
  </r>
  <r>
    <x v="29"/>
    <n v="31"/>
    <d v="2011-09-26T02:27:50"/>
    <s v="09bc78a"/>
    <n v="3"/>
    <n v="3"/>
  </r>
  <r>
    <x v="29"/>
    <n v="31"/>
    <d v="2011-09-26T21:41:17"/>
    <s v="cf2a725"/>
    <n v="4"/>
    <n v="2"/>
  </r>
  <r>
    <x v="29"/>
    <n v="31"/>
    <d v="2011-09-27T14:38:07"/>
    <s v="663897c"/>
    <n v="5"/>
    <n v="2"/>
  </r>
  <r>
    <x v="29"/>
    <n v="31"/>
    <d v="2011-10-05T06:40:09"/>
    <s v="829ccf0"/>
    <n v="6"/>
    <n v="10"/>
  </r>
  <r>
    <x v="29"/>
    <n v="31"/>
    <d v="2011-10-13T01:40:20"/>
    <s v="2b461b1"/>
    <n v="7"/>
    <n v="3"/>
  </r>
  <r>
    <x v="29"/>
    <n v="31"/>
    <d v="2011-10-12T11:37:49"/>
    <s v="8ca078e"/>
    <n v="8"/>
    <n v="3"/>
  </r>
  <r>
    <x v="29"/>
    <n v="31"/>
    <d v="2011-10-28T23:02:12"/>
    <s v="ff8585c"/>
    <n v="9"/>
    <n v="2"/>
  </r>
  <r>
    <x v="29"/>
    <n v="31"/>
    <d v="2011-11-07T15:30:02"/>
    <s v="9e73abd"/>
    <n v="10"/>
    <n v="3"/>
  </r>
  <r>
    <x v="29"/>
    <n v="31"/>
    <d v="2011-10-19T09:07:38"/>
    <s v="c24a2b1"/>
    <n v="11"/>
    <n v="3"/>
  </r>
  <r>
    <x v="30"/>
    <n v="32"/>
    <d v="2011-09-06T00:31:55"/>
    <s v="4f573d1"/>
    <n v="1"/>
    <n v="2"/>
  </r>
  <r>
    <x v="30"/>
    <n v="32"/>
    <d v="2011-09-28T17:27:24"/>
    <s v="cc1f75c"/>
    <n v="2"/>
    <n v="3"/>
  </r>
  <r>
    <x v="30"/>
    <n v="32"/>
    <d v="2011-09-27T18:26:54"/>
    <n v="9912235"/>
    <n v="3"/>
    <n v="3"/>
  </r>
  <r>
    <x v="30"/>
    <n v="32"/>
    <d v="2011-10-04T23:52:12"/>
    <n v="4366658"/>
    <n v="4"/>
    <n v="3"/>
  </r>
  <r>
    <x v="30"/>
    <n v="32"/>
    <d v="2011-09-26T11:32:53"/>
    <s v="b4ad3fb"/>
    <n v="5"/>
    <n v="11"/>
  </r>
  <r>
    <x v="30"/>
    <n v="32"/>
    <d v="2011-10-12T11:04:00"/>
    <s v="506d09a"/>
    <n v="6"/>
    <n v="2"/>
  </r>
  <r>
    <x v="30"/>
    <n v="32"/>
    <d v="2011-10-18T14:20:08"/>
    <s v="906d164"/>
    <n v="7"/>
    <n v="3"/>
  </r>
  <r>
    <x v="30"/>
    <n v="32"/>
    <d v="2011-10-20T16:45:56"/>
    <s v="e31dbf7"/>
    <n v="8"/>
    <n v="7"/>
  </r>
  <r>
    <x v="30"/>
    <n v="32"/>
    <d v="2011-10-24T23:30:50"/>
    <s v="dfffcf0"/>
    <n v="9"/>
    <n v="3"/>
  </r>
  <r>
    <x v="31"/>
    <n v="33"/>
    <d v="2011-09-05T22:12:01"/>
    <s v="15b2a8b"/>
    <n v="1"/>
    <n v="2"/>
  </r>
  <r>
    <x v="31"/>
    <n v="33"/>
    <d v="2011-09-07T01:24:55"/>
    <s v="71e1ae7"/>
    <n v="2"/>
    <n v="2"/>
  </r>
  <r>
    <x v="31"/>
    <n v="33"/>
    <d v="2011-09-23T22:06:48"/>
    <s v="02e7384"/>
    <n v="3"/>
    <n v="2"/>
  </r>
  <r>
    <x v="31"/>
    <n v="33"/>
    <d v="2011-09-29T00:31:46"/>
    <s v="b68aaa6"/>
    <n v="4"/>
    <n v="2"/>
  </r>
  <r>
    <x v="31"/>
    <n v="33"/>
    <d v="2011-09-30T04:58:20"/>
    <s v="08b6855"/>
    <n v="5"/>
    <n v="3"/>
  </r>
  <r>
    <x v="31"/>
    <n v="33"/>
    <d v="2011-09-29T23:17:30"/>
    <s v="b1f1dbf"/>
    <n v="6"/>
    <n v="2"/>
  </r>
  <r>
    <x v="31"/>
    <n v="33"/>
    <d v="2011-10-07T14:09:54"/>
    <s v="0d660f0"/>
    <n v="7"/>
    <n v="2"/>
  </r>
  <r>
    <x v="31"/>
    <n v="33"/>
    <d v="2011-11-18T15:31:50"/>
    <s v="67a8fae"/>
    <n v="8"/>
    <n v="3"/>
  </r>
  <r>
    <x v="31"/>
    <n v="33"/>
    <d v="2011-11-25T11:32:59"/>
    <s v="e10ddf6"/>
    <n v="9"/>
    <n v="2"/>
  </r>
  <r>
    <x v="31"/>
    <n v="33"/>
    <d v="2011-12-21T09:53:32"/>
    <s v="7bba3ab"/>
    <n v="10"/>
    <n v="2"/>
  </r>
  <r>
    <x v="31"/>
    <n v="33"/>
    <d v="2011-12-29T23:15:31"/>
    <s v="689eef2"/>
    <n v="11"/>
    <n v="2"/>
  </r>
  <r>
    <x v="31"/>
    <n v="33"/>
    <d v="2011-12-31T10:36:21"/>
    <s v="78792b3"/>
    <n v="12"/>
    <n v="2"/>
  </r>
  <r>
    <x v="32"/>
    <n v="34"/>
    <d v="2011-09-23T13:35:29"/>
    <s v="29c5354"/>
    <n v="1"/>
    <n v="2"/>
  </r>
  <r>
    <x v="32"/>
    <n v="34"/>
    <d v="2011-09-26T11:03:51"/>
    <s v="17baab5"/>
    <n v="2"/>
    <n v="3"/>
  </r>
  <r>
    <x v="32"/>
    <n v="34"/>
    <d v="2011-10-05T12:04:16"/>
    <s v="08260e2"/>
    <n v="3"/>
    <n v="10"/>
  </r>
  <r>
    <x v="33"/>
    <n v="35"/>
    <d v="2011-10-11T21:11:58"/>
    <s v="2f9fff9"/>
    <n v="1"/>
    <n v="3"/>
  </r>
  <r>
    <x v="34"/>
    <n v="36"/>
    <d v="2011-09-06T23:13:35"/>
    <s v="5668a06"/>
    <n v="1"/>
    <n v="2"/>
  </r>
  <r>
    <x v="34"/>
    <n v="36"/>
    <d v="2011-09-30T12:25:25"/>
    <s v="952f19f"/>
    <n v="2"/>
    <n v="3"/>
  </r>
  <r>
    <x v="35"/>
    <n v="37"/>
    <d v="2011-12-14T20:38:55"/>
    <s v="879b3f0"/>
    <n v="1"/>
    <n v="3"/>
  </r>
  <r>
    <x v="36"/>
    <n v="38"/>
    <d v="2011-10-13T23:45:07"/>
    <s v="0955a19"/>
    <n v="1"/>
    <n v="2"/>
  </r>
  <r>
    <x v="36"/>
    <n v="38"/>
    <d v="2011-11-09T01:02:29"/>
    <s v="3a52395"/>
    <n v="2"/>
    <n v="2"/>
  </r>
  <r>
    <x v="37"/>
    <n v="39"/>
    <d v="2011-09-03T01:32:04"/>
    <s v="f2f1e72"/>
    <n v="1"/>
    <n v="2"/>
  </r>
  <r>
    <x v="37"/>
    <n v="39"/>
    <d v="2011-09-20T02:36:38"/>
    <s v="9a33396"/>
    <n v="2"/>
    <n v="2"/>
  </r>
  <r>
    <x v="37"/>
    <n v="39"/>
    <d v="2011-09-21T15:42:00"/>
    <s v="f67476c"/>
    <n v="3"/>
    <n v="2"/>
  </r>
  <r>
    <x v="37"/>
    <n v="39"/>
    <d v="2011-09-22T12:07:45"/>
    <s v="5b3990e"/>
    <n v="4"/>
    <n v="2"/>
  </r>
  <r>
    <x v="37"/>
    <n v="39"/>
    <d v="2011-09-27T11:23:25"/>
    <s v="0fc7a71"/>
    <n v="5"/>
    <n v="2"/>
  </r>
  <r>
    <x v="37"/>
    <n v="39"/>
    <d v="2011-09-29T05:36:04"/>
    <s v="e8e9ac0"/>
    <n v="6"/>
    <n v="3"/>
  </r>
  <r>
    <x v="37"/>
    <n v="39"/>
    <d v="2011-10-01T11:27:31"/>
    <s v="56f2492"/>
    <n v="7"/>
    <n v="2"/>
  </r>
  <r>
    <x v="37"/>
    <n v="39"/>
    <d v="2011-10-16T16:23:20"/>
    <s v="623bcc8"/>
    <n v="8"/>
    <n v="9"/>
  </r>
  <r>
    <x v="37"/>
    <n v="39"/>
    <d v="2011-10-17T21:56:20"/>
    <s v="0f2f7be"/>
    <n v="9"/>
    <n v="2"/>
  </r>
  <r>
    <x v="37"/>
    <n v="39"/>
    <d v="2011-10-20T05:32:13"/>
    <s v="c236f9d"/>
    <n v="10"/>
    <n v="2"/>
  </r>
  <r>
    <x v="37"/>
    <n v="39"/>
    <d v="2011-10-20T21:49:51"/>
    <n v="5247178"/>
    <n v="11"/>
    <n v="2"/>
  </r>
  <r>
    <x v="37"/>
    <n v="39"/>
    <d v="2011-10-24T22:38:40"/>
    <s v="64b953d"/>
    <n v="12"/>
    <n v="3"/>
  </r>
  <r>
    <x v="37"/>
    <n v="39"/>
    <d v="2011-11-10T13:06:33"/>
    <s v="18e1926"/>
    <n v="13"/>
    <n v="3"/>
  </r>
  <r>
    <x v="37"/>
    <n v="39"/>
    <d v="2011-12-29T14:26:08"/>
    <s v="38e155e"/>
    <n v="14"/>
    <n v="2"/>
  </r>
  <r>
    <x v="38"/>
    <n v="40"/>
    <d v="2011-09-03T21:35:49"/>
    <s v="6f38923"/>
    <n v="1"/>
    <n v="2"/>
  </r>
  <r>
    <x v="38"/>
    <n v="40"/>
    <d v="2011-09-29T10:45:56"/>
    <s v="8a2137f"/>
    <n v="2"/>
    <n v="2"/>
  </r>
  <r>
    <x v="39"/>
    <n v="41"/>
    <d v="2011-10-07T11:01:40"/>
    <s v="e672bf0"/>
    <n v="1"/>
    <n v="2"/>
  </r>
  <r>
    <x v="39"/>
    <n v="41"/>
    <d v="2011-10-19T16:37:22"/>
    <s v="1d5cddd"/>
    <n v="2"/>
    <n v="3"/>
  </r>
  <r>
    <x v="39"/>
    <n v="41"/>
    <d v="2011-10-20T10:27:28"/>
    <s v="bed2a27"/>
    <n v="3"/>
    <n v="2"/>
  </r>
  <r>
    <x v="40"/>
    <n v="42"/>
    <d v="2011-09-23T10:24:14"/>
    <s v="8b54bc4"/>
    <n v="1"/>
    <n v="1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05">
  <r>
    <x v="0"/>
    <m/>
    <m/>
    <m/>
    <n v="0"/>
  </r>
  <r>
    <x v="1"/>
    <n v="1"/>
    <m/>
    <m/>
    <n v="1"/>
  </r>
  <r>
    <x v="2"/>
    <m/>
    <m/>
    <m/>
    <n v="0"/>
  </r>
  <r>
    <x v="3"/>
    <m/>
    <m/>
    <m/>
    <n v="0"/>
  </r>
  <r>
    <x v="4"/>
    <m/>
    <m/>
    <m/>
    <n v="0"/>
  </r>
  <r>
    <x v="5"/>
    <n v="1"/>
    <n v="1"/>
    <m/>
    <n v="2"/>
  </r>
  <r>
    <x v="6"/>
    <m/>
    <m/>
    <m/>
    <n v="0"/>
  </r>
  <r>
    <x v="7"/>
    <n v="1"/>
    <m/>
    <m/>
    <n v="1"/>
  </r>
  <r>
    <x v="8"/>
    <m/>
    <m/>
    <n v="1"/>
    <n v="1"/>
  </r>
  <r>
    <x v="9"/>
    <m/>
    <m/>
    <m/>
    <n v="0"/>
  </r>
  <r>
    <x v="10"/>
    <m/>
    <m/>
    <m/>
    <n v="0"/>
  </r>
  <r>
    <x v="11"/>
    <m/>
    <m/>
    <m/>
    <n v="0"/>
  </r>
  <r>
    <x v="12"/>
    <m/>
    <m/>
    <m/>
    <n v="0"/>
  </r>
  <r>
    <x v="13"/>
    <m/>
    <m/>
    <m/>
    <n v="0"/>
  </r>
  <r>
    <x v="14"/>
    <n v="1"/>
    <m/>
    <m/>
    <n v="1"/>
  </r>
  <r>
    <x v="15"/>
    <n v="1"/>
    <m/>
    <n v="1"/>
    <n v="2"/>
  </r>
  <r>
    <x v="16"/>
    <m/>
    <n v="1"/>
    <m/>
    <n v="1"/>
  </r>
  <r>
    <x v="17"/>
    <m/>
    <m/>
    <m/>
    <n v="0"/>
  </r>
  <r>
    <x v="18"/>
    <n v="1"/>
    <n v="1"/>
    <m/>
    <n v="2"/>
  </r>
  <r>
    <x v="19"/>
    <n v="1"/>
    <m/>
    <m/>
    <n v="1"/>
  </r>
  <r>
    <x v="20"/>
    <m/>
    <m/>
    <m/>
    <n v="0"/>
  </r>
  <r>
    <x v="21"/>
    <n v="1"/>
    <m/>
    <m/>
    <n v="1"/>
  </r>
  <r>
    <x v="22"/>
    <m/>
    <m/>
    <m/>
    <n v="0"/>
  </r>
  <r>
    <x v="23"/>
    <m/>
    <m/>
    <m/>
    <n v="0"/>
  </r>
  <r>
    <x v="24"/>
    <m/>
    <m/>
    <m/>
    <n v="0"/>
  </r>
  <r>
    <x v="25"/>
    <m/>
    <n v="1"/>
    <m/>
    <n v="1"/>
  </r>
  <r>
    <x v="26"/>
    <m/>
    <m/>
    <m/>
    <n v="0"/>
  </r>
  <r>
    <x v="27"/>
    <m/>
    <m/>
    <m/>
    <n v="0"/>
  </r>
  <r>
    <x v="28"/>
    <m/>
    <m/>
    <m/>
    <n v="0"/>
  </r>
  <r>
    <x v="29"/>
    <m/>
    <m/>
    <m/>
    <n v="0"/>
  </r>
  <r>
    <x v="30"/>
    <m/>
    <m/>
    <m/>
    <n v="0"/>
  </r>
  <r>
    <x v="31"/>
    <n v="1"/>
    <m/>
    <m/>
    <n v="1"/>
  </r>
  <r>
    <x v="32"/>
    <m/>
    <m/>
    <n v="1"/>
    <n v="1"/>
  </r>
  <r>
    <x v="33"/>
    <m/>
    <m/>
    <m/>
    <n v="0"/>
  </r>
  <r>
    <x v="34"/>
    <m/>
    <m/>
    <m/>
    <n v="0"/>
  </r>
  <r>
    <x v="35"/>
    <m/>
    <m/>
    <m/>
    <n v="0"/>
  </r>
  <r>
    <x v="36"/>
    <m/>
    <m/>
    <m/>
    <n v="0"/>
  </r>
  <r>
    <x v="37"/>
    <m/>
    <m/>
    <m/>
    <n v="0"/>
  </r>
  <r>
    <x v="38"/>
    <m/>
    <n v="1"/>
    <m/>
    <n v="1"/>
  </r>
  <r>
    <x v="39"/>
    <m/>
    <m/>
    <m/>
    <n v="0"/>
  </r>
  <r>
    <x v="40"/>
    <m/>
    <m/>
    <m/>
    <n v="0"/>
  </r>
  <r>
    <x v="41"/>
    <m/>
    <m/>
    <m/>
    <n v="0"/>
  </r>
  <r>
    <x v="42"/>
    <m/>
    <m/>
    <n v="1"/>
    <n v="1"/>
  </r>
  <r>
    <x v="43"/>
    <m/>
    <m/>
    <n v="1"/>
    <n v="1"/>
  </r>
  <r>
    <x v="44"/>
    <m/>
    <m/>
    <m/>
    <n v="0"/>
  </r>
  <r>
    <x v="45"/>
    <m/>
    <m/>
    <m/>
    <n v="0"/>
  </r>
  <r>
    <x v="46"/>
    <m/>
    <m/>
    <m/>
    <n v="0"/>
  </r>
  <r>
    <x v="47"/>
    <m/>
    <m/>
    <m/>
    <n v="0"/>
  </r>
  <r>
    <x v="48"/>
    <m/>
    <n v="1"/>
    <m/>
    <n v="1"/>
  </r>
  <r>
    <x v="49"/>
    <m/>
    <m/>
    <m/>
    <n v="0"/>
  </r>
  <r>
    <x v="50"/>
    <m/>
    <m/>
    <m/>
    <n v="0"/>
  </r>
  <r>
    <x v="51"/>
    <m/>
    <m/>
    <m/>
    <n v="0"/>
  </r>
  <r>
    <x v="52"/>
    <m/>
    <m/>
    <m/>
    <n v="0"/>
  </r>
  <r>
    <x v="53"/>
    <m/>
    <m/>
    <m/>
    <n v="0"/>
  </r>
  <r>
    <x v="54"/>
    <m/>
    <m/>
    <m/>
    <n v="0"/>
  </r>
  <r>
    <x v="55"/>
    <m/>
    <m/>
    <m/>
    <n v="0"/>
  </r>
  <r>
    <x v="56"/>
    <m/>
    <m/>
    <m/>
    <n v="0"/>
  </r>
  <r>
    <x v="57"/>
    <m/>
    <m/>
    <m/>
    <n v="0"/>
  </r>
  <r>
    <x v="58"/>
    <m/>
    <m/>
    <m/>
    <n v="0"/>
  </r>
  <r>
    <x v="59"/>
    <m/>
    <m/>
    <m/>
    <n v="0"/>
  </r>
  <r>
    <x v="60"/>
    <m/>
    <m/>
    <m/>
    <n v="0"/>
  </r>
  <r>
    <x v="61"/>
    <m/>
    <m/>
    <m/>
    <n v="0"/>
  </r>
  <r>
    <x v="62"/>
    <m/>
    <m/>
    <m/>
    <n v="0"/>
  </r>
  <r>
    <x v="63"/>
    <m/>
    <n v="1"/>
    <m/>
    <n v="1"/>
  </r>
  <r>
    <x v="64"/>
    <m/>
    <m/>
    <m/>
    <n v="0"/>
  </r>
  <r>
    <x v="65"/>
    <m/>
    <m/>
    <m/>
    <n v="0"/>
  </r>
  <r>
    <x v="66"/>
    <m/>
    <n v="1"/>
    <m/>
    <n v="1"/>
  </r>
  <r>
    <x v="67"/>
    <m/>
    <m/>
    <m/>
    <n v="0"/>
  </r>
  <r>
    <x v="68"/>
    <m/>
    <m/>
    <m/>
    <n v="0"/>
  </r>
  <r>
    <x v="69"/>
    <n v="1"/>
    <m/>
    <m/>
    <n v="1"/>
  </r>
  <r>
    <x v="69"/>
    <m/>
    <m/>
    <m/>
    <n v="0"/>
  </r>
  <r>
    <x v="70"/>
    <m/>
    <n v="1"/>
    <m/>
    <n v="1"/>
  </r>
  <r>
    <x v="71"/>
    <n v="1"/>
    <m/>
    <m/>
    <n v="1"/>
  </r>
  <r>
    <x v="72"/>
    <m/>
    <m/>
    <m/>
    <n v="0"/>
  </r>
  <r>
    <x v="73"/>
    <m/>
    <m/>
    <m/>
    <n v="0"/>
  </r>
  <r>
    <x v="74"/>
    <m/>
    <m/>
    <m/>
    <n v="0"/>
  </r>
  <r>
    <x v="75"/>
    <m/>
    <m/>
    <m/>
    <n v="0"/>
  </r>
  <r>
    <x v="76"/>
    <m/>
    <m/>
    <m/>
    <n v="0"/>
  </r>
  <r>
    <x v="77"/>
    <m/>
    <m/>
    <m/>
    <n v="0"/>
  </r>
  <r>
    <x v="78"/>
    <m/>
    <m/>
    <m/>
    <n v="0"/>
  </r>
  <r>
    <x v="79"/>
    <n v="1"/>
    <m/>
    <m/>
    <n v="1"/>
  </r>
  <r>
    <x v="79"/>
    <n v="1"/>
    <m/>
    <m/>
    <n v="1"/>
  </r>
  <r>
    <x v="80"/>
    <m/>
    <m/>
    <m/>
    <n v="0"/>
  </r>
  <r>
    <x v="81"/>
    <m/>
    <n v="1"/>
    <m/>
    <n v="1"/>
  </r>
  <r>
    <x v="82"/>
    <m/>
    <n v="1"/>
    <m/>
    <n v="1"/>
  </r>
  <r>
    <x v="83"/>
    <m/>
    <m/>
    <m/>
    <n v="0"/>
  </r>
  <r>
    <x v="84"/>
    <m/>
    <m/>
    <m/>
    <n v="0"/>
  </r>
  <r>
    <x v="85"/>
    <n v="1"/>
    <m/>
    <m/>
    <n v="1"/>
  </r>
  <r>
    <x v="86"/>
    <m/>
    <m/>
    <n v="1"/>
    <n v="1"/>
  </r>
  <r>
    <x v="87"/>
    <m/>
    <n v="1"/>
    <m/>
    <n v="1"/>
  </r>
  <r>
    <x v="88"/>
    <m/>
    <m/>
    <m/>
    <n v="0"/>
  </r>
  <r>
    <x v="89"/>
    <m/>
    <m/>
    <m/>
    <n v="0"/>
  </r>
  <r>
    <x v="90"/>
    <m/>
    <m/>
    <m/>
    <n v="0"/>
  </r>
  <r>
    <x v="91"/>
    <m/>
    <m/>
    <m/>
    <n v="0"/>
  </r>
  <r>
    <x v="92"/>
    <m/>
    <m/>
    <m/>
    <n v="0"/>
  </r>
  <r>
    <x v="93"/>
    <m/>
    <m/>
    <m/>
    <n v="0"/>
  </r>
  <r>
    <x v="94"/>
    <m/>
    <m/>
    <m/>
    <n v="0"/>
  </r>
  <r>
    <x v="95"/>
    <n v="1"/>
    <m/>
    <m/>
    <n v="1"/>
  </r>
  <r>
    <x v="96"/>
    <m/>
    <m/>
    <m/>
    <n v="0"/>
  </r>
  <r>
    <x v="97"/>
    <m/>
    <m/>
    <m/>
    <n v="0"/>
  </r>
  <r>
    <x v="98"/>
    <m/>
    <m/>
    <m/>
    <n v="0"/>
  </r>
  <r>
    <x v="99"/>
    <m/>
    <n v="1"/>
    <m/>
    <n v="1"/>
  </r>
  <r>
    <x v="100"/>
    <m/>
    <m/>
    <m/>
    <n v="0"/>
  </r>
  <r>
    <x v="101"/>
    <m/>
    <m/>
    <m/>
    <n v="0"/>
  </r>
  <r>
    <x v="102"/>
    <m/>
    <m/>
    <m/>
    <n v="0"/>
  </r>
  <r>
    <x v="103"/>
    <m/>
    <m/>
    <m/>
    <n v="0"/>
  </r>
  <r>
    <x v="104"/>
    <m/>
    <m/>
    <m/>
    <n v="0"/>
  </r>
  <r>
    <x v="105"/>
    <m/>
    <m/>
    <m/>
    <n v="0"/>
  </r>
  <r>
    <x v="106"/>
    <m/>
    <n v="1"/>
    <m/>
    <n v="1"/>
  </r>
  <r>
    <x v="107"/>
    <m/>
    <m/>
    <m/>
    <n v="0"/>
  </r>
  <r>
    <x v="108"/>
    <m/>
    <n v="1"/>
    <m/>
    <n v="1"/>
  </r>
  <r>
    <x v="109"/>
    <m/>
    <m/>
    <m/>
    <n v="0"/>
  </r>
  <r>
    <x v="110"/>
    <m/>
    <m/>
    <n v="1"/>
    <n v="1"/>
  </r>
  <r>
    <x v="111"/>
    <m/>
    <m/>
    <m/>
    <n v="0"/>
  </r>
  <r>
    <x v="112"/>
    <m/>
    <m/>
    <m/>
    <n v="0"/>
  </r>
  <r>
    <x v="113"/>
    <n v="1"/>
    <m/>
    <m/>
    <n v="1"/>
  </r>
  <r>
    <x v="114"/>
    <m/>
    <m/>
    <n v="1"/>
    <n v="1"/>
  </r>
  <r>
    <x v="115"/>
    <n v="1"/>
    <m/>
    <m/>
    <n v="1"/>
  </r>
  <r>
    <x v="116"/>
    <m/>
    <n v="1"/>
    <m/>
    <n v="1"/>
  </r>
  <r>
    <x v="117"/>
    <m/>
    <m/>
    <m/>
    <n v="0"/>
  </r>
  <r>
    <x v="118"/>
    <m/>
    <m/>
    <m/>
    <n v="0"/>
  </r>
  <r>
    <x v="119"/>
    <m/>
    <n v="1"/>
    <m/>
    <n v="1"/>
  </r>
  <r>
    <x v="120"/>
    <m/>
    <m/>
    <m/>
    <n v="0"/>
  </r>
  <r>
    <x v="121"/>
    <m/>
    <m/>
    <m/>
    <n v="0"/>
  </r>
  <r>
    <x v="122"/>
    <n v="1"/>
    <m/>
    <m/>
    <n v="1"/>
  </r>
  <r>
    <x v="123"/>
    <m/>
    <m/>
    <m/>
    <n v="0"/>
  </r>
  <r>
    <x v="124"/>
    <m/>
    <n v="1"/>
    <m/>
    <n v="1"/>
  </r>
  <r>
    <x v="125"/>
    <m/>
    <n v="1"/>
    <m/>
    <n v="1"/>
  </r>
  <r>
    <x v="126"/>
    <n v="1"/>
    <m/>
    <m/>
    <n v="1"/>
  </r>
  <r>
    <x v="127"/>
    <n v="1"/>
    <m/>
    <m/>
    <n v="1"/>
  </r>
  <r>
    <x v="128"/>
    <m/>
    <n v="1"/>
    <m/>
    <n v="1"/>
  </r>
  <r>
    <x v="129"/>
    <m/>
    <m/>
    <m/>
    <n v="0"/>
  </r>
  <r>
    <x v="130"/>
    <n v="1"/>
    <m/>
    <m/>
    <n v="1"/>
  </r>
  <r>
    <x v="131"/>
    <n v="1"/>
    <m/>
    <m/>
    <n v="1"/>
  </r>
  <r>
    <x v="132"/>
    <m/>
    <m/>
    <m/>
    <n v="0"/>
  </r>
  <r>
    <x v="132"/>
    <m/>
    <n v="1"/>
    <m/>
    <n v="1"/>
  </r>
  <r>
    <x v="133"/>
    <m/>
    <m/>
    <n v="1"/>
    <n v="1"/>
  </r>
  <r>
    <x v="134"/>
    <n v="1"/>
    <m/>
    <m/>
    <n v="1"/>
  </r>
  <r>
    <x v="135"/>
    <m/>
    <m/>
    <m/>
    <n v="0"/>
  </r>
  <r>
    <x v="136"/>
    <m/>
    <m/>
    <m/>
    <n v="0"/>
  </r>
  <r>
    <x v="137"/>
    <m/>
    <m/>
    <m/>
    <n v="0"/>
  </r>
  <r>
    <x v="138"/>
    <m/>
    <n v="1"/>
    <m/>
    <n v="1"/>
  </r>
  <r>
    <x v="139"/>
    <n v="1"/>
    <m/>
    <m/>
    <n v="1"/>
  </r>
  <r>
    <x v="140"/>
    <n v="1"/>
    <m/>
    <m/>
    <n v="1"/>
  </r>
  <r>
    <x v="141"/>
    <m/>
    <m/>
    <m/>
    <n v="0"/>
  </r>
  <r>
    <x v="142"/>
    <m/>
    <n v="1"/>
    <m/>
    <n v="1"/>
  </r>
  <r>
    <x v="143"/>
    <n v="1"/>
    <m/>
    <m/>
    <n v="1"/>
  </r>
  <r>
    <x v="144"/>
    <m/>
    <n v="1"/>
    <m/>
    <n v="1"/>
  </r>
  <r>
    <x v="145"/>
    <m/>
    <m/>
    <m/>
    <n v="0"/>
  </r>
  <r>
    <x v="146"/>
    <n v="1"/>
    <m/>
    <m/>
    <n v="1"/>
  </r>
  <r>
    <x v="147"/>
    <m/>
    <m/>
    <m/>
    <n v="0"/>
  </r>
  <r>
    <x v="148"/>
    <n v="1"/>
    <m/>
    <m/>
    <n v="1"/>
  </r>
  <r>
    <x v="149"/>
    <n v="1"/>
    <n v="1"/>
    <m/>
    <n v="2"/>
  </r>
  <r>
    <x v="150"/>
    <n v="1"/>
    <m/>
    <m/>
    <n v="1"/>
  </r>
  <r>
    <x v="151"/>
    <m/>
    <m/>
    <m/>
    <n v="0"/>
  </r>
  <r>
    <x v="152"/>
    <n v="1"/>
    <m/>
    <m/>
    <n v="1"/>
  </r>
  <r>
    <x v="153"/>
    <n v="1"/>
    <m/>
    <m/>
    <n v="1"/>
  </r>
  <r>
    <x v="154"/>
    <m/>
    <n v="1"/>
    <m/>
    <n v="1"/>
  </r>
  <r>
    <x v="155"/>
    <n v="1"/>
    <m/>
    <n v="1"/>
    <n v="2"/>
  </r>
  <r>
    <x v="156"/>
    <m/>
    <n v="1"/>
    <m/>
    <n v="1"/>
  </r>
  <r>
    <x v="157"/>
    <m/>
    <n v="1"/>
    <m/>
    <n v="1"/>
  </r>
  <r>
    <x v="158"/>
    <m/>
    <m/>
    <m/>
    <n v="0"/>
  </r>
  <r>
    <x v="159"/>
    <m/>
    <m/>
    <m/>
    <n v="0"/>
  </r>
  <r>
    <x v="160"/>
    <m/>
    <m/>
    <m/>
    <n v="0"/>
  </r>
  <r>
    <x v="161"/>
    <n v="1"/>
    <n v="1"/>
    <m/>
    <n v="2"/>
  </r>
  <r>
    <x v="162"/>
    <m/>
    <m/>
    <m/>
    <n v="0"/>
  </r>
  <r>
    <x v="163"/>
    <m/>
    <m/>
    <m/>
    <n v="0"/>
  </r>
  <r>
    <x v="164"/>
    <m/>
    <m/>
    <m/>
    <n v="0"/>
  </r>
  <r>
    <x v="165"/>
    <m/>
    <m/>
    <m/>
    <n v="0"/>
  </r>
  <r>
    <x v="166"/>
    <m/>
    <m/>
    <m/>
    <n v="0"/>
  </r>
  <r>
    <x v="167"/>
    <m/>
    <m/>
    <m/>
    <n v="0"/>
  </r>
  <r>
    <x v="168"/>
    <m/>
    <m/>
    <n v="1"/>
    <n v="1"/>
  </r>
  <r>
    <x v="169"/>
    <m/>
    <m/>
    <m/>
    <n v="0"/>
  </r>
  <r>
    <x v="170"/>
    <m/>
    <m/>
    <m/>
    <n v="0"/>
  </r>
  <r>
    <x v="171"/>
    <m/>
    <m/>
    <m/>
    <n v="0"/>
  </r>
  <r>
    <x v="172"/>
    <m/>
    <m/>
    <m/>
    <n v="0"/>
  </r>
  <r>
    <x v="173"/>
    <m/>
    <m/>
    <n v="1"/>
    <n v="1"/>
  </r>
  <r>
    <x v="174"/>
    <m/>
    <m/>
    <m/>
    <n v="0"/>
  </r>
  <r>
    <x v="175"/>
    <m/>
    <m/>
    <m/>
    <n v="0"/>
  </r>
  <r>
    <x v="176"/>
    <m/>
    <m/>
    <m/>
    <n v="0"/>
  </r>
  <r>
    <x v="177"/>
    <m/>
    <m/>
    <m/>
    <n v="0"/>
  </r>
  <r>
    <x v="178"/>
    <m/>
    <m/>
    <m/>
    <n v="0"/>
  </r>
  <r>
    <x v="179"/>
    <m/>
    <m/>
    <n v="1"/>
    <n v="1"/>
  </r>
  <r>
    <x v="180"/>
    <m/>
    <m/>
    <m/>
    <n v="0"/>
  </r>
  <r>
    <x v="181"/>
    <m/>
    <m/>
    <m/>
    <n v="0"/>
  </r>
  <r>
    <x v="182"/>
    <m/>
    <n v="1"/>
    <m/>
    <n v="1"/>
  </r>
  <r>
    <x v="183"/>
    <m/>
    <m/>
    <m/>
    <n v="0"/>
  </r>
  <r>
    <x v="184"/>
    <m/>
    <m/>
    <m/>
    <n v="0"/>
  </r>
  <r>
    <x v="185"/>
    <m/>
    <m/>
    <m/>
    <n v="0"/>
  </r>
  <r>
    <x v="186"/>
    <m/>
    <m/>
    <m/>
    <n v="0"/>
  </r>
  <r>
    <x v="187"/>
    <m/>
    <m/>
    <m/>
    <n v="0"/>
  </r>
  <r>
    <x v="188"/>
    <m/>
    <m/>
    <m/>
    <n v="0"/>
  </r>
  <r>
    <x v="189"/>
    <n v="1"/>
    <m/>
    <m/>
    <n v="1"/>
  </r>
  <r>
    <x v="190"/>
    <m/>
    <m/>
    <m/>
    <n v="0"/>
  </r>
  <r>
    <x v="191"/>
    <m/>
    <n v="1"/>
    <m/>
    <n v="1"/>
  </r>
  <r>
    <x v="192"/>
    <m/>
    <m/>
    <m/>
    <n v="0"/>
  </r>
  <r>
    <x v="193"/>
    <m/>
    <m/>
    <m/>
    <n v="0"/>
  </r>
  <r>
    <x v="194"/>
    <m/>
    <m/>
    <m/>
    <n v="0"/>
  </r>
  <r>
    <x v="195"/>
    <m/>
    <m/>
    <m/>
    <n v="0"/>
  </r>
  <r>
    <x v="196"/>
    <m/>
    <n v="1"/>
    <m/>
    <n v="1"/>
  </r>
  <r>
    <x v="197"/>
    <m/>
    <n v="1"/>
    <m/>
    <n v="1"/>
  </r>
  <r>
    <x v="198"/>
    <m/>
    <m/>
    <m/>
    <n v="0"/>
  </r>
  <r>
    <x v="199"/>
    <m/>
    <m/>
    <m/>
    <n v="0"/>
  </r>
  <r>
    <x v="200"/>
    <m/>
    <n v="1"/>
    <m/>
    <n v="1"/>
  </r>
  <r>
    <x v="201"/>
    <m/>
    <m/>
    <m/>
    <n v="0"/>
  </r>
  <r>
    <x v="201"/>
    <m/>
    <n v="1"/>
    <m/>
    <n v="1"/>
  </r>
  <r>
    <x v="202"/>
    <m/>
    <m/>
    <m/>
    <n v="0"/>
  </r>
  <r>
    <x v="203"/>
    <m/>
    <m/>
    <m/>
    <n v="0"/>
  </r>
  <r>
    <x v="204"/>
    <m/>
    <m/>
    <m/>
    <n v="0"/>
  </r>
  <r>
    <x v="205"/>
    <m/>
    <m/>
    <m/>
    <n v="0"/>
  </r>
  <r>
    <x v="206"/>
    <m/>
    <m/>
    <m/>
    <n v="0"/>
  </r>
  <r>
    <x v="207"/>
    <m/>
    <m/>
    <m/>
    <n v="0"/>
  </r>
  <r>
    <x v="208"/>
    <n v="1"/>
    <m/>
    <m/>
    <n v="1"/>
  </r>
  <r>
    <x v="209"/>
    <n v="1"/>
    <n v="1"/>
    <m/>
    <n v="2"/>
  </r>
  <r>
    <x v="210"/>
    <m/>
    <m/>
    <n v="1"/>
    <n v="1"/>
  </r>
  <r>
    <x v="211"/>
    <n v="1"/>
    <m/>
    <m/>
    <n v="1"/>
  </r>
  <r>
    <x v="212"/>
    <m/>
    <m/>
    <m/>
    <n v="0"/>
  </r>
  <r>
    <x v="213"/>
    <n v="1"/>
    <m/>
    <m/>
    <n v="1"/>
  </r>
  <r>
    <x v="213"/>
    <m/>
    <n v="1"/>
    <m/>
    <n v="1"/>
  </r>
  <r>
    <x v="214"/>
    <m/>
    <m/>
    <n v="1"/>
    <n v="1"/>
  </r>
  <r>
    <x v="215"/>
    <m/>
    <m/>
    <m/>
    <n v="0"/>
  </r>
  <r>
    <x v="216"/>
    <m/>
    <m/>
    <m/>
    <n v="0"/>
  </r>
  <r>
    <x v="217"/>
    <n v="1"/>
    <m/>
    <m/>
    <n v="1"/>
  </r>
  <r>
    <x v="218"/>
    <m/>
    <m/>
    <m/>
    <n v="0"/>
  </r>
  <r>
    <x v="219"/>
    <m/>
    <n v="1"/>
    <m/>
    <n v="1"/>
  </r>
  <r>
    <x v="220"/>
    <m/>
    <m/>
    <m/>
    <n v="0"/>
  </r>
  <r>
    <x v="221"/>
    <m/>
    <m/>
    <m/>
    <n v="0"/>
  </r>
  <r>
    <x v="222"/>
    <m/>
    <m/>
    <m/>
    <n v="0"/>
  </r>
  <r>
    <x v="223"/>
    <n v="1"/>
    <m/>
    <m/>
    <n v="1"/>
  </r>
  <r>
    <x v="224"/>
    <n v="1"/>
    <m/>
    <m/>
    <n v="1"/>
  </r>
  <r>
    <x v="225"/>
    <m/>
    <m/>
    <m/>
    <n v="0"/>
  </r>
  <r>
    <x v="226"/>
    <m/>
    <m/>
    <m/>
    <n v="0"/>
  </r>
  <r>
    <x v="227"/>
    <m/>
    <m/>
    <m/>
    <n v="0"/>
  </r>
  <r>
    <x v="228"/>
    <m/>
    <m/>
    <m/>
    <n v="0"/>
  </r>
  <r>
    <x v="229"/>
    <m/>
    <m/>
    <m/>
    <n v="0"/>
  </r>
  <r>
    <x v="230"/>
    <m/>
    <n v="1"/>
    <m/>
    <n v="1"/>
  </r>
  <r>
    <x v="231"/>
    <m/>
    <n v="1"/>
    <m/>
    <n v="1"/>
  </r>
  <r>
    <x v="232"/>
    <m/>
    <m/>
    <m/>
    <n v="0"/>
  </r>
  <r>
    <x v="233"/>
    <m/>
    <m/>
    <m/>
    <n v="0"/>
  </r>
  <r>
    <x v="234"/>
    <m/>
    <m/>
    <m/>
    <n v="0"/>
  </r>
  <r>
    <x v="235"/>
    <n v="1"/>
    <m/>
    <m/>
    <n v="1"/>
  </r>
  <r>
    <x v="236"/>
    <m/>
    <n v="1"/>
    <m/>
    <n v="1"/>
  </r>
  <r>
    <x v="237"/>
    <m/>
    <m/>
    <m/>
    <n v="0"/>
  </r>
  <r>
    <x v="238"/>
    <m/>
    <m/>
    <m/>
    <n v="0"/>
  </r>
  <r>
    <x v="239"/>
    <m/>
    <n v="1"/>
    <m/>
    <n v="1"/>
  </r>
  <r>
    <x v="240"/>
    <m/>
    <m/>
    <m/>
    <n v="0"/>
  </r>
  <r>
    <x v="241"/>
    <m/>
    <m/>
    <m/>
    <n v="0"/>
  </r>
  <r>
    <x v="242"/>
    <m/>
    <m/>
    <m/>
    <n v="0"/>
  </r>
  <r>
    <x v="243"/>
    <m/>
    <m/>
    <m/>
    <n v="0"/>
  </r>
  <r>
    <x v="244"/>
    <n v="1"/>
    <m/>
    <m/>
    <n v="1"/>
  </r>
  <r>
    <x v="245"/>
    <m/>
    <n v="1"/>
    <m/>
    <n v="1"/>
  </r>
  <r>
    <x v="246"/>
    <m/>
    <m/>
    <m/>
    <n v="0"/>
  </r>
  <r>
    <x v="247"/>
    <m/>
    <m/>
    <m/>
    <n v="0"/>
  </r>
  <r>
    <x v="248"/>
    <m/>
    <m/>
    <m/>
    <n v="0"/>
  </r>
  <r>
    <x v="249"/>
    <n v="1"/>
    <m/>
    <m/>
    <n v="1"/>
  </r>
  <r>
    <x v="250"/>
    <m/>
    <n v="1"/>
    <m/>
    <n v="1"/>
  </r>
  <r>
    <x v="251"/>
    <m/>
    <m/>
    <m/>
    <n v="0"/>
  </r>
  <r>
    <x v="252"/>
    <n v="1"/>
    <m/>
    <m/>
    <n v="1"/>
  </r>
  <r>
    <x v="253"/>
    <m/>
    <m/>
    <m/>
    <n v="0"/>
  </r>
  <r>
    <x v="254"/>
    <m/>
    <m/>
    <m/>
    <n v="0"/>
  </r>
  <r>
    <x v="255"/>
    <m/>
    <m/>
    <m/>
    <n v="0"/>
  </r>
  <r>
    <x v="256"/>
    <m/>
    <m/>
    <m/>
    <n v="0"/>
  </r>
  <r>
    <x v="257"/>
    <m/>
    <m/>
    <m/>
    <n v="0"/>
  </r>
  <r>
    <x v="258"/>
    <m/>
    <m/>
    <m/>
    <n v="0"/>
  </r>
  <r>
    <x v="259"/>
    <n v="1"/>
    <m/>
    <m/>
    <n v="1"/>
  </r>
  <r>
    <x v="260"/>
    <m/>
    <m/>
    <m/>
    <n v="0"/>
  </r>
  <r>
    <x v="261"/>
    <m/>
    <m/>
    <m/>
    <n v="0"/>
  </r>
  <r>
    <x v="262"/>
    <m/>
    <m/>
    <m/>
    <n v="0"/>
  </r>
  <r>
    <x v="263"/>
    <m/>
    <m/>
    <m/>
    <n v="0"/>
  </r>
  <r>
    <x v="264"/>
    <m/>
    <m/>
    <m/>
    <n v="0"/>
  </r>
  <r>
    <x v="265"/>
    <n v="1"/>
    <m/>
    <n v="1"/>
    <n v="2"/>
  </r>
  <r>
    <x v="266"/>
    <m/>
    <m/>
    <m/>
    <n v="0"/>
  </r>
  <r>
    <x v="267"/>
    <m/>
    <m/>
    <m/>
    <n v="0"/>
  </r>
  <r>
    <x v="268"/>
    <m/>
    <m/>
    <m/>
    <n v="0"/>
  </r>
  <r>
    <x v="269"/>
    <m/>
    <m/>
    <m/>
    <n v="0"/>
  </r>
  <r>
    <x v="270"/>
    <n v="1"/>
    <m/>
    <m/>
    <n v="1"/>
  </r>
  <r>
    <x v="271"/>
    <m/>
    <m/>
    <m/>
    <n v="0"/>
  </r>
  <r>
    <x v="272"/>
    <m/>
    <m/>
    <m/>
    <n v="0"/>
  </r>
  <r>
    <x v="273"/>
    <m/>
    <m/>
    <m/>
    <n v="0"/>
  </r>
  <r>
    <x v="274"/>
    <m/>
    <m/>
    <m/>
    <n v="0"/>
  </r>
  <r>
    <x v="275"/>
    <m/>
    <m/>
    <m/>
    <n v="0"/>
  </r>
  <r>
    <x v="276"/>
    <m/>
    <m/>
    <m/>
    <n v="0"/>
  </r>
  <r>
    <x v="277"/>
    <m/>
    <m/>
    <m/>
    <n v="0"/>
  </r>
  <r>
    <x v="278"/>
    <m/>
    <m/>
    <m/>
    <n v="0"/>
  </r>
  <r>
    <x v="279"/>
    <m/>
    <m/>
    <m/>
    <n v="0"/>
  </r>
  <r>
    <x v="280"/>
    <n v="1"/>
    <m/>
    <m/>
    <n v="1"/>
  </r>
  <r>
    <x v="281"/>
    <m/>
    <n v="1"/>
    <m/>
    <n v="1"/>
  </r>
  <r>
    <x v="282"/>
    <m/>
    <m/>
    <m/>
    <n v="0"/>
  </r>
  <r>
    <x v="283"/>
    <m/>
    <m/>
    <m/>
    <n v="0"/>
  </r>
  <r>
    <x v="284"/>
    <m/>
    <n v="1"/>
    <m/>
    <n v="1"/>
  </r>
  <r>
    <x v="285"/>
    <m/>
    <m/>
    <m/>
    <n v="0"/>
  </r>
  <r>
    <x v="286"/>
    <n v="1"/>
    <m/>
    <m/>
    <n v="1"/>
  </r>
  <r>
    <x v="287"/>
    <m/>
    <m/>
    <m/>
    <n v="0"/>
  </r>
  <r>
    <x v="288"/>
    <m/>
    <m/>
    <m/>
    <n v="0"/>
  </r>
  <r>
    <x v="289"/>
    <m/>
    <m/>
    <m/>
    <n v="0"/>
  </r>
  <r>
    <x v="290"/>
    <m/>
    <m/>
    <m/>
    <n v="0"/>
  </r>
  <r>
    <x v="291"/>
    <m/>
    <m/>
    <m/>
    <n v="0"/>
  </r>
  <r>
    <x v="292"/>
    <m/>
    <m/>
    <m/>
    <n v="0"/>
  </r>
  <r>
    <x v="293"/>
    <m/>
    <m/>
    <m/>
    <n v="0"/>
  </r>
  <r>
    <x v="294"/>
    <m/>
    <m/>
    <m/>
    <n v="0"/>
  </r>
  <r>
    <x v="295"/>
    <m/>
    <m/>
    <n v="1"/>
    <n v="1"/>
  </r>
  <r>
    <x v="296"/>
    <m/>
    <m/>
    <m/>
    <n v="0"/>
  </r>
  <r>
    <x v="297"/>
    <m/>
    <n v="1"/>
    <m/>
    <n v="1"/>
  </r>
  <r>
    <x v="298"/>
    <m/>
    <m/>
    <m/>
    <n v="0"/>
  </r>
  <r>
    <x v="299"/>
    <m/>
    <m/>
    <m/>
    <n v="0"/>
  </r>
  <r>
    <x v="300"/>
    <m/>
    <m/>
    <m/>
    <n v="0"/>
  </r>
  <r>
    <x v="301"/>
    <m/>
    <m/>
    <m/>
    <n v="0"/>
  </r>
  <r>
    <x v="302"/>
    <m/>
    <m/>
    <m/>
    <n v="0"/>
  </r>
  <r>
    <x v="303"/>
    <m/>
    <m/>
    <m/>
    <n v="0"/>
  </r>
  <r>
    <x v="304"/>
    <m/>
    <m/>
    <m/>
    <n v="0"/>
  </r>
  <r>
    <x v="305"/>
    <n v="1"/>
    <m/>
    <m/>
    <n v="1"/>
  </r>
  <r>
    <x v="306"/>
    <m/>
    <m/>
    <m/>
    <n v="0"/>
  </r>
  <r>
    <x v="307"/>
    <m/>
    <m/>
    <m/>
    <n v="0"/>
  </r>
  <r>
    <x v="308"/>
    <m/>
    <n v="1"/>
    <m/>
    <n v="1"/>
  </r>
  <r>
    <x v="309"/>
    <m/>
    <m/>
    <m/>
    <n v="0"/>
  </r>
  <r>
    <x v="310"/>
    <m/>
    <m/>
    <m/>
    <n v="0"/>
  </r>
  <r>
    <x v="311"/>
    <m/>
    <m/>
    <n v="1"/>
    <n v="1"/>
  </r>
  <r>
    <x v="312"/>
    <n v="1"/>
    <n v="1"/>
    <m/>
    <n v="2"/>
  </r>
  <r>
    <x v="313"/>
    <m/>
    <m/>
    <m/>
    <n v="0"/>
  </r>
  <r>
    <x v="314"/>
    <m/>
    <m/>
    <m/>
    <n v="0"/>
  </r>
  <r>
    <x v="315"/>
    <m/>
    <n v="1"/>
    <m/>
    <n v="1"/>
  </r>
  <r>
    <x v="316"/>
    <m/>
    <m/>
    <m/>
    <n v="0"/>
  </r>
  <r>
    <x v="317"/>
    <m/>
    <m/>
    <n v="1"/>
    <n v="1"/>
  </r>
  <r>
    <x v="318"/>
    <m/>
    <m/>
    <m/>
    <n v="0"/>
  </r>
  <r>
    <x v="319"/>
    <m/>
    <m/>
    <m/>
    <n v="0"/>
  </r>
  <r>
    <x v="320"/>
    <n v="1"/>
    <m/>
    <n v="1"/>
    <n v="2"/>
  </r>
  <r>
    <x v="321"/>
    <m/>
    <m/>
    <m/>
    <n v="0"/>
  </r>
  <r>
    <x v="322"/>
    <m/>
    <m/>
    <m/>
    <n v="0"/>
  </r>
  <r>
    <x v="323"/>
    <m/>
    <m/>
    <m/>
    <n v="0"/>
  </r>
  <r>
    <x v="324"/>
    <m/>
    <m/>
    <m/>
    <n v="0"/>
  </r>
  <r>
    <x v="325"/>
    <m/>
    <m/>
    <m/>
    <n v="0"/>
  </r>
  <r>
    <x v="326"/>
    <m/>
    <m/>
    <m/>
    <n v="0"/>
  </r>
  <r>
    <x v="327"/>
    <m/>
    <m/>
    <n v="1"/>
    <n v="1"/>
  </r>
  <r>
    <x v="328"/>
    <m/>
    <m/>
    <m/>
    <n v="0"/>
  </r>
  <r>
    <x v="329"/>
    <m/>
    <n v="1"/>
    <m/>
    <n v="1"/>
  </r>
  <r>
    <x v="330"/>
    <m/>
    <m/>
    <m/>
    <n v="0"/>
  </r>
  <r>
    <x v="331"/>
    <m/>
    <m/>
    <m/>
    <n v="0"/>
  </r>
  <r>
    <x v="332"/>
    <m/>
    <m/>
    <m/>
    <n v="0"/>
  </r>
  <r>
    <x v="333"/>
    <m/>
    <m/>
    <m/>
    <n v="0"/>
  </r>
  <r>
    <x v="334"/>
    <m/>
    <m/>
    <m/>
    <n v="0"/>
  </r>
  <r>
    <x v="335"/>
    <m/>
    <m/>
    <m/>
    <n v="0"/>
  </r>
  <r>
    <x v="336"/>
    <n v="1"/>
    <m/>
    <m/>
    <n v="1"/>
  </r>
  <r>
    <x v="337"/>
    <m/>
    <m/>
    <m/>
    <n v="0"/>
  </r>
  <r>
    <x v="338"/>
    <m/>
    <m/>
    <m/>
    <n v="0"/>
  </r>
  <r>
    <x v="339"/>
    <m/>
    <m/>
    <m/>
    <n v="0"/>
  </r>
  <r>
    <x v="340"/>
    <m/>
    <m/>
    <m/>
    <n v="0"/>
  </r>
  <r>
    <x v="341"/>
    <m/>
    <m/>
    <m/>
    <n v="0"/>
  </r>
  <r>
    <x v="342"/>
    <m/>
    <m/>
    <m/>
    <n v="0"/>
  </r>
  <r>
    <x v="343"/>
    <m/>
    <m/>
    <m/>
    <n v="0"/>
  </r>
  <r>
    <x v="344"/>
    <m/>
    <m/>
    <m/>
    <n v="0"/>
  </r>
  <r>
    <x v="345"/>
    <m/>
    <m/>
    <m/>
    <n v="0"/>
  </r>
  <r>
    <x v="346"/>
    <m/>
    <n v="1"/>
    <m/>
    <n v="1"/>
  </r>
  <r>
    <x v="347"/>
    <m/>
    <m/>
    <m/>
    <n v="0"/>
  </r>
  <r>
    <x v="348"/>
    <m/>
    <m/>
    <m/>
    <n v="0"/>
  </r>
  <r>
    <x v="349"/>
    <m/>
    <n v="1"/>
    <m/>
    <n v="1"/>
  </r>
  <r>
    <x v="350"/>
    <m/>
    <n v="1"/>
    <m/>
    <n v="1"/>
  </r>
  <r>
    <x v="351"/>
    <m/>
    <m/>
    <m/>
    <n v="0"/>
  </r>
  <r>
    <x v="352"/>
    <m/>
    <m/>
    <m/>
    <n v="0"/>
  </r>
  <r>
    <x v="353"/>
    <m/>
    <m/>
    <m/>
    <n v="0"/>
  </r>
  <r>
    <x v="354"/>
    <m/>
    <m/>
    <m/>
    <n v="0"/>
  </r>
  <r>
    <x v="355"/>
    <m/>
    <m/>
    <m/>
    <n v="0"/>
  </r>
  <r>
    <x v="356"/>
    <m/>
    <n v="1"/>
    <m/>
    <n v="1"/>
  </r>
  <r>
    <x v="357"/>
    <n v="1"/>
    <m/>
    <n v="1"/>
    <n v="2"/>
  </r>
  <r>
    <x v="358"/>
    <m/>
    <m/>
    <m/>
    <n v="0"/>
  </r>
  <r>
    <x v="359"/>
    <m/>
    <m/>
    <m/>
    <n v="0"/>
  </r>
  <r>
    <x v="360"/>
    <m/>
    <m/>
    <m/>
    <n v="0"/>
  </r>
  <r>
    <x v="361"/>
    <m/>
    <n v="1"/>
    <m/>
    <n v="1"/>
  </r>
  <r>
    <x v="362"/>
    <m/>
    <m/>
    <m/>
    <n v="0"/>
  </r>
  <r>
    <x v="363"/>
    <m/>
    <m/>
    <m/>
    <n v="0"/>
  </r>
  <r>
    <x v="364"/>
    <m/>
    <m/>
    <m/>
    <n v="0"/>
  </r>
  <r>
    <x v="365"/>
    <m/>
    <n v="1"/>
    <m/>
    <n v="1"/>
  </r>
  <r>
    <x v="366"/>
    <m/>
    <m/>
    <m/>
    <n v="0"/>
  </r>
  <r>
    <x v="367"/>
    <m/>
    <m/>
    <m/>
    <n v="0"/>
  </r>
  <r>
    <x v="368"/>
    <m/>
    <m/>
    <m/>
    <n v="0"/>
  </r>
  <r>
    <x v="369"/>
    <m/>
    <m/>
    <m/>
    <n v="0"/>
  </r>
  <r>
    <x v="370"/>
    <m/>
    <m/>
    <m/>
    <n v="0"/>
  </r>
  <r>
    <x v="371"/>
    <n v="1"/>
    <m/>
    <m/>
    <n v="1"/>
  </r>
  <r>
    <x v="372"/>
    <m/>
    <m/>
    <m/>
    <n v="0"/>
  </r>
  <r>
    <x v="373"/>
    <m/>
    <m/>
    <m/>
    <n v="0"/>
  </r>
  <r>
    <x v="374"/>
    <n v="1"/>
    <m/>
    <m/>
    <n v="1"/>
  </r>
  <r>
    <x v="375"/>
    <m/>
    <m/>
    <m/>
    <n v="0"/>
  </r>
  <r>
    <x v="376"/>
    <m/>
    <m/>
    <m/>
    <n v="0"/>
  </r>
  <r>
    <x v="377"/>
    <m/>
    <m/>
    <m/>
    <n v="0"/>
  </r>
  <r>
    <x v="378"/>
    <m/>
    <m/>
    <m/>
    <n v="0"/>
  </r>
  <r>
    <x v="379"/>
    <m/>
    <m/>
    <m/>
    <n v="0"/>
  </r>
  <r>
    <x v="380"/>
    <m/>
    <m/>
    <m/>
    <n v="0"/>
  </r>
  <r>
    <x v="381"/>
    <m/>
    <m/>
    <m/>
    <n v="0"/>
  </r>
  <r>
    <x v="382"/>
    <m/>
    <m/>
    <m/>
    <n v="0"/>
  </r>
  <r>
    <x v="383"/>
    <m/>
    <n v="1"/>
    <m/>
    <n v="1"/>
  </r>
  <r>
    <x v="384"/>
    <m/>
    <m/>
    <m/>
    <n v="0"/>
  </r>
  <r>
    <x v="385"/>
    <m/>
    <m/>
    <m/>
    <n v="0"/>
  </r>
  <r>
    <x v="386"/>
    <m/>
    <m/>
    <m/>
    <n v="0"/>
  </r>
  <r>
    <x v="387"/>
    <m/>
    <m/>
    <m/>
    <n v="0"/>
  </r>
  <r>
    <x v="388"/>
    <n v="1"/>
    <n v="1"/>
    <m/>
    <n v="2"/>
  </r>
  <r>
    <x v="389"/>
    <m/>
    <m/>
    <m/>
    <n v="0"/>
  </r>
  <r>
    <x v="390"/>
    <m/>
    <n v="1"/>
    <m/>
    <n v="1"/>
  </r>
  <r>
    <x v="391"/>
    <m/>
    <m/>
    <m/>
    <n v="0"/>
  </r>
  <r>
    <x v="392"/>
    <m/>
    <m/>
    <m/>
    <n v="0"/>
  </r>
  <r>
    <x v="393"/>
    <m/>
    <m/>
    <m/>
    <n v="0"/>
  </r>
  <r>
    <x v="394"/>
    <m/>
    <m/>
    <m/>
    <n v="0"/>
  </r>
  <r>
    <x v="395"/>
    <m/>
    <m/>
    <m/>
    <n v="0"/>
  </r>
  <r>
    <x v="396"/>
    <m/>
    <m/>
    <m/>
    <n v="0"/>
  </r>
  <r>
    <x v="397"/>
    <m/>
    <m/>
    <n v="1"/>
    <n v="1"/>
  </r>
  <r>
    <x v="398"/>
    <m/>
    <m/>
    <m/>
    <n v="0"/>
  </r>
  <r>
    <x v="399"/>
    <m/>
    <m/>
    <m/>
    <n v="0"/>
  </r>
  <r>
    <x v="400"/>
    <m/>
    <n v="1"/>
    <m/>
    <n v="1"/>
  </r>
  <r>
    <x v="401"/>
    <m/>
    <m/>
    <m/>
    <n v="0"/>
  </r>
  <r>
    <x v="402"/>
    <m/>
    <m/>
    <m/>
    <n v="0"/>
  </r>
  <r>
    <x v="403"/>
    <m/>
    <m/>
    <m/>
    <n v="0"/>
  </r>
  <r>
    <x v="404"/>
    <m/>
    <m/>
    <m/>
    <n v="0"/>
  </r>
  <r>
    <x v="405"/>
    <m/>
    <n v="1"/>
    <m/>
    <n v="1"/>
  </r>
  <r>
    <x v="406"/>
    <m/>
    <m/>
    <m/>
    <n v="0"/>
  </r>
  <r>
    <x v="407"/>
    <m/>
    <m/>
    <m/>
    <n v="0"/>
  </r>
  <r>
    <x v="408"/>
    <m/>
    <m/>
    <m/>
    <n v="0"/>
  </r>
  <r>
    <x v="409"/>
    <m/>
    <n v="1"/>
    <m/>
    <n v="1"/>
  </r>
  <r>
    <x v="410"/>
    <m/>
    <m/>
    <m/>
    <n v="0"/>
  </r>
  <r>
    <x v="411"/>
    <n v="1"/>
    <m/>
    <m/>
    <n v="1"/>
  </r>
  <r>
    <x v="411"/>
    <n v="1"/>
    <m/>
    <n v="1"/>
    <n v="2"/>
  </r>
  <r>
    <x v="412"/>
    <n v="1"/>
    <m/>
    <m/>
    <n v="1"/>
  </r>
  <r>
    <x v="413"/>
    <m/>
    <m/>
    <m/>
    <n v="0"/>
  </r>
  <r>
    <x v="414"/>
    <m/>
    <n v="1"/>
    <m/>
    <n v="1"/>
  </r>
  <r>
    <x v="415"/>
    <m/>
    <m/>
    <m/>
    <n v="0"/>
  </r>
  <r>
    <x v="416"/>
    <m/>
    <m/>
    <m/>
    <n v="0"/>
  </r>
  <r>
    <x v="417"/>
    <m/>
    <m/>
    <m/>
    <n v="0"/>
  </r>
  <r>
    <x v="418"/>
    <m/>
    <m/>
    <m/>
    <n v="0"/>
  </r>
  <r>
    <x v="419"/>
    <m/>
    <m/>
    <m/>
    <n v="0"/>
  </r>
  <r>
    <x v="420"/>
    <m/>
    <m/>
    <m/>
    <n v="0"/>
  </r>
  <r>
    <x v="421"/>
    <m/>
    <m/>
    <n v="1"/>
    <n v="1"/>
  </r>
  <r>
    <x v="422"/>
    <m/>
    <m/>
    <n v="1"/>
    <n v="1"/>
  </r>
  <r>
    <x v="423"/>
    <m/>
    <n v="1"/>
    <m/>
    <n v="1"/>
  </r>
  <r>
    <x v="424"/>
    <m/>
    <m/>
    <m/>
    <n v="0"/>
  </r>
  <r>
    <x v="425"/>
    <m/>
    <m/>
    <m/>
    <n v="0"/>
  </r>
  <r>
    <x v="426"/>
    <n v="1"/>
    <m/>
    <m/>
    <n v="1"/>
  </r>
  <r>
    <x v="427"/>
    <m/>
    <m/>
    <m/>
    <n v="0"/>
  </r>
  <r>
    <x v="428"/>
    <m/>
    <m/>
    <m/>
    <n v="0"/>
  </r>
  <r>
    <x v="429"/>
    <m/>
    <m/>
    <m/>
    <n v="0"/>
  </r>
  <r>
    <x v="430"/>
    <m/>
    <m/>
    <m/>
    <n v="0"/>
  </r>
  <r>
    <x v="431"/>
    <m/>
    <m/>
    <n v="1"/>
    <n v="1"/>
  </r>
  <r>
    <x v="432"/>
    <m/>
    <m/>
    <m/>
    <n v="0"/>
  </r>
  <r>
    <x v="433"/>
    <m/>
    <n v="1"/>
    <m/>
    <n v="1"/>
  </r>
  <r>
    <x v="434"/>
    <m/>
    <m/>
    <m/>
    <n v="0"/>
  </r>
  <r>
    <x v="435"/>
    <m/>
    <m/>
    <m/>
    <n v="0"/>
  </r>
  <r>
    <x v="436"/>
    <m/>
    <m/>
    <m/>
    <n v="0"/>
  </r>
  <r>
    <x v="437"/>
    <m/>
    <m/>
    <m/>
    <n v="0"/>
  </r>
  <r>
    <x v="438"/>
    <m/>
    <m/>
    <m/>
    <n v="0"/>
  </r>
  <r>
    <x v="439"/>
    <m/>
    <m/>
    <m/>
    <n v="0"/>
  </r>
  <r>
    <x v="440"/>
    <m/>
    <m/>
    <m/>
    <n v="0"/>
  </r>
  <r>
    <x v="441"/>
    <m/>
    <m/>
    <m/>
    <n v="0"/>
  </r>
  <r>
    <x v="442"/>
    <m/>
    <m/>
    <m/>
    <n v="0"/>
  </r>
  <r>
    <x v="443"/>
    <m/>
    <m/>
    <m/>
    <n v="0"/>
  </r>
  <r>
    <x v="444"/>
    <m/>
    <m/>
    <m/>
    <n v="0"/>
  </r>
  <r>
    <x v="445"/>
    <m/>
    <m/>
    <m/>
    <n v="0"/>
  </r>
  <r>
    <x v="446"/>
    <m/>
    <m/>
    <m/>
    <n v="0"/>
  </r>
  <r>
    <x v="447"/>
    <m/>
    <m/>
    <m/>
    <n v="0"/>
  </r>
  <r>
    <x v="448"/>
    <m/>
    <m/>
    <m/>
    <n v="0"/>
  </r>
  <r>
    <x v="449"/>
    <m/>
    <m/>
    <n v="1"/>
    <n v="1"/>
  </r>
  <r>
    <x v="450"/>
    <m/>
    <m/>
    <m/>
    <n v="0"/>
  </r>
  <r>
    <x v="451"/>
    <m/>
    <n v="1"/>
    <m/>
    <n v="1"/>
  </r>
  <r>
    <x v="452"/>
    <m/>
    <m/>
    <m/>
    <n v="0"/>
  </r>
  <r>
    <x v="453"/>
    <m/>
    <m/>
    <m/>
    <n v="0"/>
  </r>
  <r>
    <x v="454"/>
    <m/>
    <m/>
    <m/>
    <n v="0"/>
  </r>
  <r>
    <x v="455"/>
    <m/>
    <m/>
    <m/>
    <n v="0"/>
  </r>
  <r>
    <x v="456"/>
    <m/>
    <m/>
    <m/>
    <n v="0"/>
  </r>
  <r>
    <x v="457"/>
    <m/>
    <m/>
    <m/>
    <n v="0"/>
  </r>
  <r>
    <x v="458"/>
    <m/>
    <m/>
    <m/>
    <n v="0"/>
  </r>
  <r>
    <x v="459"/>
    <m/>
    <m/>
    <m/>
    <n v="0"/>
  </r>
  <r>
    <x v="460"/>
    <m/>
    <m/>
    <m/>
    <n v="0"/>
  </r>
  <r>
    <x v="461"/>
    <m/>
    <n v="1"/>
    <m/>
    <n v="1"/>
  </r>
  <r>
    <x v="462"/>
    <m/>
    <m/>
    <m/>
    <n v="0"/>
  </r>
  <r>
    <x v="463"/>
    <m/>
    <m/>
    <m/>
    <n v="0"/>
  </r>
  <r>
    <x v="464"/>
    <m/>
    <m/>
    <m/>
    <n v="0"/>
  </r>
  <r>
    <x v="465"/>
    <m/>
    <n v="1"/>
    <m/>
    <n v="1"/>
  </r>
  <r>
    <x v="466"/>
    <m/>
    <m/>
    <m/>
    <n v="0"/>
  </r>
  <r>
    <x v="467"/>
    <m/>
    <m/>
    <m/>
    <n v="0"/>
  </r>
  <r>
    <x v="468"/>
    <m/>
    <n v="1"/>
    <m/>
    <n v="1"/>
  </r>
  <r>
    <x v="469"/>
    <m/>
    <m/>
    <m/>
    <n v="0"/>
  </r>
  <r>
    <x v="470"/>
    <m/>
    <m/>
    <m/>
    <n v="0"/>
  </r>
  <r>
    <x v="471"/>
    <m/>
    <m/>
    <m/>
    <n v="0"/>
  </r>
  <r>
    <x v="472"/>
    <m/>
    <m/>
    <m/>
    <n v="0"/>
  </r>
  <r>
    <x v="473"/>
    <m/>
    <m/>
    <m/>
    <n v="0"/>
  </r>
  <r>
    <x v="474"/>
    <m/>
    <m/>
    <m/>
    <n v="0"/>
  </r>
  <r>
    <x v="475"/>
    <m/>
    <m/>
    <m/>
    <n v="0"/>
  </r>
  <r>
    <x v="476"/>
    <m/>
    <m/>
    <m/>
    <n v="0"/>
  </r>
  <r>
    <x v="477"/>
    <m/>
    <m/>
    <m/>
    <n v="0"/>
  </r>
  <r>
    <x v="478"/>
    <m/>
    <m/>
    <m/>
    <n v="0"/>
  </r>
  <r>
    <x v="479"/>
    <m/>
    <m/>
    <m/>
    <n v="0"/>
  </r>
  <r>
    <x v="480"/>
    <m/>
    <m/>
    <m/>
    <n v="0"/>
  </r>
  <r>
    <x v="481"/>
    <m/>
    <n v="1"/>
    <m/>
    <n v="1"/>
  </r>
  <r>
    <x v="482"/>
    <m/>
    <m/>
    <m/>
    <n v="0"/>
  </r>
  <r>
    <x v="483"/>
    <m/>
    <n v="1"/>
    <m/>
    <n v="1"/>
  </r>
  <r>
    <x v="484"/>
    <m/>
    <m/>
    <m/>
    <n v="0"/>
  </r>
  <r>
    <x v="485"/>
    <m/>
    <m/>
    <m/>
    <n v="0"/>
  </r>
  <r>
    <x v="486"/>
    <m/>
    <m/>
    <m/>
    <n v="0"/>
  </r>
  <r>
    <x v="487"/>
    <n v="1"/>
    <m/>
    <m/>
    <n v="1"/>
  </r>
  <r>
    <x v="488"/>
    <m/>
    <m/>
    <m/>
    <n v="0"/>
  </r>
  <r>
    <x v="489"/>
    <m/>
    <m/>
    <m/>
    <n v="0"/>
  </r>
  <r>
    <x v="490"/>
    <n v="1"/>
    <n v="1"/>
    <m/>
    <n v="2"/>
  </r>
  <r>
    <x v="490"/>
    <n v="1"/>
    <m/>
    <m/>
    <n v="1"/>
  </r>
  <r>
    <x v="491"/>
    <m/>
    <m/>
    <m/>
    <n v="0"/>
  </r>
  <r>
    <x v="492"/>
    <m/>
    <m/>
    <m/>
    <n v="0"/>
  </r>
  <r>
    <x v="493"/>
    <n v="1"/>
    <m/>
    <m/>
    <n v="1"/>
  </r>
  <r>
    <x v="494"/>
    <n v="1"/>
    <m/>
    <m/>
    <n v="1"/>
  </r>
  <r>
    <x v="495"/>
    <m/>
    <m/>
    <m/>
    <n v="0"/>
  </r>
  <r>
    <x v="496"/>
    <m/>
    <m/>
    <m/>
    <n v="0"/>
  </r>
  <r>
    <x v="497"/>
    <m/>
    <n v="1"/>
    <m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1">
  <r>
    <x v="0"/>
    <d v="2010-12-06T13:37:50"/>
    <s v="56ebe8f"/>
    <n v="1"/>
  </r>
  <r>
    <x v="1"/>
    <d v="2010-12-07T14:18:29"/>
    <s v="9a45f78"/>
    <n v="1"/>
  </r>
  <r>
    <x v="2"/>
    <d v="2010-12-10T12:56:27"/>
    <s v="e78bd45"/>
    <n v="1"/>
  </r>
  <r>
    <x v="3"/>
    <d v="2010-12-10T13:18:51"/>
    <s v="6629e49"/>
    <n v="1"/>
  </r>
  <r>
    <x v="3"/>
    <d v="2010-12-11T22:07:29"/>
    <s v="89f159f"/>
    <n v="2"/>
  </r>
  <r>
    <x v="4"/>
    <d v="2010-12-07T15:19:31"/>
    <s v="6be060a"/>
    <n v="1"/>
  </r>
  <r>
    <x v="4"/>
    <d v="2010-12-10T09:22:06"/>
    <s v="10e9f8f"/>
    <n v="2"/>
  </r>
  <r>
    <x v="4"/>
    <d v="2010-12-11T12:06:27"/>
    <s v="fb38fc1"/>
    <n v="3"/>
  </r>
  <r>
    <x v="5"/>
    <d v="2010-12-06T21:23:20"/>
    <s v="bdb4df1"/>
    <n v="1"/>
  </r>
  <r>
    <x v="6"/>
    <d v="2010-12-12T01:29:54"/>
    <s v="5d1ea36"/>
    <n v="1"/>
  </r>
  <r>
    <x v="7"/>
    <d v="2010-09-23T21:44:03"/>
    <s v="2e7989f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0">
  <r>
    <x v="0"/>
    <n v="1"/>
    <d v="2011-03-27T23:32:47"/>
    <s v="e9992be"/>
  </r>
  <r>
    <x v="0"/>
    <n v="1"/>
    <d v="2011-03-31T01:40:02"/>
    <s v="821bf00"/>
  </r>
  <r>
    <x v="1"/>
    <n v="2"/>
    <d v="2011-03-28T14:13:08"/>
    <s v="af04d72"/>
  </r>
  <r>
    <x v="1"/>
    <n v="2"/>
    <d v="2011-03-29T10:22:55"/>
    <s v="51562a2"/>
  </r>
  <r>
    <x v="1"/>
    <n v="2"/>
    <d v="2011-03-30T10:09:46"/>
    <s v="92e7aa0"/>
  </r>
  <r>
    <x v="1"/>
    <n v="2"/>
    <d v="2011-03-31T18:58:25"/>
    <s v="6b3b555"/>
  </r>
  <r>
    <x v="1"/>
    <n v="2"/>
    <d v="2011-03-31T19:02:05"/>
    <s v="427a8ab"/>
  </r>
  <r>
    <x v="1"/>
    <n v="2"/>
    <d v="2011-04-01T15:13:56"/>
    <s v="9b03bf4"/>
  </r>
  <r>
    <x v="2"/>
    <n v="3"/>
    <d v="2011-03-26T21:41:31"/>
    <s v="39eb87c"/>
  </r>
  <r>
    <x v="2"/>
    <n v="3"/>
    <d v="2011-03-28T14:13:18"/>
    <s v="2b9b4d0"/>
  </r>
  <r>
    <x v="2"/>
    <n v="3"/>
    <d v="2011-03-29T09:00:18"/>
    <s v="40983ba"/>
  </r>
  <r>
    <x v="2"/>
    <n v="3"/>
    <d v="2011-03-30T10:00:10"/>
    <s v="55debe8"/>
  </r>
  <r>
    <x v="2"/>
    <n v="3"/>
    <d v="2011-03-30T14:33:04"/>
    <s v="4129ac5"/>
  </r>
  <r>
    <x v="2"/>
    <n v="3"/>
    <d v="2011-03-30T10:09:46"/>
    <s v="205fea6"/>
  </r>
  <r>
    <x v="2"/>
    <n v="3"/>
    <d v="2011-03-30T21:38:43"/>
    <s v="ff05abe"/>
  </r>
  <r>
    <x v="2"/>
    <n v="3"/>
    <d v="2011-03-31T19:00:00"/>
    <s v="5bbc78f"/>
  </r>
  <r>
    <x v="2"/>
    <n v="3"/>
    <d v="2011-03-31T18:19:13"/>
    <s v="55d1f1f"/>
  </r>
  <r>
    <x v="2"/>
    <n v="3"/>
    <d v="2011-04-01T15:06:48"/>
    <s v="9a9ac35"/>
  </r>
  <r>
    <x v="2"/>
    <n v="3"/>
    <d v="2011-04-01T14:25:46"/>
    <s v="ad343a6"/>
  </r>
  <r>
    <x v="3"/>
    <n v="4"/>
    <d v="2011-03-31T22:50:14"/>
    <s v="bafc4f6"/>
  </r>
  <r>
    <x v="4"/>
    <n v="5"/>
    <d v="2011-04-02T06:32:45"/>
    <s v="995f402"/>
  </r>
  <r>
    <x v="4"/>
    <n v="5"/>
    <d v="2011-04-02T08:14:01"/>
    <s v="2b7ebb5"/>
  </r>
  <r>
    <x v="5"/>
    <n v="6"/>
    <d v="2011-03-30T17:22:33"/>
    <s v="d8096f2"/>
  </r>
  <r>
    <x v="6"/>
    <n v="7"/>
    <d v="2011-03-23T16:01:42"/>
    <s v="049c0ea"/>
  </r>
  <r>
    <x v="6"/>
    <n v="7"/>
    <d v="2011-03-30T12:08:23"/>
    <s v="cd083bf"/>
  </r>
  <r>
    <x v="6"/>
    <n v="7"/>
    <d v="2011-03-30T17:22:55"/>
    <s v="afa9e5b"/>
  </r>
  <r>
    <x v="6"/>
    <n v="7"/>
    <d v="2011-03-31T09:57:32"/>
    <s v="9194d14"/>
  </r>
  <r>
    <x v="6"/>
    <n v="7"/>
    <d v="2011-03-31T16:35:05"/>
    <s v="97f1d02"/>
  </r>
  <r>
    <x v="6"/>
    <n v="7"/>
    <d v="2011-03-31T10:00:01"/>
    <s v="782f7f7"/>
  </r>
  <r>
    <x v="7"/>
    <n v="8"/>
    <d v="2011-03-28T14:32:50"/>
    <s v="cf7bc4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75">
  <r>
    <s v="Andrew Bayer"/>
    <x v="0"/>
    <d v="2011-06-14T17:45:00"/>
    <s v="2b14fe3"/>
    <n v="1"/>
  </r>
  <r>
    <s v="appr"/>
    <x v="1"/>
    <d v="2011-06-13T06:30:00"/>
    <s v="06770c3"/>
    <n v="1"/>
  </r>
  <r>
    <s v="Arnaud Héritier"/>
    <x v="2"/>
    <d v="2011-06-01T23:20:00"/>
    <s v="0454682"/>
    <n v="1"/>
  </r>
  <r>
    <s v="Arnaud Héritier"/>
    <x v="2"/>
    <d v="2011-06-23T11:09:00"/>
    <s v="34e8a40"/>
    <n v="2"/>
  </r>
  <r>
    <s v="bap2000"/>
    <x v="3"/>
    <d v="2011-05-21T14:41:00"/>
    <s v="c4d9fe8"/>
    <n v="1"/>
  </r>
  <r>
    <s v="bap2000"/>
    <x v="3"/>
    <d v="2011-06-03T20:28:00"/>
    <s v="495779d"/>
    <n v="2"/>
  </r>
  <r>
    <s v="Christoph Kutzinski"/>
    <x v="4"/>
    <d v="2011-06-02T16:28:00"/>
    <s v="d5b8cf4"/>
    <n v="1"/>
  </r>
  <r>
    <s v="Christoph Kutzinski"/>
    <x v="4"/>
    <d v="2011-06-24T22:03:00"/>
    <s v="89bd7cd"/>
    <n v="2"/>
  </r>
  <r>
    <s v="cjo9900"/>
    <x v="5"/>
    <d v="2011-06-22T05:00:00"/>
    <s v="591cbfd"/>
    <n v="1"/>
  </r>
  <r>
    <s v="Dominic Mitchell"/>
    <x v="6"/>
    <d v="2011-06-05T13:09:00"/>
    <s v="e4a846d"/>
    <n v="1"/>
  </r>
  <r>
    <s v="Jesse Farinacci"/>
    <x v="7"/>
    <d v="2011-06-09T15:43:00"/>
    <s v="17a835d"/>
    <n v="1"/>
  </r>
  <r>
    <s v="Jesse Farinacci"/>
    <x v="7"/>
    <d v="2011-06-13T20:48:00"/>
    <s v="985f378"/>
    <n v="2"/>
  </r>
  <r>
    <s v="Kevin Connor"/>
    <x v="8"/>
    <d v="2011-06-06T23:05:00"/>
    <s v="8ce6893"/>
    <n v="1"/>
  </r>
  <r>
    <s v="Kevin Connor"/>
    <x v="8"/>
    <d v="2011-06-20T13:09:00"/>
    <s v="6be5275"/>
    <n v="2"/>
  </r>
  <r>
    <s v="Kevin Sawicki"/>
    <x v="9"/>
    <d v="2011-06-13T22:26:00"/>
    <s v="2cd6960"/>
    <n v="1"/>
  </r>
  <r>
    <s v="Kohsuke"/>
    <x v="10"/>
    <d v="2011-06-04T11:24:00"/>
    <s v="82a26a5"/>
    <n v="1"/>
  </r>
  <r>
    <s v="Kohsuke"/>
    <x v="10"/>
    <d v="2011-06-07T14:57:00"/>
    <s v="6de74a5"/>
    <n v="2"/>
  </r>
  <r>
    <s v="Kohsuke"/>
    <x v="10"/>
    <d v="2011-06-17T13:49:00"/>
    <s v="7b20516"/>
    <n v="3"/>
  </r>
  <r>
    <s v="Kohsuke"/>
    <x v="10"/>
    <d v="2011-06-17T21:53:00"/>
    <s v="5dddebc"/>
    <n v="4"/>
  </r>
  <r>
    <s v="Kohsuke"/>
    <x v="10"/>
    <d v="2011-06-17T23:19:00"/>
    <s v="312861f"/>
    <n v="5"/>
  </r>
  <r>
    <s v="Kohsuke"/>
    <x v="10"/>
    <d v="2011-06-18T09:28:00"/>
    <s v="b2a9ccd"/>
    <n v="6"/>
  </r>
  <r>
    <s v="Kohsuke Kawaguchi"/>
    <x v="11"/>
    <d v="2011-06-03T15:34:00"/>
    <s v="2ca3836"/>
    <n v="1"/>
  </r>
  <r>
    <s v="Kohsuke Kawaguchi"/>
    <x v="11"/>
    <d v="2011-05-13T13:48:00"/>
    <s v="e76b021"/>
    <n v="2"/>
  </r>
  <r>
    <s v="Kohsuke Kawaguchi"/>
    <x v="11"/>
    <d v="2011-06-04T10:37:00"/>
    <s v="d2f90ce"/>
    <n v="3"/>
  </r>
  <r>
    <s v="Kohsuke Kawaguchi"/>
    <x v="11"/>
    <d v="2011-06-03T11:38:00"/>
    <s v="514b5fd"/>
    <n v="4"/>
  </r>
  <r>
    <s v="Kohsuke Kawaguchi"/>
    <x v="11"/>
    <d v="2011-06-05T16:15:00"/>
    <s v="2ff3cab"/>
    <n v="5"/>
  </r>
  <r>
    <s v="Kohsuke Kawaguchi"/>
    <x v="11"/>
    <d v="2011-06-06T16:17:00"/>
    <s v="77290b9"/>
    <n v="6"/>
  </r>
  <r>
    <s v="Kohsuke Kawaguchi"/>
    <x v="11"/>
    <d v="2011-06-07T10:29:00"/>
    <s v="8cd638a"/>
    <n v="7"/>
  </r>
  <r>
    <s v="Kohsuke Kawaguchi"/>
    <x v="11"/>
    <d v="2011-06-07T14:27:00"/>
    <s v="8291720"/>
    <n v="8"/>
  </r>
  <r>
    <s v="Kohsuke Kawaguchi"/>
    <x v="11"/>
    <d v="2011-06-06T18:26:00"/>
    <s v="3fb0fb2"/>
    <n v="9"/>
  </r>
  <r>
    <s v="Kohsuke Kawaguchi"/>
    <x v="11"/>
    <d v="2011-06-12T22:07:00"/>
    <s v="ef05e4c"/>
    <n v="10"/>
  </r>
  <r>
    <s v="Kohsuke Kawaguchi"/>
    <x v="11"/>
    <d v="2011-06-11T18:39:00"/>
    <s v="e03ba7d"/>
    <n v="11"/>
  </r>
  <r>
    <s v="Kohsuke Kawaguchi"/>
    <x v="11"/>
    <d v="2011-06-13T09:22:00"/>
    <s v="c61ffdd"/>
    <n v="12"/>
  </r>
  <r>
    <s v="Kohsuke Kawaguchi"/>
    <x v="11"/>
    <d v="2011-06-13T09:39:00"/>
    <s v="6464917"/>
    <n v="13"/>
  </r>
  <r>
    <s v="Kohsuke Kawaguchi"/>
    <x v="11"/>
    <d v="2011-06-17T11:26:00"/>
    <s v="a3354b1"/>
    <n v="14"/>
  </r>
  <r>
    <s v="Kohsuke Kawaguchi"/>
    <x v="11"/>
    <d v="2011-06-17T18:39:00"/>
    <s v="26fc0c8"/>
    <n v="15"/>
  </r>
  <r>
    <s v="Kohsuke Kawaguchi"/>
    <x v="11"/>
    <d v="2011-06-17T22:12:00"/>
    <s v="40ffd56"/>
    <n v="16"/>
  </r>
  <r>
    <s v="Kohsuke Kawaguchi"/>
    <x v="11"/>
    <d v="2011-06-17T23:19:00"/>
    <s v="cf3104d"/>
    <n v="17"/>
  </r>
  <r>
    <s v="Kohsuke Kawaguchi"/>
    <x v="11"/>
    <d v="2011-06-20T11:08:00"/>
    <s v="405f913"/>
    <n v="18"/>
  </r>
  <r>
    <s v="Kohsuke Kawaguchi"/>
    <x v="11"/>
    <d v="2011-06-20T17:55:00"/>
    <s v="78cdd29"/>
    <n v="19"/>
  </r>
  <r>
    <s v="Kohsuke Kawaguchi"/>
    <x v="11"/>
    <d v="2011-06-20T11:08:00"/>
    <s v="556ef07"/>
    <n v="20"/>
  </r>
  <r>
    <s v="Kohsuke Kawaguchi"/>
    <x v="11"/>
    <d v="2011-06-18T09:31:00"/>
    <s v="06b1009"/>
    <n v="21"/>
  </r>
  <r>
    <s v="Kohsuke Kawaguchi"/>
    <x v="11"/>
    <d v="2011-06-21T17:02:00"/>
    <s v="63a2916"/>
    <n v="22"/>
  </r>
  <r>
    <s v="Kohsuke Kawaguchi"/>
    <x v="11"/>
    <d v="2011-06-27T10:01:00"/>
    <s v="9f526b3"/>
    <n v="23"/>
  </r>
  <r>
    <s v="Kohsuke Kawaguchi"/>
    <x v="11"/>
    <d v="2011-06-28T23:22:00"/>
    <s v="d741fd9"/>
    <n v="24"/>
  </r>
  <r>
    <s v="Mike Robinet"/>
    <x v="12"/>
    <d v="2011-06-21T16:22:00"/>
    <s v="c83d2cf"/>
    <n v="1"/>
  </r>
  <r>
    <s v="Nicolas"/>
    <x v="13"/>
    <d v="2011-06-02T22:51:00"/>
    <s v="c3eef5b"/>
    <n v="1"/>
  </r>
  <r>
    <s v="Nicolas De loof"/>
    <x v="14"/>
    <d v="2011-06-02T22:51:00"/>
    <s v="3f13f6d"/>
    <n v="1"/>
  </r>
  <r>
    <s v="Nicolas De loof"/>
    <x v="14"/>
    <d v="2011-06-03T07:57:00"/>
    <s v="005b75d"/>
    <n v="2"/>
  </r>
  <r>
    <s v="Nicolas De loof"/>
    <x v="14"/>
    <d v="2011-06-21T14:36:00"/>
    <s v="9323b34"/>
    <n v="3"/>
  </r>
  <r>
    <s v="Nigel Magnay"/>
    <x v="15"/>
    <d v="2011-05-29T11:04:00"/>
    <s v="017e445"/>
    <n v="1"/>
  </r>
  <r>
    <s v="Nigel Magnay"/>
    <x v="15"/>
    <d v="2011-06-07T09:06:00"/>
    <s v="79eb909"/>
    <n v="2"/>
  </r>
  <r>
    <s v="Nigel Magnay"/>
    <x v="15"/>
    <d v="2011-06-07T09:42:00"/>
    <s v="dbe586c"/>
    <n v="3"/>
  </r>
  <r>
    <s v="Nigel Magnay"/>
    <x v="15"/>
    <d v="2011-06-08T10:08:00"/>
    <s v="bb06bd1"/>
    <n v="4"/>
  </r>
  <r>
    <s v="Olivier Lamy"/>
    <x v="16"/>
    <d v="2011-05-31T16:10:00"/>
    <s v="b1926cf"/>
    <n v="1"/>
  </r>
  <r>
    <s v="Olivier Lamy"/>
    <x v="16"/>
    <d v="2011-06-06T00:14:00"/>
    <s v="d9e6602"/>
    <n v="2"/>
  </r>
  <r>
    <s v="Olivier Lamy"/>
    <x v="16"/>
    <d v="2011-06-06T22:22:00"/>
    <s v="5ea48db"/>
    <n v="3"/>
  </r>
  <r>
    <s v="Olivier Lamy"/>
    <x v="16"/>
    <d v="2011-06-08T11:05:00"/>
    <s v="0aca5e5"/>
    <n v="4"/>
  </r>
  <r>
    <s v="Olivier Lamy"/>
    <x v="16"/>
    <d v="2011-06-13T05:49:00"/>
    <s v="8007d83"/>
    <n v="5"/>
  </r>
  <r>
    <s v="Olivier Lamy"/>
    <x v="16"/>
    <d v="2011-06-14T01:30:00"/>
    <s v="3059872"/>
    <n v="6"/>
  </r>
  <r>
    <s v="Olivier Lamy"/>
    <x v="16"/>
    <d v="2011-06-14T12:41:00"/>
    <s v="3ac5a04"/>
    <n v="7"/>
  </r>
  <r>
    <s v="Olivier Lamy"/>
    <x v="16"/>
    <d v="2011-06-16T16:03:00"/>
    <s v="bfddacf"/>
    <n v="8"/>
  </r>
  <r>
    <s v="Olivier Lamy"/>
    <x v="16"/>
    <d v="2011-06-21T14:36:00"/>
    <s v="816e080"/>
    <n v="9"/>
  </r>
  <r>
    <s v="Olivier Lamy"/>
    <x v="16"/>
    <d v="2011-06-22T13:38:00"/>
    <s v="2b8930c"/>
    <n v="10"/>
  </r>
  <r>
    <s v="Paul Sandoz"/>
    <x v="17"/>
    <d v="2011-05-24T16:34:00"/>
    <s v="e7dc6f1"/>
    <n v="1"/>
  </r>
  <r>
    <s v="Paul Sandoz"/>
    <x v="17"/>
    <d v="2011-06-29T16:06:00"/>
    <s v="d546378"/>
    <n v="2"/>
  </r>
  <r>
    <s v="René Moser"/>
    <x v="18"/>
    <d v="2011-06-19T23:08:00"/>
    <s v="63dbe8a"/>
    <n v="1"/>
  </r>
  <r>
    <s v="Seiji Sogabe"/>
    <x v="19"/>
    <d v="2011-06-04T03:10:00"/>
    <s v="d24afe9"/>
    <n v="1"/>
  </r>
  <r>
    <s v="Seiji Sogabe"/>
    <x v="19"/>
    <d v="2011-06-21T01:34:00"/>
    <s v="855f0db"/>
    <n v="2"/>
  </r>
  <r>
    <s v="slide"/>
    <x v="20"/>
    <d v="2011-06-10T06:36:00"/>
    <s v="8a2fc3b"/>
    <n v="1"/>
  </r>
  <r>
    <s v="Stephen Connolly"/>
    <x v="21"/>
    <d v="2011-06-07T17:16:00"/>
    <s v="4f569c8"/>
    <n v="1"/>
  </r>
  <r>
    <s v="Stephen Connolly"/>
    <x v="21"/>
    <d v="2011-06-07T17:16:00"/>
    <s v="e78248c"/>
    <n v="2"/>
  </r>
  <r>
    <s v="Vojtech Juranek"/>
    <x v="22"/>
    <d v="2011-06-10T22:57:00"/>
    <s v="a2d8257"/>
    <n v="1"/>
  </r>
  <r>
    <s v="Will Ross"/>
    <x v="23"/>
    <d v="2011-06-17T00:12:00"/>
    <s v="c1c487b"/>
    <n v="1"/>
  </r>
  <r>
    <s v="Will Ross"/>
    <x v="23"/>
    <d v="2011-06-19T01:23:00"/>
    <s v="547c8d6"/>
    <n v="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32">
  <r>
    <s v="Adrian Cole"/>
    <x v="0"/>
    <d v="2012-02-21T19:27:00"/>
    <s v="73c3c20"/>
  </r>
  <r>
    <s v="Christoph Kutzinski"/>
    <x v="1"/>
    <d v="2012-02-18T22:38:00"/>
    <s v="42dbb2d"/>
  </r>
  <r>
    <s v="Christoph Kutzinski"/>
    <x v="1"/>
    <d v="2012-02-18T15:57:00"/>
    <s v="05937f5"/>
  </r>
  <r>
    <s v="Ed Bartosh"/>
    <x v="2"/>
    <d v="2012-02-10T09:49:00"/>
    <s v="15665b4"/>
  </r>
  <r>
    <s v="Fred G"/>
    <x v="3"/>
    <d v="2012-02-23T01:28:00"/>
    <s v="1acb830"/>
  </r>
  <r>
    <s v="George Shakhnazaryan"/>
    <x v="4"/>
    <d v="2012-02-21T22:40:00"/>
    <s v="c1d2c94"/>
  </r>
  <r>
    <s v="imod"/>
    <x v="5"/>
    <d v="2012-02-21T18:31:00"/>
    <s v="4d27250"/>
  </r>
  <r>
    <s v="imod"/>
    <x v="5"/>
    <d v="2012-02-22T18:54:00"/>
    <s v="40e8952"/>
  </r>
  <r>
    <s v="imod"/>
    <x v="5"/>
    <d v="2012-02-20T19:52:00"/>
    <s v="8d220fb"/>
  </r>
  <r>
    <s v="Jakub Štiller"/>
    <x v="6"/>
    <d v="2012-02-20T17:43:00"/>
    <s v="51a53ab"/>
  </r>
  <r>
    <s v="Kohsuke"/>
    <x v="7"/>
    <d v="2012-02-13T11:33:00"/>
    <s v="e85a292"/>
  </r>
  <r>
    <s v="Kohsuke"/>
    <x v="7"/>
    <d v="2012-02-29T18:44:00"/>
    <s v="f414de0"/>
  </r>
  <r>
    <s v="Kohsuke Kawaguchi"/>
    <x v="8"/>
    <d v="2012-02-13T10:30:00"/>
    <s v="1ac4872"/>
  </r>
  <r>
    <s v="Kohsuke Kawaguchi"/>
    <x v="8"/>
    <d v="2012-02-16T09:54:00"/>
    <s v="9db1436"/>
  </r>
  <r>
    <s v="Kohsuke Kawaguchi"/>
    <x v="8"/>
    <d v="2012-02-29T15:20:00"/>
    <s v="0c1f8e2"/>
  </r>
  <r>
    <s v="Kohsuke Kawaguchi"/>
    <x v="8"/>
    <d v="2012-02-06T14:47:00"/>
    <s v="7028097"/>
  </r>
  <r>
    <s v="Kohsuke Kawaguchi"/>
    <x v="8"/>
    <d v="2012-02-08T08:03:00"/>
    <s v="f278916"/>
  </r>
  <r>
    <s v="Kohsuke Kawaguchi"/>
    <x v="8"/>
    <d v="2012-02-19T10:09:00"/>
    <s v="d0c9ee6"/>
  </r>
  <r>
    <s v="Kohsuke Kawaguchi"/>
    <x v="8"/>
    <d v="2012-02-27T09:21:00"/>
    <s v="5bda9c1"/>
  </r>
  <r>
    <s v="Kohsuke Kawaguchi"/>
    <x v="8"/>
    <d v="2012-02-28T20:26:00"/>
    <s v="c690b1f"/>
  </r>
  <r>
    <s v="lvotypko"/>
    <x v="9"/>
    <d v="2012-02-16T13:28:00"/>
    <s v="24dc000"/>
  </r>
  <r>
    <s v="Olivier Lamy"/>
    <x v="10"/>
    <d v="2012-02-17T13:50:00"/>
    <s v="bbcf286"/>
  </r>
  <r>
    <s v="Olivier Lamy"/>
    <x v="10"/>
    <d v="2012-02-20T17:52:00"/>
    <s v="8cce8dd"/>
  </r>
  <r>
    <s v="Olivier Lamy"/>
    <x v="10"/>
    <d v="2012-02-26T23:25:00"/>
    <s v="1ba1a0f"/>
  </r>
  <r>
    <s v="Olivier Lamy"/>
    <x v="10"/>
    <d v="2012-02-22T09:05:00"/>
    <s v="64adabf"/>
  </r>
  <r>
    <s v="Seiji Sogabe"/>
    <x v="11"/>
    <d v="2012-02-07T00:18:00"/>
    <s v="968c19d"/>
  </r>
  <r>
    <s v="Tim Pizey"/>
    <x v="12"/>
    <d v="2012-02-24T16:44:00"/>
    <s v="2e8cb00"/>
  </r>
  <r>
    <s v="Tom Huybrechts"/>
    <x v="13"/>
    <d v="2012-01-07T14:01:00"/>
    <s v="58e0ea4"/>
  </r>
  <r>
    <s v="vjuranek"/>
    <x v="14"/>
    <d v="2012-02-20T07:32:00"/>
    <s v="4866198"/>
  </r>
  <r>
    <s v="vjuranek"/>
    <x v="14"/>
    <d v="2012-02-23T01:41:00"/>
    <s v="6baefcc"/>
  </r>
  <r>
    <s v="Vojtech Juranek"/>
    <x v="15"/>
    <d v="2012-02-28T10:56:00"/>
    <s v="105c573"/>
  </r>
  <r>
    <s v="Vojtech Juranek"/>
    <x v="15"/>
    <d v="2012-02-17T12:28:00"/>
    <s v="689b39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203">
  <r>
    <s v="Andrew Bayer"/>
    <x v="0"/>
    <d v="2011-04-21T12:48:09"/>
    <s v="f28409e"/>
  </r>
  <r>
    <s v="Andrew Bayer"/>
    <x v="0"/>
    <d v="2011-05-19T16:53:56"/>
    <s v="0667a43"/>
  </r>
  <r>
    <s v="Andrew Bayer"/>
    <x v="0"/>
    <d v="2011-05-19T17:05:49"/>
    <s v="ee8de0f"/>
  </r>
  <r>
    <s v="Andrew Bayer"/>
    <x v="0"/>
    <d v="2011-05-19T17:07:37"/>
    <s v="d7dcb96"/>
  </r>
  <r>
    <s v="Andrew Bayer"/>
    <x v="0"/>
    <d v="2011-05-23T11:20:49"/>
    <s v="c0628ee"/>
  </r>
  <r>
    <s v="Andrew Bayer"/>
    <x v="0"/>
    <d v="2011-06-14T17:45:17"/>
    <s v="2b14fe3"/>
  </r>
  <r>
    <s v="appr"/>
    <x v="1"/>
    <d v="2011-06-13T06:30:54"/>
    <s v="06770c3"/>
  </r>
  <r>
    <s v="Arnaud"/>
    <x v="2"/>
    <d v="2011-05-22T23:31:18"/>
    <s v="073734f"/>
  </r>
  <r>
    <s v="Arnaud Héritier"/>
    <x v="3"/>
    <d v="2011-05-22T23:31:18"/>
    <s v="0cfbe3f"/>
  </r>
  <r>
    <s v="Arnaud Héritier"/>
    <x v="3"/>
    <d v="2011-05-28T12:13:30"/>
    <s v="3c88fc5"/>
  </r>
  <r>
    <s v="Arnaud Héritier"/>
    <x v="3"/>
    <d v="2011-05-28T16:56:31"/>
    <s v="be03ace"/>
  </r>
  <r>
    <s v="Arnaud Héritier"/>
    <x v="3"/>
    <d v="2011-05-28T12:38:38"/>
    <n v="8714352"/>
  </r>
  <r>
    <s v="Arnaud Héritier"/>
    <x v="3"/>
    <d v="2011-05-31T10:06:18"/>
    <s v="fe30ad8"/>
  </r>
  <r>
    <s v="Arnaud Héritier"/>
    <x v="3"/>
    <d v="2011-06-01T23:20:15"/>
    <n v="454682"/>
  </r>
  <r>
    <s v="Arnaud Héritier"/>
    <x v="3"/>
    <d v="2011-06-23T11:09:40"/>
    <s v="34e8a40"/>
  </r>
  <r>
    <s v="bap2000"/>
    <x v="4"/>
    <d v="2011-04-10T14:29:55"/>
    <s v="5cbe179"/>
  </r>
  <r>
    <s v="bap2000"/>
    <x v="4"/>
    <d v="2011-05-18T18:20:13"/>
    <s v="1ead9d3"/>
  </r>
  <r>
    <s v="bap2000"/>
    <x v="4"/>
    <d v="2011-05-14T17:20:33"/>
    <s v="8578e58"/>
  </r>
  <r>
    <s v="bap2000"/>
    <x v="4"/>
    <d v="2011-05-21T14:41:25"/>
    <s v="c4d9fe8"/>
  </r>
  <r>
    <s v="bap2000"/>
    <x v="4"/>
    <d v="2011-06-03T20:28:26"/>
    <s v="495779d"/>
  </r>
  <r>
    <s v="Benjamin Cabé"/>
    <x v="5"/>
    <d v="2011-05-03T16:20:25"/>
    <s v="c565c56"/>
  </r>
  <r>
    <s v="Christian Wolfgang"/>
    <x v="6"/>
    <d v="2011-05-13T15:05:49"/>
    <s v="f10b5eb"/>
  </r>
  <r>
    <s v="Christoph Kutzinski"/>
    <x v="7"/>
    <d v="2011-05-22T21:10:37"/>
    <s v="819c852"/>
  </r>
  <r>
    <s v="Christoph Kutzinski"/>
    <x v="7"/>
    <d v="2011-06-02T16:28:31"/>
    <s v="d5b8cf4"/>
  </r>
  <r>
    <s v="Christoph Kutzinski"/>
    <x v="7"/>
    <d v="2011-06-24T22:03:44"/>
    <s v="89bd7cd"/>
  </r>
  <r>
    <s v="Christopher Orr"/>
    <x v="8"/>
    <d v="2011-05-17T01:28:29"/>
    <s v="70da17e"/>
  </r>
  <r>
    <s v="cjo9900"/>
    <x v="9"/>
    <d v="2011-06-22T05:00:27"/>
    <s v="591cbfd"/>
  </r>
  <r>
    <s v="Dimitri BAELI"/>
    <x v="10"/>
    <d v="2011-05-28T17:44:48"/>
    <s v="84a78d5"/>
  </r>
  <r>
    <s v="Dominic Mitchell"/>
    <x v="11"/>
    <d v="2011-06-05T13:09:46"/>
    <s v="e4a846d"/>
  </r>
  <r>
    <s v="Erwan de FERRIERES"/>
    <x v="12"/>
    <d v="2011-04-28T21:36:21"/>
    <s v="0d3e461"/>
  </r>
  <r>
    <s v="Fred G"/>
    <x v="13"/>
    <d v="2011-04-01T00:41:22"/>
    <s v="54d9840"/>
  </r>
  <r>
    <s v="Fred G"/>
    <x v="13"/>
    <d v="2011-04-14T03:14:10"/>
    <s v="3755b4c"/>
  </r>
  <r>
    <s v="Fred G"/>
    <x v="13"/>
    <d v="2011-04-20T00:47:21"/>
    <s v="831e746"/>
  </r>
  <r>
    <s v="Fred G"/>
    <x v="13"/>
    <d v="2011-05-01T07:01:13"/>
    <s v="ba41484"/>
  </r>
  <r>
    <s v="Fred G"/>
    <x v="13"/>
    <d v="2011-05-01T15:57:47"/>
    <s v="80c9fe8"/>
  </r>
  <r>
    <s v="Fred G"/>
    <x v="13"/>
    <d v="2011-05-10T03:23:30"/>
    <s v="825dc6d"/>
  </r>
  <r>
    <s v="Jesse Farinacci"/>
    <x v="14"/>
    <d v="2011-04-26T11:46:25"/>
    <s v="7b15c23"/>
  </r>
  <r>
    <s v="Jesse Farinacci"/>
    <x v="14"/>
    <d v="2011-06-09T15:43:28"/>
    <s v="17a835d"/>
  </r>
  <r>
    <s v="Jesse Farinacci"/>
    <x v="14"/>
    <d v="2011-06-13T20:48:51"/>
    <s v="985f378"/>
  </r>
  <r>
    <s v="Kevin Connor"/>
    <x v="15"/>
    <d v="2011-06-06T23:05:24"/>
    <s v="8ce6893"/>
  </r>
  <r>
    <s v="Kevin Connor"/>
    <x v="15"/>
    <d v="2011-06-20T13:09:38"/>
    <s v="6be5275"/>
  </r>
  <r>
    <s v="Kevin Sawicki"/>
    <x v="16"/>
    <d v="2011-06-13T22:26:29"/>
    <s v="2cd6960"/>
  </r>
  <r>
    <s v="Kohsuke"/>
    <x v="17"/>
    <d v="2011-04-15T20:11:10"/>
    <s v="d3d564c"/>
  </r>
  <r>
    <s v="Kohsuke"/>
    <x v="17"/>
    <d v="2011-04-15T22:27:33"/>
    <s v="5c990b4"/>
  </r>
  <r>
    <s v="Kohsuke"/>
    <x v="17"/>
    <d v="2011-04-15T22:58:51"/>
    <s v="f3c44a0"/>
  </r>
  <r>
    <s v="Kohsuke"/>
    <x v="17"/>
    <d v="2011-04-18T13:16:57"/>
    <s v="31e7dae"/>
  </r>
  <r>
    <s v="Kohsuke"/>
    <x v="17"/>
    <d v="2011-04-18T13:25:16"/>
    <s v="0ecb07b"/>
  </r>
  <r>
    <s v="Kohsuke"/>
    <x v="17"/>
    <d v="2011-04-18T13:30:02"/>
    <s v="b013c4d"/>
  </r>
  <r>
    <s v="Kohsuke"/>
    <x v="17"/>
    <d v="2011-04-19T11:39:22"/>
    <s v="31bb961"/>
  </r>
  <r>
    <s v="Kohsuke"/>
    <x v="17"/>
    <d v="2011-04-22T12:56:49"/>
    <s v="2220b7f"/>
  </r>
  <r>
    <s v="Kohsuke"/>
    <x v="17"/>
    <d v="2011-05-10T18:34:44"/>
    <s v="688e81c"/>
  </r>
  <r>
    <s v="Kohsuke"/>
    <x v="17"/>
    <d v="2011-05-16T09:57:12"/>
    <s v="200bcaf"/>
  </r>
  <r>
    <s v="Kohsuke"/>
    <x v="17"/>
    <d v="2011-05-16T14:59:50"/>
    <s v="642f301"/>
  </r>
  <r>
    <s v="Kohsuke"/>
    <x v="17"/>
    <d v="2011-06-04T11:24:56"/>
    <s v="82a26a5"/>
  </r>
  <r>
    <s v="Kohsuke"/>
    <x v="17"/>
    <d v="2011-06-07T14:57:26"/>
    <s v="6de74a5"/>
  </r>
  <r>
    <s v="Kohsuke"/>
    <x v="17"/>
    <d v="2011-06-17T13:49:10"/>
    <s v="7b20516"/>
  </r>
  <r>
    <s v="Kohsuke"/>
    <x v="17"/>
    <d v="2011-06-17T21:53:13"/>
    <s v="5dddebc"/>
  </r>
  <r>
    <s v="Kohsuke"/>
    <x v="17"/>
    <d v="2011-06-17T23:19:56"/>
    <s v="312861f"/>
  </r>
  <r>
    <s v="Kohsuke"/>
    <x v="17"/>
    <d v="2011-06-18T09:28:26"/>
    <s v="b2a9ccd"/>
  </r>
  <r>
    <s v="Kohsuke Kawaguchi"/>
    <x v="18"/>
    <d v="2011-04-01T15:06:48"/>
    <s v="9a9ac35"/>
  </r>
  <r>
    <s v="Kohsuke Kawaguchi"/>
    <x v="18"/>
    <d v="2011-04-01T14:25:46"/>
    <s v="ad343a6"/>
  </r>
  <r>
    <s v="Kohsuke Kawaguchi"/>
    <x v="18"/>
    <d v="2011-04-01T15:13:56"/>
    <s v="9b03bf4"/>
  </r>
  <r>
    <s v="Kohsuke Kawaguchi"/>
    <x v="18"/>
    <d v="2011-04-04T09:51:36"/>
    <s v="f987e4e"/>
  </r>
  <r>
    <s v="Kohsuke Kawaguchi"/>
    <x v="18"/>
    <d v="2011-04-11T09:24:17"/>
    <s v="be85b9c"/>
  </r>
  <r>
    <s v="Kohsuke Kawaguchi"/>
    <x v="18"/>
    <d v="2011-04-13T09:15:28"/>
    <s v="6065a95"/>
  </r>
  <r>
    <s v="Kohsuke Kawaguchi"/>
    <x v="18"/>
    <d v="2011-04-15T17:33:40"/>
    <s v="5b0fcc6"/>
  </r>
  <r>
    <s v="Kohsuke Kawaguchi"/>
    <x v="18"/>
    <d v="2011-04-15T14:55:12"/>
    <s v="ff1f609"/>
  </r>
  <r>
    <s v="Kohsuke Kawaguchi"/>
    <x v="18"/>
    <d v="2011-04-15T21:40:04"/>
    <s v="7e14d2e"/>
  </r>
  <r>
    <s v="Kohsuke Kawaguchi"/>
    <x v="18"/>
    <d v="2011-04-15T22:56:03"/>
    <s v="fcf7f46"/>
  </r>
  <r>
    <s v="Kohsuke Kawaguchi"/>
    <x v="18"/>
    <d v="2011-04-18T13:21:22"/>
    <s v="5c21f12"/>
  </r>
  <r>
    <s v="Kohsuke Kawaguchi"/>
    <x v="18"/>
    <d v="2011-04-18T13:28:37"/>
    <s v="9c7e08b"/>
  </r>
  <r>
    <s v="Kohsuke Kawaguchi"/>
    <x v="18"/>
    <d v="2011-04-18T13:29:19"/>
    <s v="4bf8f09"/>
  </r>
  <r>
    <s v="Kohsuke Kawaguchi"/>
    <x v="18"/>
    <d v="2011-04-18T13:24:25"/>
    <s v="ffcf4c5"/>
  </r>
  <r>
    <s v="Kohsuke Kawaguchi"/>
    <x v="18"/>
    <d v="2011-04-18T22:02:14"/>
    <s v="1d4abe2"/>
  </r>
  <r>
    <s v="Kohsuke Kawaguchi"/>
    <x v="18"/>
    <d v="2011-04-19T10:30:19"/>
    <s v="1369c4f"/>
  </r>
  <r>
    <s v="Kohsuke Kawaguchi"/>
    <x v="18"/>
    <d v="2011-04-21T15:21:21"/>
    <s v="f5209cd"/>
  </r>
  <r>
    <s v="Kohsuke Kawaguchi"/>
    <x v="18"/>
    <d v="2011-04-22T11:01:44"/>
    <s v="23daeee"/>
  </r>
  <r>
    <s v="Kohsuke Kawaguchi"/>
    <x v="18"/>
    <d v="2011-04-21T21:04:28"/>
    <s v="50f7aa3"/>
  </r>
  <r>
    <s v="Kohsuke Kawaguchi"/>
    <x v="18"/>
    <d v="2011-04-25T12:20:53"/>
    <s v="ac1c08c"/>
  </r>
  <r>
    <s v="Kohsuke Kawaguchi"/>
    <x v="18"/>
    <d v="2011-04-25T13:26:34"/>
    <s v="307af57"/>
  </r>
  <r>
    <s v="Kohsuke Kawaguchi"/>
    <x v="18"/>
    <d v="2011-04-26T17:38:21"/>
    <s v="8d29f47"/>
  </r>
  <r>
    <s v="Kohsuke Kawaguchi"/>
    <x v="18"/>
    <d v="2011-04-28T17:04:40"/>
    <s v="c36b35f"/>
  </r>
  <r>
    <s v="Kohsuke Kawaguchi"/>
    <x v="18"/>
    <d v="2011-05-01T15:15:11"/>
    <s v="b89b418"/>
  </r>
  <r>
    <s v="Kohsuke Kawaguchi"/>
    <x v="18"/>
    <d v="2011-05-01T16:18:00"/>
    <n v="7149903"/>
  </r>
  <r>
    <s v="Kohsuke Kawaguchi"/>
    <x v="18"/>
    <d v="2011-05-01T12:54:29"/>
    <s v="fe452bf"/>
  </r>
  <r>
    <s v="Kohsuke Kawaguchi"/>
    <x v="18"/>
    <d v="2011-05-04T11:34:47"/>
    <s v="6243cf5"/>
  </r>
  <r>
    <s v="Kohsuke Kawaguchi"/>
    <x v="18"/>
    <d v="2011-04-12T13:57:56"/>
    <s v="c617653"/>
  </r>
  <r>
    <s v="Kohsuke Kawaguchi"/>
    <x v="18"/>
    <d v="2011-05-09T09:36:16"/>
    <s v="23da993"/>
  </r>
  <r>
    <s v="Kohsuke Kawaguchi"/>
    <x v="18"/>
    <d v="2011-05-10T10:41:21"/>
    <s v="20c6fd4"/>
  </r>
  <r>
    <s v="Kohsuke Kawaguchi"/>
    <x v="18"/>
    <d v="2011-03-19T22:01:39"/>
    <s v="84b90dd"/>
  </r>
  <r>
    <s v="Kohsuke Kawaguchi"/>
    <x v="18"/>
    <d v="2011-05-11T17:28:41"/>
    <s v="e14c13c"/>
  </r>
  <r>
    <s v="Kohsuke Kawaguchi"/>
    <x v="18"/>
    <d v="2011-05-13T14:25:15"/>
    <s v="0203876"/>
  </r>
  <r>
    <s v="Kohsuke Kawaguchi"/>
    <x v="18"/>
    <d v="2011-05-13T14:26:36"/>
    <s v="31d3620"/>
  </r>
  <r>
    <s v="Kohsuke Kawaguchi"/>
    <x v="18"/>
    <d v="2011-05-16T14:35:54"/>
    <n v="2741433"/>
  </r>
  <r>
    <s v="Kohsuke Kawaguchi"/>
    <x v="18"/>
    <d v="2011-05-16T15:31:04"/>
    <s v="872b4df"/>
  </r>
  <r>
    <s v="Kohsuke Kawaguchi"/>
    <x v="18"/>
    <d v="2011-05-22T22:06:19"/>
    <s v="cb86f97"/>
  </r>
  <r>
    <s v="Kohsuke Kawaguchi"/>
    <x v="18"/>
    <d v="2011-05-23T02:02:13"/>
    <s v="531f439"/>
  </r>
  <r>
    <s v="Kohsuke Kawaguchi"/>
    <x v="18"/>
    <d v="2011-06-03T15:34:03"/>
    <s v="2ca3836"/>
  </r>
  <r>
    <s v="Kohsuke Kawaguchi"/>
    <x v="18"/>
    <d v="2011-05-13T13:48:25"/>
    <s v="e76b021"/>
  </r>
  <r>
    <s v="Kohsuke Kawaguchi"/>
    <x v="18"/>
    <d v="2011-06-04T10:37:20"/>
    <s v="d2f90ce"/>
  </r>
  <r>
    <s v="Kohsuke Kawaguchi"/>
    <x v="18"/>
    <d v="2011-06-03T11:38:28"/>
    <s v="514b5fd"/>
  </r>
  <r>
    <s v="Kohsuke Kawaguchi"/>
    <x v="18"/>
    <d v="2011-06-05T16:15:43"/>
    <s v="2ff3cab"/>
  </r>
  <r>
    <s v="Kohsuke Kawaguchi"/>
    <x v="18"/>
    <d v="2011-06-06T16:17:49"/>
    <s v="77290b9"/>
  </r>
  <r>
    <s v="Kohsuke Kawaguchi"/>
    <x v="18"/>
    <d v="2011-06-06T18:26:03"/>
    <s v="3fb0fb2"/>
  </r>
  <r>
    <s v="Kohsuke Kawaguchi"/>
    <x v="18"/>
    <d v="2011-06-07T10:29:07"/>
    <s v="8cd638a"/>
  </r>
  <r>
    <s v="Kohsuke Kawaguchi"/>
    <x v="18"/>
    <d v="2011-06-07T14:27:51"/>
    <n v="8291720"/>
  </r>
  <r>
    <s v="Kohsuke Kawaguchi"/>
    <x v="18"/>
    <d v="2011-06-12T22:07:48"/>
    <s v="ef05e4c"/>
  </r>
  <r>
    <s v="Kohsuke Kawaguchi"/>
    <x v="18"/>
    <d v="2011-06-11T18:39:35"/>
    <s v="e03ba7d"/>
  </r>
  <r>
    <s v="Kohsuke Kawaguchi"/>
    <x v="18"/>
    <d v="2011-06-13T09:22:36"/>
    <s v="c61ffdd"/>
  </r>
  <r>
    <s v="Kohsuke Kawaguchi"/>
    <x v="18"/>
    <d v="2011-06-13T09:39:32"/>
    <n v="6464917"/>
  </r>
  <r>
    <s v="Kohsuke Kawaguchi"/>
    <x v="18"/>
    <d v="2011-06-17T11:26:46"/>
    <s v="a3354b1"/>
  </r>
  <r>
    <s v="Kohsuke Kawaguchi"/>
    <x v="18"/>
    <d v="2011-06-17T18:39:23"/>
    <s v="26fc0c8"/>
  </r>
  <r>
    <s v="Kohsuke Kawaguchi"/>
    <x v="18"/>
    <d v="2011-06-17T22:12:34"/>
    <s v="40ffd56"/>
  </r>
  <r>
    <s v="Kohsuke Kawaguchi"/>
    <x v="18"/>
    <d v="2011-06-17T23:19:59"/>
    <s v="cf3104d"/>
  </r>
  <r>
    <s v="Kohsuke Kawaguchi"/>
    <x v="18"/>
    <d v="2011-06-20T11:08:12"/>
    <s v="405f913"/>
  </r>
  <r>
    <s v="Kohsuke Kawaguchi"/>
    <x v="18"/>
    <d v="2011-06-20T17:55:33"/>
    <s v="78cdd29"/>
  </r>
  <r>
    <s v="Kohsuke Kawaguchi"/>
    <x v="18"/>
    <d v="2011-06-20T11:08:08"/>
    <s v="556ef07"/>
  </r>
  <r>
    <s v="Kohsuke Kawaguchi"/>
    <x v="18"/>
    <d v="2011-06-18T09:31:17"/>
    <s v="06b1009"/>
  </r>
  <r>
    <s v="Kohsuke Kawaguchi"/>
    <x v="18"/>
    <d v="2011-06-21T17:02:31"/>
    <s v="63a2916"/>
  </r>
  <r>
    <s v="Kohsuke Kawaguchi"/>
    <x v="18"/>
    <d v="2011-06-27T10:01:13"/>
    <s v="9f526b3"/>
  </r>
  <r>
    <s v="Kohsuke Kawaguchi"/>
    <x v="18"/>
    <d v="2011-06-28T23:22:16"/>
    <s v="d741fd9"/>
  </r>
  <r>
    <s v="laurents59"/>
    <x v="19"/>
    <d v="2011-05-12T10:01:49"/>
    <s v="2836ae4"/>
  </r>
  <r>
    <s v="laurents59"/>
    <x v="19"/>
    <d v="2011-05-20T09:18:54"/>
    <s v="e3a0be9"/>
  </r>
  <r>
    <s v="laurents59"/>
    <x v="19"/>
    <d v="2011-05-23T09:37:44"/>
    <s v="cee7a85"/>
  </r>
  <r>
    <s v="laurents59"/>
    <x v="19"/>
    <d v="2011-05-23T16:40:36"/>
    <s v="018b75e"/>
  </r>
  <r>
    <s v="laurents59"/>
    <x v="19"/>
    <d v="2011-05-24T13:42:59"/>
    <s v="0bc4655"/>
  </r>
  <r>
    <s v="Mike Robinet"/>
    <x v="20"/>
    <d v="2011-06-21T16:22:09"/>
    <s v="c83d2cf"/>
  </r>
  <r>
    <s v="Mirko Friedenhagen"/>
    <x v="21"/>
    <d v="2011-04-28T22:25:45"/>
    <s v="cae5ea0"/>
  </r>
  <r>
    <s v="Mirko Friedenhagen"/>
    <x v="21"/>
    <d v="2011-04-28T13:27:54"/>
    <s v="39d738f"/>
  </r>
  <r>
    <s v="Mirko Friedenhagen"/>
    <x v="21"/>
    <d v="2011-05-13T21:57:11"/>
    <s v="6ae77ed"/>
  </r>
  <r>
    <s v="Nicolas"/>
    <x v="22"/>
    <d v="2011-06-02T22:51:22"/>
    <s v="c3eef5b"/>
  </r>
  <r>
    <s v="Nicolas De Loof"/>
    <x v="23"/>
    <d v="2011-05-28T16:02:22"/>
    <s v="a84188e"/>
  </r>
  <r>
    <s v="Nicolas De Loof"/>
    <x v="23"/>
    <d v="2011-05-31T04:53:38"/>
    <s v="1a7001b"/>
  </r>
  <r>
    <s v="Nicolas De Loof"/>
    <x v="23"/>
    <d v="2011-05-31T06:31:18"/>
    <s v="a365727"/>
  </r>
  <r>
    <s v="Nicolas De Loof"/>
    <x v="23"/>
    <d v="2011-06-02T22:51:22"/>
    <s v="3f13f6d"/>
  </r>
  <r>
    <s v="Nicolas De Loof"/>
    <x v="23"/>
    <d v="2011-06-03T07:57:32"/>
    <s v="005b75d"/>
  </r>
  <r>
    <s v="Nicolas De Loof"/>
    <x v="23"/>
    <d v="2011-06-21T14:36:02"/>
    <s v="9323b34"/>
  </r>
  <r>
    <s v="Nigel Magnay"/>
    <x v="24"/>
    <d v="2011-05-29T11:04:27"/>
    <s v="017e445"/>
  </r>
  <r>
    <s v="Nigel Magnay"/>
    <x v="24"/>
    <d v="2011-06-07T09:06:54"/>
    <s v="79eb909"/>
  </r>
  <r>
    <s v="Nigel Magnay"/>
    <x v="24"/>
    <d v="2011-06-07T09:42:28"/>
    <s v="dbe586c"/>
  </r>
  <r>
    <s v="Nigel Magnay"/>
    <x v="24"/>
    <d v="2011-06-08T10:08:41"/>
    <s v="bb06bd1"/>
  </r>
  <r>
    <s v="Olivier Lamy"/>
    <x v="25"/>
    <d v="2011-04-18T21:49:56"/>
    <s v="ebcc791"/>
  </r>
  <r>
    <s v="Olivier Lamy"/>
    <x v="25"/>
    <d v="2011-04-28T22:36:18"/>
    <s v="c465b6e"/>
  </r>
  <r>
    <s v="Olivier Lamy"/>
    <x v="25"/>
    <d v="2011-04-29T01:12:28"/>
    <s v="92606d7"/>
  </r>
  <r>
    <s v="Olivier Lamy"/>
    <x v="25"/>
    <d v="2011-04-29T10:15:24"/>
    <s v="c267d49"/>
  </r>
  <r>
    <s v="Olivier Lamy"/>
    <x v="25"/>
    <d v="2011-05-03T07:55:34"/>
    <s v="b2e09c5"/>
  </r>
  <r>
    <s v="Olivier Lamy"/>
    <x v="25"/>
    <d v="2011-05-03T08:01:17"/>
    <s v="69cdef2"/>
  </r>
  <r>
    <s v="Olivier Lamy"/>
    <x v="25"/>
    <d v="2011-05-12T01:04:49"/>
    <s v="68f4bd5"/>
  </r>
  <r>
    <s v="Olivier Lamy"/>
    <x v="25"/>
    <d v="2011-05-24T10:50:09"/>
    <s v="cd48b4e"/>
  </r>
  <r>
    <s v="Olivier Lamy"/>
    <x v="25"/>
    <d v="2011-05-31T05:46:21"/>
    <n v="6204016"/>
  </r>
  <r>
    <s v="Olivier Lamy"/>
    <x v="25"/>
    <d v="2011-05-31T15:10:23"/>
    <s v="ed51d4d"/>
  </r>
  <r>
    <s v="Olivier Lamy"/>
    <x v="25"/>
    <d v="2011-05-31T16:10:41"/>
    <s v="b1926cf"/>
  </r>
  <r>
    <s v="Olivier Lamy"/>
    <x v="25"/>
    <d v="2011-06-06T00:14:41"/>
    <s v="d9e6602"/>
  </r>
  <r>
    <s v="Olivier Lamy"/>
    <x v="25"/>
    <d v="2011-06-06T22:22:50"/>
    <s v="5ea48db"/>
  </r>
  <r>
    <s v="Olivier Lamy"/>
    <x v="25"/>
    <d v="2011-06-08T11:05:18"/>
    <s v="0aca5e5"/>
  </r>
  <r>
    <s v="Olivier Lamy"/>
    <x v="25"/>
    <d v="2011-06-13T05:49:44"/>
    <s v="8007d83"/>
  </r>
  <r>
    <s v="Olivier Lamy"/>
    <x v="25"/>
    <d v="2011-06-14T01:30:09"/>
    <n v="3059872"/>
  </r>
  <r>
    <s v="Olivier Lamy"/>
    <x v="25"/>
    <d v="2011-06-14T12:41:20"/>
    <s v="3ac5a04"/>
  </r>
  <r>
    <s v="Olivier Lamy"/>
    <x v="25"/>
    <d v="2011-06-16T16:03:56"/>
    <s v="bfddacf"/>
  </r>
  <r>
    <s v="Olivier Lamy"/>
    <x v="25"/>
    <d v="2011-06-21T14:36:57"/>
    <s v="816e080"/>
  </r>
  <r>
    <s v="Olivier Lamy"/>
    <x v="25"/>
    <d v="2011-06-22T13:38:29"/>
    <s v="2b8930c"/>
  </r>
  <r>
    <s v="Paul Sandoz"/>
    <x v="26"/>
    <d v="2011-05-24T16:34:37"/>
    <s v="e7dc6f1"/>
  </r>
  <r>
    <s v="Paul Sandoz"/>
    <x v="26"/>
    <d v="2011-06-29T16:06:47"/>
    <s v="d546378"/>
  </r>
  <r>
    <s v="redsolo"/>
    <x v="27"/>
    <d v="2011-04-18T22:35:22"/>
    <s v="d1f862d"/>
  </r>
  <r>
    <s v="René Moser"/>
    <x v="28"/>
    <d v="2011-04-25T23:15:02"/>
    <s v="95b9ff4"/>
  </r>
  <r>
    <s v="René Moser"/>
    <x v="28"/>
    <d v="2011-04-26T00:22:52"/>
    <s v="8b09a58"/>
  </r>
  <r>
    <s v="René Moser"/>
    <x v="28"/>
    <d v="2011-06-19T23:08:11"/>
    <s v="63dbe8a"/>
  </r>
  <r>
    <s v="rseguy"/>
    <x v="29"/>
    <d v="2011-04-28T18:03:42"/>
    <s v="539ea13"/>
  </r>
  <r>
    <s v="rseguy"/>
    <x v="29"/>
    <d v="2011-04-28T18:07:04"/>
    <s v="d0eef1f"/>
  </r>
  <r>
    <s v="Seiji Sogabe"/>
    <x v="30"/>
    <d v="2011-04-02T06:32:45"/>
    <s v="995f402"/>
  </r>
  <r>
    <s v="Seiji Sogabe"/>
    <x v="30"/>
    <d v="2011-04-02T08:14:01"/>
    <s v="2b7ebb5"/>
  </r>
  <r>
    <s v="Seiji Sogabe"/>
    <x v="30"/>
    <d v="2011-04-03T05:27:34"/>
    <s v="177a932"/>
  </r>
  <r>
    <s v="Seiji Sogabe"/>
    <x v="30"/>
    <d v="2011-04-15T21:59:30"/>
    <s v="b8152f4"/>
  </r>
  <r>
    <s v="Seiji Sogabe"/>
    <x v="30"/>
    <d v="2011-04-20T07:45:24"/>
    <s v="071c51a"/>
  </r>
  <r>
    <s v="Seiji Sogabe"/>
    <x v="30"/>
    <d v="2011-04-23T23:16:58"/>
    <s v="7540d09"/>
  </r>
  <r>
    <s v="Seiji Sogabe"/>
    <x v="30"/>
    <d v="2011-05-05T05:57:45"/>
    <s v="9fc9401"/>
  </r>
  <r>
    <s v="Seiji Sogabe"/>
    <x v="30"/>
    <d v="2011-05-05T19:26:23"/>
    <s v="505a0bb"/>
  </r>
  <r>
    <s v="Seiji Sogabe"/>
    <x v="30"/>
    <d v="2011-05-07T08:43:52"/>
    <n v="7501670"/>
  </r>
  <r>
    <s v="Seiji Sogabe"/>
    <x v="30"/>
    <d v="2011-05-31T05:24:01"/>
    <s v="5aa7229"/>
  </r>
  <r>
    <s v="Seiji Sogabe"/>
    <x v="30"/>
    <d v="2011-05-30T19:39:08"/>
    <s v="a0fb3a8"/>
  </r>
  <r>
    <s v="Seiji Sogabe"/>
    <x v="30"/>
    <d v="2011-06-04T03:10:16"/>
    <s v="d24afe9"/>
  </r>
  <r>
    <s v="Seiji Sogabe"/>
    <x v="30"/>
    <d v="2011-06-21T01:34:05"/>
    <s v="855f0db"/>
  </r>
  <r>
    <s v="Slide"/>
    <x v="31"/>
    <d v="2011-05-13T10:03:50"/>
    <s v="9610fe5"/>
  </r>
  <r>
    <s v="slide"/>
    <x v="31"/>
    <d v="2011-06-10T06:36:34"/>
    <s v="8a2fc3b"/>
  </r>
  <r>
    <s v="Stephen Connolly"/>
    <x v="32"/>
    <d v="2011-05-05T09:52:54"/>
    <s v="f9ee867"/>
  </r>
  <r>
    <s v="Stephen Connolly"/>
    <x v="32"/>
    <d v="2011-06-07T17:16:44"/>
    <s v="4f569c8"/>
  </r>
  <r>
    <s v="Stephen Connolly"/>
    <x v="32"/>
    <d v="2011-06-07T17:16:44"/>
    <s v="e78248c"/>
  </r>
  <r>
    <s v="Ulli Hafner"/>
    <x v="33"/>
    <d v="2011-05-06T19:59:23"/>
    <s v="119aea8"/>
  </r>
  <r>
    <s v="Ulli Hafner"/>
    <x v="33"/>
    <d v="2011-05-09T16:45:55"/>
    <s v="393e397"/>
  </r>
  <r>
    <s v="Ulli Hafner"/>
    <x v="33"/>
    <d v="2011-05-10T11:39:52"/>
    <s v="9578bf7"/>
  </r>
  <r>
    <s v="Ulli Hafner"/>
    <x v="33"/>
    <d v="2011-05-18T13:05:24"/>
    <s v="008bb9d"/>
  </r>
  <r>
    <s v="Ulli Hafner"/>
    <x v="33"/>
    <d v="2011-05-19T10:19:51"/>
    <s v="208c7b6"/>
  </r>
  <r>
    <s v="unknown"/>
    <x v="34"/>
    <d v="2011-05-02T16:53:29"/>
    <s v="2ec192b"/>
  </r>
  <r>
    <s v="unknown"/>
    <x v="34"/>
    <d v="2011-05-03T16:50:53"/>
    <s v="70a2a69"/>
  </r>
  <r>
    <s v="unknown"/>
    <x v="34"/>
    <d v="2011-05-03T16:56:50"/>
    <s v="c217ff1"/>
  </r>
  <r>
    <s v="unknown"/>
    <x v="34"/>
    <d v="2011-05-03T17:13:38"/>
    <s v="e57f40d"/>
  </r>
  <r>
    <s v="unknown"/>
    <x v="34"/>
    <d v="2011-05-05T16:55:23"/>
    <s v="86d077d"/>
  </r>
  <r>
    <s v="Vincent Latombe"/>
    <x v="35"/>
    <d v="2011-04-18T13:25:33"/>
    <s v="2d629d6"/>
  </r>
  <r>
    <s v="Vojtech Juranek"/>
    <x v="36"/>
    <d v="2011-04-22T19:29:07"/>
    <s v="7c5da9b"/>
  </r>
  <r>
    <s v="Vojtech Juranek"/>
    <x v="36"/>
    <d v="2011-05-30T11:29:06"/>
    <s v="a2c2088"/>
  </r>
  <r>
    <s v="Vojtech Juranek"/>
    <x v="36"/>
    <d v="2011-06-10T22:57:48"/>
    <s v="a2d8257"/>
  </r>
  <r>
    <s v="Will Ross"/>
    <x v="37"/>
    <d v="2011-06-17T00:12:49"/>
    <s v="c1c487b"/>
  </r>
  <r>
    <s v="Will Ross"/>
    <x v="37"/>
    <d v="2011-06-19T01:23:11"/>
    <s v="547c8d6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49">
  <r>
    <s v="Alexandre Garnier"/>
    <x v="0"/>
    <d v="2010-11-26T20:55:00"/>
    <s v="ab80dd2"/>
  </r>
  <r>
    <s v="James Nord"/>
    <x v="1"/>
    <d v="2010-12-06T13:37:00"/>
    <s v="56ebe8f"/>
  </r>
  <r>
    <s v="Jesse Farinacci"/>
    <x v="2"/>
    <d v="2010-11-25T06:55:00"/>
    <s v="494ac30"/>
  </r>
  <r>
    <s v="Jesse Farinacci"/>
    <x v="2"/>
    <d v="2010-12-07T14:18:00"/>
    <s v="9a45f78"/>
  </r>
  <r>
    <s v="Jesse Glick"/>
    <x v="3"/>
    <d v="2010-12-10T12:56:00"/>
    <s v="e78bd45"/>
  </r>
  <r>
    <s v="jtnord"/>
    <x v="4"/>
    <d v="2010-12-02T22:24:00"/>
    <s v="6e011bc"/>
  </r>
  <r>
    <s v="kohsuke"/>
    <x v="5"/>
    <d v="2009-05-16T01:31:00"/>
    <s v="7da580e"/>
  </r>
  <r>
    <s v="kohsuke"/>
    <x v="5"/>
    <d v="2010-11-20T01:48:00"/>
    <s v="607ea34"/>
  </r>
  <r>
    <s v="kohsuke"/>
    <x v="5"/>
    <d v="2010-11-25T08:05:00"/>
    <s v="3bce100"/>
  </r>
  <r>
    <s v="kohsuke"/>
    <x v="5"/>
    <d v="2010-12-10T13:18:00"/>
    <s v="6629e49"/>
  </r>
  <r>
    <s v="kohsuke"/>
    <x v="5"/>
    <d v="2010-12-11T22:07:00"/>
    <s v="89f159f"/>
  </r>
  <r>
    <s v="kohsuke"/>
    <x v="5"/>
    <d v="2010-12-16T20:43:00"/>
    <s v="90dbe1b"/>
  </r>
  <r>
    <s v="kohsuke"/>
    <x v="5"/>
    <d v="2010-12-18T01:28:00"/>
    <s v="4b9fb70"/>
  </r>
  <r>
    <s v="Kohsuke Kawaguchi"/>
    <x v="6"/>
    <d v="2010-11-22T18:03:00"/>
    <s v="2f7f5c9"/>
  </r>
  <r>
    <s v="Kohsuke Kawaguchi"/>
    <x v="6"/>
    <d v="2010-11-23T18:16:00"/>
    <s v="00e7372"/>
  </r>
  <r>
    <s v="Kohsuke Kawaguchi"/>
    <x v="6"/>
    <d v="2010-11-27T09:02:00"/>
    <s v="99ccaa8"/>
  </r>
  <r>
    <s v="Kohsuke Kawaguchi"/>
    <x v="6"/>
    <d v="2010-12-02T16:36:00"/>
    <s v="e605d33"/>
  </r>
  <r>
    <s v="Kohsuke Kawaguchi"/>
    <x v="6"/>
    <d v="2010-12-05T07:20:00"/>
    <s v="733954e"/>
  </r>
  <r>
    <s v="Kohsuke Kawaguchi"/>
    <x v="6"/>
    <d v="2010-12-05T07:17:00"/>
    <s v="f3b0042"/>
  </r>
  <r>
    <s v="Kohsuke Kawaguchi"/>
    <x v="6"/>
    <d v="2010-12-07T15:19:00"/>
    <s v="6be060a"/>
  </r>
  <r>
    <s v="Kohsuke Kawaguchi"/>
    <x v="6"/>
    <d v="2010-12-10T09:22:00"/>
    <s v="10e9f8f"/>
  </r>
  <r>
    <s v="Kohsuke Kawaguchi"/>
    <x v="6"/>
    <d v="2010-12-11T12:06:00"/>
    <s v="fb38fc1"/>
  </r>
  <r>
    <s v="Kohsuke Kawaguchi"/>
    <x v="6"/>
    <d v="2010-12-13T14:19:00"/>
    <s v="3d5d53a"/>
  </r>
  <r>
    <s v="Kohsuke Kawaguchi"/>
    <x v="6"/>
    <d v="2010-12-15T17:29:00"/>
    <s v="b57b097"/>
  </r>
  <r>
    <s v="Kohsuke Kawaguchi"/>
    <x v="6"/>
    <d v="2010-12-16T10:51:00"/>
    <s v="e64b616"/>
  </r>
  <r>
    <s v="Kohsuke Kawaguchi"/>
    <x v="6"/>
    <d v="2010-12-17T16:17:00"/>
    <s v="fc01d62"/>
  </r>
  <r>
    <s v="Kohsuke Kawaguchi"/>
    <x v="6"/>
    <d v="2010-12-23T10:25:00"/>
    <s v="226b35c"/>
  </r>
  <r>
    <s v="Kohsuke Kawaguchi"/>
    <x v="6"/>
    <d v="2010-12-26T10:26:00"/>
    <s v="53e6864"/>
  </r>
  <r>
    <s v="Kohsuke Kawaguchi"/>
    <x v="6"/>
    <d v="2010-12-26T10:30:00"/>
    <s v="6cd2326"/>
  </r>
  <r>
    <s v="mindless"/>
    <x v="7"/>
    <d v="2010-11-17T23:06:00"/>
    <s v="d488238"/>
  </r>
  <r>
    <s v="Olivier Lamy"/>
    <x v="8"/>
    <d v="2010-12-06T21:23:00"/>
    <s v="bdb4df1"/>
  </r>
  <r>
    <s v="Olivier Lamy"/>
    <x v="8"/>
    <d v="2010-12-23T19:45:00"/>
    <s v="7cf3f7f"/>
  </r>
  <r>
    <s v="Olivier Lamy"/>
    <x v="8"/>
    <d v="2010-12-24T10:52:00"/>
    <s v="c4ad972"/>
  </r>
  <r>
    <s v="Olivier Lamy"/>
    <x v="8"/>
    <d v="2010-12-24T14:18:00"/>
    <s v="18f4a8e"/>
  </r>
  <r>
    <s v="Olivier Lamy"/>
    <x v="8"/>
    <d v="2010-12-06T22:04:00"/>
    <s v="b4bbafc"/>
  </r>
  <r>
    <s v="Olivier Lamy"/>
    <x v="8"/>
    <d v="2010-12-25T10:03:00"/>
    <s v="817366e"/>
  </r>
  <r>
    <s v="Olivier Lamy"/>
    <x v="8"/>
    <d v="2010-12-28T22:50:00"/>
    <s v="350f5c4"/>
  </r>
  <r>
    <s v="Seiji Sogabe"/>
    <x v="9"/>
    <d v="2010-12-05T22:41:00"/>
    <s v="06cec8b"/>
  </r>
  <r>
    <s v="Seiji Sogabe"/>
    <x v="9"/>
    <d v="2010-12-12T01:29:00"/>
    <s v="5d1ea36"/>
  </r>
  <r>
    <s v="Seiji Sogabe"/>
    <x v="9"/>
    <d v="2010-12-15T21:07:00"/>
    <s v="fa22815"/>
  </r>
  <r>
    <s v="Seiji Sogabe"/>
    <x v="9"/>
    <d v="2010-12-24T22:05:00"/>
    <s v="535e968"/>
  </r>
  <r>
    <s v="Seiji Sogabe"/>
    <x v="9"/>
    <d v="2010-12-24T22:19:00"/>
    <s v="c85e60f"/>
  </r>
  <r>
    <s v="Seiji Sogabe"/>
    <x v="9"/>
    <d v="2010-12-24T22:20:00"/>
    <s v="5465f5d"/>
  </r>
  <r>
    <s v="Seiji Sogabe"/>
    <x v="9"/>
    <d v="2010-12-26T09:46:00"/>
    <s v="1b6b8f1"/>
  </r>
  <r>
    <s v="Seiji Sogabe"/>
    <x v="9"/>
    <d v="2010-12-28T23:51:00"/>
    <s v="6643d1f"/>
  </r>
  <r>
    <s v="Tom Huybrechts"/>
    <x v="10"/>
    <d v="2010-10-16T22:04:00"/>
    <s v="55b7d25"/>
  </r>
  <r>
    <s v="Tom Huybrechts"/>
    <x v="10"/>
    <d v="2010-09-23T21:44:00"/>
    <s v="2e7989f"/>
  </r>
  <r>
    <s v="Tom Huybrechts"/>
    <x v="10"/>
    <d v="2010-12-11T17:34:00"/>
    <s v="2d2f311"/>
  </r>
  <r>
    <s v="willemv"/>
    <x v="11"/>
    <d v="2010-11-26T14:23:00"/>
    <s v="776008c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384">
  <r>
    <x v="0"/>
    <d v="2011-02-11T20:42:00"/>
    <s v="53a265e"/>
  </r>
  <r>
    <x v="1"/>
    <d v="2011-02-04T10:43:00"/>
    <s v="c3e7be3"/>
  </r>
  <r>
    <x v="1"/>
    <d v="2011-02-15T16:38:00"/>
    <s v="ebf4146"/>
  </r>
  <r>
    <x v="1"/>
    <d v="2011-02-23T18:04:00"/>
    <s v="543dc87"/>
  </r>
  <r>
    <x v="1"/>
    <d v="2011-03-14T21:25:00"/>
    <s v="3e0b5a6"/>
  </r>
  <r>
    <x v="2"/>
    <d v="2011-02-11T20:54:00"/>
    <s v="ec38211"/>
  </r>
  <r>
    <x v="2"/>
    <d v="2011-02-11T21:06:00"/>
    <s v="9a62931"/>
  </r>
  <r>
    <x v="2"/>
    <d v="2011-02-12T19:31:00"/>
    <s v="c12848f"/>
  </r>
  <r>
    <x v="2"/>
    <d v="2011-02-19T17:16:00"/>
    <s v="5e86a38"/>
  </r>
  <r>
    <x v="2"/>
    <d v="2011-02-20T22:35:00"/>
    <s v="6c7933c"/>
  </r>
  <r>
    <x v="2"/>
    <d v="2011-02-20T22:38:00"/>
    <s v="f934952"/>
  </r>
  <r>
    <x v="2"/>
    <d v="2011-02-24T20:40:00"/>
    <s v="e71bfe4"/>
  </r>
  <r>
    <x v="2"/>
    <d v="2011-02-24T20:44:00"/>
    <s v="3a97ded"/>
  </r>
  <r>
    <x v="3"/>
    <d v="2011-02-04T11:45:00"/>
    <s v="657c487"/>
  </r>
  <r>
    <x v="3"/>
    <d v="2011-02-09T11:50:00"/>
    <s v="354956f"/>
  </r>
  <r>
    <x v="3"/>
    <d v="2011-03-13T15:21:00"/>
    <s v="5e3000f"/>
  </r>
  <r>
    <x v="3"/>
    <d v="2011-03-18T14:07:00"/>
    <s v="3f81160"/>
  </r>
  <r>
    <x v="3"/>
    <d v="2011-04-21T12:48:00"/>
    <s v="f28409e"/>
  </r>
  <r>
    <x v="3"/>
    <d v="2011-05-19T16:53:00"/>
    <s v="0667a43"/>
  </r>
  <r>
    <x v="3"/>
    <d v="2011-05-19T17:05:00"/>
    <s v="ee8de0f"/>
  </r>
  <r>
    <x v="3"/>
    <d v="2011-05-19T17:07:00"/>
    <s v="d7dcb96"/>
  </r>
  <r>
    <x v="3"/>
    <d v="2011-05-23T11:20:00"/>
    <s v="c0628ee"/>
  </r>
  <r>
    <x v="3"/>
    <d v="2011-06-14T17:45:00"/>
    <s v="2b14fe3"/>
  </r>
  <r>
    <x v="4"/>
    <d v="2011-06-13T06:30:00"/>
    <s v="06770c3"/>
  </r>
  <r>
    <x v="5"/>
    <d v="2011-05-22T23:31:00"/>
    <s v="073734f"/>
  </r>
  <r>
    <x v="6"/>
    <d v="2011-05-22T23:31:00"/>
    <s v="0cfbe3f"/>
  </r>
  <r>
    <x v="6"/>
    <d v="2011-05-28T12:13:00"/>
    <s v="3c88fc5"/>
  </r>
  <r>
    <x v="6"/>
    <d v="2011-05-28T16:56:00"/>
    <s v="be03ace"/>
  </r>
  <r>
    <x v="6"/>
    <d v="2011-05-28T12:38:00"/>
    <s v="8714352"/>
  </r>
  <r>
    <x v="6"/>
    <d v="2011-05-31T10:06:00"/>
    <s v="fe30ad8"/>
  </r>
  <r>
    <x v="6"/>
    <d v="2011-06-01T23:20:00"/>
    <s v="454682"/>
  </r>
  <r>
    <x v="6"/>
    <d v="2011-06-23T11:09:00"/>
    <s v="34e8a40"/>
  </r>
  <r>
    <x v="7"/>
    <d v="2011-04-10T14:29:00"/>
    <s v="5cbe179"/>
  </r>
  <r>
    <x v="7"/>
    <d v="2011-05-18T18:20:00"/>
    <s v="1ead9d3"/>
  </r>
  <r>
    <x v="7"/>
    <d v="2011-05-14T17:20:00"/>
    <s v="8578e58"/>
  </r>
  <r>
    <x v="7"/>
    <d v="2011-05-21T14:41:00"/>
    <s v="c4d9fe8"/>
  </r>
  <r>
    <x v="7"/>
    <d v="2011-06-03T20:28:00"/>
    <s v="495779d"/>
  </r>
  <r>
    <x v="8"/>
    <d v="2011-05-03T16:20:00"/>
    <s v="c565c56"/>
  </r>
  <r>
    <x v="9"/>
    <d v="2011-02-06T20:54:00"/>
    <s v="be5438b"/>
  </r>
  <r>
    <x v="10"/>
    <d v="2011-02-02T18:56:00"/>
    <s v="c628bdd"/>
  </r>
  <r>
    <x v="10"/>
    <d v="2011-02-03T00:41:00"/>
    <s v="f134bd6"/>
  </r>
  <r>
    <x v="10"/>
    <d v="2011-02-05T13:30:00"/>
    <s v="1d1c188"/>
  </r>
  <r>
    <x v="11"/>
    <d v="2011-05-13T15:05:00"/>
    <s v="f10b5eb"/>
  </r>
  <r>
    <x v="12"/>
    <d v="2011-03-14T15:41:00"/>
    <s v="836fc8b"/>
  </r>
  <r>
    <x v="12"/>
    <d v="2011-05-22T21:10:00"/>
    <s v="819c852"/>
  </r>
  <r>
    <x v="12"/>
    <d v="2011-06-02T16:28:00"/>
    <s v="d5b8cf4"/>
  </r>
  <r>
    <x v="12"/>
    <d v="2011-06-24T22:03:00"/>
    <s v="89bd7cd"/>
  </r>
  <r>
    <x v="13"/>
    <d v="2011-05-17T01:28:00"/>
    <s v="70da17e"/>
  </r>
  <r>
    <x v="14"/>
    <d v="2011-06-22T05:00:00"/>
    <s v="591cbfd"/>
  </r>
  <r>
    <x v="15"/>
    <d v="2011-02-05T19:31:00"/>
    <s v="e7d0ba5"/>
  </r>
  <r>
    <x v="16"/>
    <d v="2011-02-20T00:46:00"/>
    <s v="1b67e20"/>
  </r>
  <r>
    <x v="17"/>
    <d v="2011-05-28T17:44:00"/>
    <s v="84a78d5"/>
  </r>
  <r>
    <x v="18"/>
    <d v="2011-01-21T14:52:00"/>
    <s v="2951e6a"/>
  </r>
  <r>
    <x v="19"/>
    <d v="2011-06-05T13:09:00"/>
    <s v="e4a846d"/>
  </r>
  <r>
    <x v="20"/>
    <d v="2011-04-28T21:36:00"/>
    <s v="0d3e461"/>
  </r>
  <r>
    <x v="21"/>
    <d v="2011-03-27T23:32:00"/>
    <s v="8403e8e"/>
  </r>
  <r>
    <x v="21"/>
    <d v="2011-03-27T23:32:00"/>
    <s v="e9992be"/>
  </r>
  <r>
    <x v="21"/>
    <d v="2011-03-31T01:40:00"/>
    <s v="821bf00"/>
  </r>
  <r>
    <x v="21"/>
    <d v="2011-04-01T00:41:00"/>
    <s v="54d9840"/>
  </r>
  <r>
    <x v="21"/>
    <d v="2011-04-14T03:14:00"/>
    <s v="3755b4c"/>
  </r>
  <r>
    <x v="21"/>
    <d v="2011-04-20T00:47:00"/>
    <s v="831e746"/>
  </r>
  <r>
    <x v="21"/>
    <d v="2011-05-01T07:01:00"/>
    <s v="ba41484"/>
  </r>
  <r>
    <x v="21"/>
    <d v="2011-05-01T15:57:00"/>
    <s v="80c9fe8"/>
  </r>
  <r>
    <x v="21"/>
    <d v="2011-05-10T03:23:00"/>
    <s v="825dc6d"/>
  </r>
  <r>
    <x v="22"/>
    <d v="2011-02-08T11:39:00"/>
    <s v="bf8f2f7"/>
  </r>
  <r>
    <x v="22"/>
    <d v="2011-02-08T11:47:00"/>
    <s v="997bfd1"/>
  </r>
  <r>
    <x v="22"/>
    <d v="2011-02-08T11:54:00"/>
    <s v="a402e97"/>
  </r>
  <r>
    <x v="23"/>
    <d v="2011-02-03T14:07:00"/>
    <s v="a41c871"/>
  </r>
  <r>
    <x v="23"/>
    <d v="2011-02-03T21:53:00"/>
    <s v="287208f"/>
  </r>
  <r>
    <x v="23"/>
    <d v="2011-02-04T12:50:00"/>
    <s v="020a4ee"/>
  </r>
  <r>
    <x v="23"/>
    <d v="2011-02-04T21:36:00"/>
    <s v="a70f6b1"/>
  </r>
  <r>
    <x v="23"/>
    <d v="2011-02-04T22:34:00"/>
    <s v="9005eb6"/>
  </r>
  <r>
    <x v="23"/>
    <d v="2011-02-04T22:34:00"/>
    <s v="f40b4ff"/>
  </r>
  <r>
    <x v="23"/>
    <d v="2011-02-07T10:25:00"/>
    <s v="1d65057"/>
  </r>
  <r>
    <x v="23"/>
    <d v="2011-02-07T10:36:00"/>
    <s v="9768125"/>
  </r>
  <r>
    <x v="24"/>
    <d v="2011-01-19T12:03:00"/>
    <s v="945d04a"/>
  </r>
  <r>
    <x v="24"/>
    <d v="2011-02-11T14:47:00"/>
    <s v="c307735"/>
  </r>
  <r>
    <x v="24"/>
    <d v="2011-04-26T11:46:00"/>
    <s v="7b15c23"/>
  </r>
  <r>
    <x v="24"/>
    <d v="2011-06-09T15:43:00"/>
    <s v="17a835d"/>
  </r>
  <r>
    <x v="24"/>
    <d v="2011-06-13T20:48:00"/>
    <s v="985f378"/>
  </r>
  <r>
    <x v="25"/>
    <d v="2011-06-06T23:05:00"/>
    <s v="8ce6893"/>
  </r>
  <r>
    <x v="25"/>
    <d v="2011-06-20T13:09:00"/>
    <s v="6be5275"/>
  </r>
  <r>
    <x v="26"/>
    <d v="2011-06-13T22:26:00"/>
    <s v="2cd6960"/>
  </r>
  <r>
    <x v="27"/>
    <d v="2011-01-06T13:06:00"/>
    <s v="ec84ee4"/>
  </r>
  <r>
    <x v="27"/>
    <d v="2011-01-12T18:53:00"/>
    <s v="f92550e"/>
  </r>
  <r>
    <x v="27"/>
    <d v="2011-01-21T23:35:00"/>
    <s v="0a0f040"/>
  </r>
  <r>
    <x v="27"/>
    <d v="2011-01-31T19:14:00"/>
    <s v="ec3fbdf"/>
  </r>
  <r>
    <x v="27"/>
    <d v="2011-02-02T12:11:00"/>
    <s v="5de5b68"/>
  </r>
  <r>
    <x v="27"/>
    <d v="2011-02-04T20:34:00"/>
    <s v="329a020"/>
  </r>
  <r>
    <x v="27"/>
    <d v="2011-02-04T21:28:00"/>
    <s v="36d9b56"/>
  </r>
  <r>
    <x v="27"/>
    <d v="2011-02-08T11:46:00"/>
    <s v="f6bd1f3"/>
  </r>
  <r>
    <x v="27"/>
    <d v="2011-02-27T19:48:00"/>
    <s v="6f636b5"/>
  </r>
  <r>
    <x v="27"/>
    <d v="2011-03-14T13:26:00"/>
    <s v="c3fc099"/>
  </r>
  <r>
    <x v="27"/>
    <d v="2011-03-14T18:10:00"/>
    <s v="803d111"/>
  </r>
  <r>
    <x v="27"/>
    <d v="2011-03-17T23:09:00"/>
    <s v="9e788b4"/>
  </r>
  <r>
    <x v="27"/>
    <d v="2011-03-18T17:13:00"/>
    <s v="dfead9c"/>
  </r>
  <r>
    <x v="27"/>
    <d v="2011-03-18T22:18:00"/>
    <s v="c21918d"/>
  </r>
  <r>
    <x v="27"/>
    <d v="2011-03-24T23:43:00"/>
    <s v="b22a064"/>
  </r>
  <r>
    <x v="27"/>
    <d v="2011-03-27T21:45:00"/>
    <s v="eadb72f"/>
  </r>
  <r>
    <x v="27"/>
    <d v="2011-03-28T14:13:00"/>
    <s v="af04d72"/>
  </r>
  <r>
    <x v="27"/>
    <d v="2011-03-29T10:22:00"/>
    <s v="51562a2"/>
  </r>
  <r>
    <x v="27"/>
    <d v="2011-03-30T10:09:00"/>
    <s v="92e7aa0"/>
  </r>
  <r>
    <x v="27"/>
    <d v="2011-03-31T18:58:00"/>
    <s v="6b3b555"/>
  </r>
  <r>
    <x v="27"/>
    <d v="2011-03-31T19:02:00"/>
    <s v="427a8ab"/>
  </r>
  <r>
    <x v="27"/>
    <d v="2011-04-01T15:13:00"/>
    <s v="9b03bf4"/>
  </r>
  <r>
    <x v="27"/>
    <d v="2011-04-15T20:11:00"/>
    <s v="d3d564c"/>
  </r>
  <r>
    <x v="27"/>
    <d v="2011-04-15T22:27:00"/>
    <s v="5c990b4"/>
  </r>
  <r>
    <x v="27"/>
    <d v="2011-04-15T22:58:00"/>
    <s v="f3c44a0"/>
  </r>
  <r>
    <x v="27"/>
    <d v="2011-04-18T13:16:00"/>
    <s v="31e7dae"/>
  </r>
  <r>
    <x v="27"/>
    <d v="2011-04-18T13:25:00"/>
    <s v="0ecb07b"/>
  </r>
  <r>
    <x v="27"/>
    <d v="2011-04-18T13:30:00"/>
    <s v="b013c4d"/>
  </r>
  <r>
    <x v="27"/>
    <d v="2011-04-18T22:02:00"/>
    <s v="1d4abe2"/>
  </r>
  <r>
    <x v="27"/>
    <d v="2011-04-19T11:39:00"/>
    <s v="31bb961"/>
  </r>
  <r>
    <x v="27"/>
    <d v="2011-04-22T12:56:00"/>
    <s v="2220b7f"/>
  </r>
  <r>
    <x v="27"/>
    <d v="2011-05-10T18:34:00"/>
    <s v="688e81c"/>
  </r>
  <r>
    <x v="27"/>
    <d v="2011-05-16T09:57:00"/>
    <s v="200bcaf"/>
  </r>
  <r>
    <x v="27"/>
    <d v="2011-05-16T14:59:00"/>
    <s v="642f301"/>
  </r>
  <r>
    <x v="27"/>
    <d v="2011-06-04T11:24:00"/>
    <s v="82a26a5"/>
  </r>
  <r>
    <x v="27"/>
    <d v="2011-06-07T14:57:00"/>
    <s v="6de74a5"/>
  </r>
  <r>
    <x v="27"/>
    <d v="2011-06-17T13:49:00"/>
    <s v="7b20516"/>
  </r>
  <r>
    <x v="27"/>
    <d v="2011-06-17T21:53:00"/>
    <s v="5dddebc"/>
  </r>
  <r>
    <x v="27"/>
    <d v="2011-06-17T23:19:00"/>
    <s v="312861f"/>
  </r>
  <r>
    <x v="27"/>
    <d v="2011-06-18T09:28:00"/>
    <s v="b2a9ccd"/>
  </r>
  <r>
    <x v="28"/>
    <d v="2010-12-31T21:43:00"/>
    <s v="ce36242"/>
  </r>
  <r>
    <x v="28"/>
    <d v="2011-01-06T11:18:00"/>
    <s v="fcbc062"/>
  </r>
  <r>
    <x v="28"/>
    <d v="2011-01-06T15:59:00"/>
    <s v="4add69a"/>
  </r>
  <r>
    <x v="28"/>
    <d v="2011-01-05T22:22:00"/>
    <s v="0a3f6c0"/>
  </r>
  <r>
    <x v="28"/>
    <d v="2011-01-09T18:09:00"/>
    <s v="e9fe92c"/>
  </r>
  <r>
    <x v="28"/>
    <d v="2011-01-07T16:35:00"/>
    <s v="872c664"/>
  </r>
  <r>
    <x v="28"/>
    <d v="2011-01-12T21:47:00"/>
    <s v="5b8f472"/>
  </r>
  <r>
    <x v="28"/>
    <d v="2011-01-15T10:46:00"/>
    <s v="f0ed371"/>
  </r>
  <r>
    <x v="28"/>
    <d v="2011-01-21T10:25:00"/>
    <s v="8411557"/>
  </r>
  <r>
    <x v="28"/>
    <d v="2011-01-29T16:14:00"/>
    <s v="dc7e05a"/>
  </r>
  <r>
    <x v="28"/>
    <d v="2011-01-31T10:06:00"/>
    <s v="d14ca2c"/>
  </r>
  <r>
    <x v="28"/>
    <d v="2011-01-31T12:59:00"/>
    <s v="237dbe3"/>
  </r>
  <r>
    <x v="28"/>
    <d v="2011-01-31T19:10:00"/>
    <s v="31a76bc"/>
  </r>
  <r>
    <x v="28"/>
    <d v="2011-01-31T17:01:00"/>
    <s v="d44eef2"/>
  </r>
  <r>
    <x v="28"/>
    <d v="2011-01-31T13:08:00"/>
    <s v="46631d0"/>
  </r>
  <r>
    <x v="28"/>
    <d v="2011-02-02T09:39:00"/>
    <s v="5c91eb1"/>
  </r>
  <r>
    <x v="28"/>
    <d v="2011-02-04T18:32:00"/>
    <s v="4696102"/>
  </r>
  <r>
    <x v="28"/>
    <d v="2011-02-04T20:10:00"/>
    <s v="91f7906"/>
  </r>
  <r>
    <x v="28"/>
    <d v="2011-02-04T20:23:00"/>
    <s v="fd93cf0"/>
  </r>
  <r>
    <x v="28"/>
    <d v="2011-02-04T21:14:00"/>
    <s v="6c52125"/>
  </r>
  <r>
    <x v="28"/>
    <d v="2011-02-04T21:29:00"/>
    <s v="85a8dd0"/>
  </r>
  <r>
    <x v="28"/>
    <d v="2011-02-04T23:36:00"/>
    <s v="63f67f3"/>
  </r>
  <r>
    <x v="28"/>
    <d v="2011-02-08T01:37:00"/>
    <s v="8e6929f"/>
  </r>
  <r>
    <x v="28"/>
    <d v="2011-02-08T11:37:00"/>
    <s v="d1d8123"/>
  </r>
  <r>
    <x v="28"/>
    <d v="2011-02-08T11:41:00"/>
    <s v="e0879e8"/>
  </r>
  <r>
    <x v="28"/>
    <d v="2011-02-08T11:46:00"/>
    <s v="fa9c558"/>
  </r>
  <r>
    <x v="28"/>
    <d v="2011-02-08T11:55:00"/>
    <s v="99bf806"/>
  </r>
  <r>
    <x v="28"/>
    <d v="2011-02-11T14:54:00"/>
    <s v="cc40af0"/>
  </r>
  <r>
    <x v="28"/>
    <d v="2011-02-10T16:44:00"/>
    <s v="0c19666"/>
  </r>
  <r>
    <x v="28"/>
    <d v="2011-02-12T08:00:00"/>
    <s v="f188442"/>
  </r>
  <r>
    <x v="28"/>
    <d v="2011-02-12T10:09:00"/>
    <s v="8896954"/>
  </r>
  <r>
    <x v="28"/>
    <d v="2011-02-12T10:13:00"/>
    <s v="8de9db3"/>
  </r>
  <r>
    <x v="28"/>
    <d v="2011-02-12T10:32:00"/>
    <s v="49ca465"/>
  </r>
  <r>
    <x v="28"/>
    <d v="2011-02-14T10:23:00"/>
    <s v="a95c3e6"/>
  </r>
  <r>
    <x v="28"/>
    <d v="2011-02-15T09:19:00"/>
    <s v="a545a39"/>
  </r>
  <r>
    <x v="28"/>
    <d v="2011-02-20T20:04:00"/>
    <s v="244609b"/>
  </r>
  <r>
    <x v="28"/>
    <d v="2011-02-27T11:46:00"/>
    <s v="9f09e8a"/>
  </r>
  <r>
    <x v="28"/>
    <d v="2011-03-06T22:32:00"/>
    <s v="ed44cc3"/>
  </r>
  <r>
    <x v="28"/>
    <d v="2011-03-10T18:38:00"/>
    <s v="70d1039"/>
  </r>
  <r>
    <x v="28"/>
    <d v="2011-03-13T20:58:00"/>
    <s v="3245687"/>
  </r>
  <r>
    <x v="28"/>
    <d v="2011-03-14T11:31:00"/>
    <s v="4a6b5c1"/>
  </r>
  <r>
    <x v="28"/>
    <d v="2011-03-14T13:32:00"/>
    <s v="5c4cc60"/>
  </r>
  <r>
    <x v="28"/>
    <d v="2011-03-14T11:29:00"/>
    <s v="cbe2677"/>
  </r>
  <r>
    <x v="28"/>
    <d v="2011-03-14T21:08:00"/>
    <s v="d6a9559"/>
  </r>
  <r>
    <x v="28"/>
    <d v="2011-03-17T13:32:00"/>
    <s v="c9d54a4"/>
  </r>
  <r>
    <x v="28"/>
    <d v="2011-03-18T20:10:00"/>
    <s v="2066157"/>
  </r>
  <r>
    <x v="28"/>
    <d v="2011-03-18T15:14:00"/>
    <s v="04584b8"/>
  </r>
  <r>
    <x v="28"/>
    <d v="2011-03-18T21:28:00"/>
    <s v="29dc1d5"/>
  </r>
  <r>
    <x v="28"/>
    <d v="2011-03-20T23:37:00"/>
    <s v="4b63591"/>
  </r>
  <r>
    <x v="28"/>
    <d v="2011-03-27T21:08:00"/>
    <s v="174ad3b"/>
  </r>
  <r>
    <x v="28"/>
    <d v="2011-03-26T21:41:00"/>
    <s v="39eb87c"/>
  </r>
  <r>
    <x v="28"/>
    <d v="2011-03-28T14:13:00"/>
    <s v="2b9b4d0"/>
  </r>
  <r>
    <x v="28"/>
    <d v="2011-03-29T09:00:00"/>
    <s v="40983ba"/>
  </r>
  <r>
    <x v="28"/>
    <d v="2011-03-30T10:00:00"/>
    <s v="55debe8"/>
  </r>
  <r>
    <x v="28"/>
    <d v="2011-03-30T14:33:00"/>
    <s v="4129ac5"/>
  </r>
  <r>
    <x v="28"/>
    <d v="2011-03-30T10:09:00"/>
    <s v="205fea6"/>
  </r>
  <r>
    <x v="28"/>
    <d v="2011-03-30T21:38:00"/>
    <s v="ff05abe"/>
  </r>
  <r>
    <x v="28"/>
    <d v="2011-03-31T19:00:00"/>
    <s v="5bbc78f"/>
  </r>
  <r>
    <x v="28"/>
    <d v="2011-03-31T18:19:00"/>
    <s v="55d1f1f"/>
  </r>
  <r>
    <x v="28"/>
    <d v="2011-04-01T15:06:00"/>
    <s v="9a9ac35"/>
  </r>
  <r>
    <x v="28"/>
    <d v="2011-04-01T14:25:00"/>
    <s v="ad343a6"/>
  </r>
  <r>
    <x v="28"/>
    <d v="2011-04-04T09:51:00"/>
    <s v="f987e4e"/>
  </r>
  <r>
    <x v="28"/>
    <d v="2011-04-11T09:24:00"/>
    <s v="be85b9c"/>
  </r>
  <r>
    <x v="28"/>
    <d v="2011-04-13T09:15:00"/>
    <s v="6065a95"/>
  </r>
  <r>
    <x v="28"/>
    <d v="2011-04-15T17:33:00"/>
    <s v="5b0fcc6"/>
  </r>
  <r>
    <x v="28"/>
    <d v="2011-04-15T14:55:00"/>
    <s v="ff1f609"/>
  </r>
  <r>
    <x v="28"/>
    <d v="2011-04-15T21:40:00"/>
    <s v="7e14d2e"/>
  </r>
  <r>
    <x v="28"/>
    <d v="2011-04-15T22:56:00"/>
    <s v="fcf7f46"/>
  </r>
  <r>
    <x v="28"/>
    <d v="2011-04-18T13:21:00"/>
    <s v="5c21f12"/>
  </r>
  <r>
    <x v="28"/>
    <d v="2011-04-18T13:28:00"/>
    <s v="9c7e08b"/>
  </r>
  <r>
    <x v="28"/>
    <d v="2011-04-18T13:29:00"/>
    <s v="4bf8f09"/>
  </r>
  <r>
    <x v="28"/>
    <d v="2011-04-18T13:24:00"/>
    <s v="ffcf4c5"/>
  </r>
  <r>
    <x v="28"/>
    <d v="2011-04-19T10:30:00"/>
    <s v="1369c4f"/>
  </r>
  <r>
    <x v="28"/>
    <d v="2011-04-21T15:21:00"/>
    <s v="f5209cd"/>
  </r>
  <r>
    <x v="28"/>
    <d v="2011-04-22T11:01:00"/>
    <s v="23daeee"/>
  </r>
  <r>
    <x v="28"/>
    <d v="2011-04-21T21:04:00"/>
    <s v="50f7aa3"/>
  </r>
  <r>
    <x v="28"/>
    <d v="2011-04-25T12:20:00"/>
    <s v="ac1c08c"/>
  </r>
  <r>
    <x v="28"/>
    <d v="2011-04-25T13:26:00"/>
    <s v="307af57"/>
  </r>
  <r>
    <x v="28"/>
    <d v="2011-04-26T17:38:00"/>
    <s v="8d29f47"/>
  </r>
  <r>
    <x v="28"/>
    <d v="2011-04-28T17:04:00"/>
    <s v="c36b35f"/>
  </r>
  <r>
    <x v="28"/>
    <d v="2011-05-01T15:15:00"/>
    <s v="b89b418"/>
  </r>
  <r>
    <x v="28"/>
    <d v="2011-05-01T16:18:00"/>
    <s v="7149903"/>
  </r>
  <r>
    <x v="28"/>
    <d v="2011-05-01T12:54:00"/>
    <s v="fe452bf"/>
  </r>
  <r>
    <x v="28"/>
    <d v="2011-05-04T11:34:00"/>
    <s v="6243cf5"/>
  </r>
  <r>
    <x v="28"/>
    <d v="2011-04-12T13:57:00"/>
    <s v="c617653"/>
  </r>
  <r>
    <x v="28"/>
    <d v="2011-05-09T09:36:00"/>
    <s v="23da993"/>
  </r>
  <r>
    <x v="28"/>
    <d v="2011-05-10T10:41:00"/>
    <s v="20c6fd4"/>
  </r>
  <r>
    <x v="28"/>
    <d v="2011-03-19T22:01:00"/>
    <s v="84b90dd"/>
  </r>
  <r>
    <x v="28"/>
    <d v="2011-05-11T17:28:00"/>
    <s v="e14c13c"/>
  </r>
  <r>
    <x v="28"/>
    <d v="2011-05-13T14:25:00"/>
    <s v="0203876"/>
  </r>
  <r>
    <x v="28"/>
    <d v="2011-05-13T14:26:00"/>
    <s v="31d3620"/>
  </r>
  <r>
    <x v="28"/>
    <d v="2011-05-16T14:35:00"/>
    <s v="2741433"/>
  </r>
  <r>
    <x v="28"/>
    <d v="2011-05-16T15:31:00"/>
    <s v="872b4df"/>
  </r>
  <r>
    <x v="28"/>
    <d v="2011-05-22T22:06:00"/>
    <s v="cb86f97"/>
  </r>
  <r>
    <x v="28"/>
    <d v="2011-05-23T02:02:00"/>
    <s v="531f439"/>
  </r>
  <r>
    <x v="28"/>
    <d v="2011-06-03T15:34:00"/>
    <s v="2ca3836"/>
  </r>
  <r>
    <x v="28"/>
    <d v="2011-05-13T13:48:00"/>
    <s v="e76b021"/>
  </r>
  <r>
    <x v="28"/>
    <d v="2011-06-04T10:37:00"/>
    <s v="d2f90ce"/>
  </r>
  <r>
    <x v="28"/>
    <d v="2011-06-03T11:38:00"/>
    <s v="514b5fd"/>
  </r>
  <r>
    <x v="28"/>
    <d v="2011-06-05T16:15:00"/>
    <s v="2ff3cab"/>
  </r>
  <r>
    <x v="28"/>
    <d v="2011-06-06T16:17:00"/>
    <s v="77290b9"/>
  </r>
  <r>
    <x v="28"/>
    <d v="2011-06-06T18:26:00"/>
    <s v="3fb0fb2"/>
  </r>
  <r>
    <x v="28"/>
    <d v="2011-06-07T10:29:00"/>
    <s v="8cd638a"/>
  </r>
  <r>
    <x v="28"/>
    <d v="2011-06-07T14:27:00"/>
    <s v="8291720"/>
  </r>
  <r>
    <x v="28"/>
    <d v="2011-06-12T22:07:00"/>
    <s v="ef05e4c"/>
  </r>
  <r>
    <x v="28"/>
    <d v="2011-06-11T18:39:00"/>
    <s v="e03ba7d"/>
  </r>
  <r>
    <x v="28"/>
    <d v="2011-06-13T09:22:00"/>
    <s v="c61ffdd"/>
  </r>
  <r>
    <x v="28"/>
    <d v="2011-06-13T09:39:00"/>
    <s v="6464917"/>
  </r>
  <r>
    <x v="28"/>
    <d v="2011-06-17T11:26:00"/>
    <s v="a3354b1"/>
  </r>
  <r>
    <x v="28"/>
    <d v="2011-06-17T18:39:00"/>
    <s v="26fc0c8"/>
  </r>
  <r>
    <x v="28"/>
    <d v="2011-06-17T22:12:00"/>
    <s v="40ffd56"/>
  </r>
  <r>
    <x v="28"/>
    <d v="2011-06-17T23:19:00"/>
    <s v="cf3104d"/>
  </r>
  <r>
    <x v="28"/>
    <d v="2011-06-20T11:08:00"/>
    <s v="405f913"/>
  </r>
  <r>
    <x v="28"/>
    <d v="2011-06-20T17:55:00"/>
    <s v="78cdd29"/>
  </r>
  <r>
    <x v="28"/>
    <d v="2011-06-20T11:08:00"/>
    <s v="556ef07"/>
  </r>
  <r>
    <x v="28"/>
    <d v="2011-06-18T09:31:00"/>
    <s v="06b1009"/>
  </r>
  <r>
    <x v="28"/>
    <d v="2011-06-21T17:02:00"/>
    <s v="63a2916"/>
  </r>
  <r>
    <x v="28"/>
    <d v="2011-06-27T10:01:00"/>
    <s v="9f526b3"/>
  </r>
  <r>
    <x v="28"/>
    <d v="2011-06-28T23:22:00"/>
    <s v="d741fd9"/>
  </r>
  <r>
    <x v="29"/>
    <d v="2011-05-12T10:01:00"/>
    <s v="2836ae4"/>
  </r>
  <r>
    <x v="29"/>
    <d v="2011-05-20T09:18:00"/>
    <s v="e3a0be9"/>
  </r>
  <r>
    <x v="29"/>
    <d v="2011-05-23T09:37:00"/>
    <s v="cee7a85"/>
  </r>
  <r>
    <x v="29"/>
    <d v="2011-05-23T16:40:00"/>
    <s v="018b75e"/>
  </r>
  <r>
    <x v="29"/>
    <d v="2011-05-24T13:42:00"/>
    <s v="0bc4655"/>
  </r>
  <r>
    <x v="30"/>
    <d v="2011-02-19T08:56:00"/>
    <s v="077aa6f"/>
  </r>
  <r>
    <x v="31"/>
    <d v="2011-06-21T16:22:00"/>
    <s v="c83d2cf"/>
  </r>
  <r>
    <x v="32"/>
    <d v="2011-02-07T14:46:00"/>
    <s v="9c96561"/>
  </r>
  <r>
    <x v="32"/>
    <d v="2011-02-09T18:44:00"/>
    <s v="042a4cd"/>
  </r>
  <r>
    <x v="33"/>
    <d v="2011-02-08T21:07:00"/>
    <s v="6d96631"/>
  </r>
  <r>
    <x v="33"/>
    <d v="2011-04-28T22:25:00"/>
    <s v="cae5ea0"/>
  </r>
  <r>
    <x v="33"/>
    <d v="2011-04-28T13:27:00"/>
    <s v="39d738f"/>
  </r>
  <r>
    <x v="33"/>
    <d v="2011-05-13T21:57:00"/>
    <s v="6ae77ed"/>
  </r>
  <r>
    <x v="34"/>
    <d v="2011-01-03T14:49:00"/>
    <s v="1f2ba8f"/>
  </r>
  <r>
    <x v="35"/>
    <d v="2011-01-31T09:09:00"/>
    <s v="b167b98"/>
  </r>
  <r>
    <x v="36"/>
    <d v="2011-01-30T13:52:00"/>
    <s v="cd29343"/>
  </r>
  <r>
    <x v="36"/>
    <d v="2011-02-13T14:36:00"/>
    <s v="8eea720"/>
  </r>
  <r>
    <x v="37"/>
    <d v="2011-02-03T23:39:00"/>
    <s v="a88920a"/>
  </r>
  <r>
    <x v="38"/>
    <d v="2011-06-02T22:51:00"/>
    <s v="c3eef5b"/>
  </r>
  <r>
    <x v="39"/>
    <d v="2011-03-22T17:06:00"/>
    <s v="d5c2873"/>
  </r>
  <r>
    <x v="39"/>
    <d v="2011-05-28T16:02:00"/>
    <s v="a84188e"/>
  </r>
  <r>
    <x v="39"/>
    <d v="2011-05-31T04:53:00"/>
    <s v="1a7001b"/>
  </r>
  <r>
    <x v="39"/>
    <d v="2011-05-31T06:31:00"/>
    <s v="a365727"/>
  </r>
  <r>
    <x v="39"/>
    <d v="2011-06-02T22:51:00"/>
    <s v="3f13f6d"/>
  </r>
  <r>
    <x v="39"/>
    <d v="2011-06-03T07:57:00"/>
    <s v="005b75d"/>
  </r>
  <r>
    <x v="39"/>
    <d v="2011-06-21T14:36:00"/>
    <s v="9323b34"/>
  </r>
  <r>
    <x v="40"/>
    <d v="2011-03-06T16:49:00"/>
    <s v="ef3fd82"/>
  </r>
  <r>
    <x v="40"/>
    <d v="2011-05-29T11:04:00"/>
    <s v="017e445"/>
  </r>
  <r>
    <x v="40"/>
    <d v="2011-06-07T09:06:00"/>
    <s v="79eb909"/>
  </r>
  <r>
    <x v="40"/>
    <d v="2011-06-07T09:42:00"/>
    <s v="dbe586c"/>
  </r>
  <r>
    <x v="40"/>
    <d v="2011-06-08T10:08:00"/>
    <s v="bb06bd1"/>
  </r>
  <r>
    <x v="41"/>
    <d v="2011-03-17T22:22:00"/>
    <s v="c5bc472"/>
  </r>
  <r>
    <x v="41"/>
    <d v="2011-03-17T23:47:00"/>
    <s v="81d5129"/>
  </r>
  <r>
    <x v="42"/>
    <d v="2011-01-10T21:21:00"/>
    <s v="89d0d84"/>
  </r>
  <r>
    <x v="43"/>
    <d v="2011-01-06T21:35:00"/>
    <s v="a09a76f"/>
  </r>
  <r>
    <x v="43"/>
    <d v="2011-01-08T22:25:00"/>
    <s v="b97ad46"/>
  </r>
  <r>
    <x v="43"/>
    <d v="2011-01-10T18:33:00"/>
    <s v="4895dbe"/>
  </r>
  <r>
    <x v="43"/>
    <d v="2011-01-10T23:40:00"/>
    <s v="1a9f3c6"/>
  </r>
  <r>
    <x v="43"/>
    <d v="2011-01-11T14:28:00"/>
    <s v="0f4a76f"/>
  </r>
  <r>
    <x v="43"/>
    <d v="2011-01-12T19:30:00"/>
    <s v="520900a"/>
  </r>
  <r>
    <x v="43"/>
    <d v="2011-01-13T12:53:00"/>
    <s v="32a344f"/>
  </r>
  <r>
    <x v="43"/>
    <d v="2011-01-13T15:28:00"/>
    <s v="fbb5453"/>
  </r>
  <r>
    <x v="43"/>
    <d v="2011-02-10T00:08:00"/>
    <s v="028e7a8"/>
  </r>
  <r>
    <x v="43"/>
    <d v="2011-02-11T22:16:00"/>
    <s v="6e8e2d5"/>
  </r>
  <r>
    <x v="43"/>
    <d v="2011-02-11T22:27:00"/>
    <s v="f757e5e"/>
  </r>
  <r>
    <x v="43"/>
    <d v="2011-02-10T00:36:00"/>
    <s v="b7a6c5d"/>
  </r>
  <r>
    <x v="43"/>
    <d v="2011-03-07T00:53:00"/>
    <s v="8045c5e"/>
  </r>
  <r>
    <x v="43"/>
    <d v="2011-03-10T22:29:00"/>
    <s v="ea99014"/>
  </r>
  <r>
    <x v="43"/>
    <d v="2011-03-11T11:50:00"/>
    <s v="cf87c8f"/>
  </r>
  <r>
    <x v="43"/>
    <d v="2011-03-13T20:55:00"/>
    <s v="a92526b"/>
  </r>
  <r>
    <x v="43"/>
    <d v="2011-03-14T14:03:00"/>
    <s v="7d46b22"/>
  </r>
  <r>
    <x v="43"/>
    <d v="2011-03-14T19:27:00"/>
    <s v="18eb948"/>
  </r>
  <r>
    <x v="43"/>
    <d v="2011-03-17T22:27:00"/>
    <s v="951580f"/>
  </r>
  <r>
    <x v="43"/>
    <d v="2011-03-17T22:59:00"/>
    <s v="283cb18"/>
  </r>
  <r>
    <x v="43"/>
    <d v="2011-03-31T22:50:00"/>
    <s v="bafc4f6"/>
  </r>
  <r>
    <x v="43"/>
    <d v="2011-04-18T21:49:00"/>
    <s v="ebcc791"/>
  </r>
  <r>
    <x v="43"/>
    <d v="2011-04-28T22:36:00"/>
    <s v="c465b6e"/>
  </r>
  <r>
    <x v="43"/>
    <d v="2011-04-29T01:12:00"/>
    <s v="92606d7"/>
  </r>
  <r>
    <x v="43"/>
    <d v="2011-04-29T10:15:00"/>
    <s v="c267d49"/>
  </r>
  <r>
    <x v="43"/>
    <d v="2011-05-03T07:55:00"/>
    <s v="b2e09c5"/>
  </r>
  <r>
    <x v="43"/>
    <d v="2011-05-03T08:01:00"/>
    <s v="69cdef2"/>
  </r>
  <r>
    <x v="43"/>
    <d v="2011-05-12T01:04:00"/>
    <s v="68f4bd5"/>
  </r>
  <r>
    <x v="43"/>
    <d v="2011-05-24T10:50:00"/>
    <s v="cd48b4e"/>
  </r>
  <r>
    <x v="43"/>
    <d v="2011-05-31T05:46:00"/>
    <s v="6204016"/>
  </r>
  <r>
    <x v="43"/>
    <d v="2011-05-31T15:10:00"/>
    <s v="ed51d4d"/>
  </r>
  <r>
    <x v="43"/>
    <d v="2011-05-31T16:10:00"/>
    <s v="b1926cf"/>
  </r>
  <r>
    <x v="43"/>
    <d v="2011-06-06T00:14:00"/>
    <s v="d9e6602"/>
  </r>
  <r>
    <x v="43"/>
    <d v="2011-06-06T22:22:00"/>
    <s v="5ea48db"/>
  </r>
  <r>
    <x v="43"/>
    <d v="2011-06-08T11:05:00"/>
    <s v="0aca5e5"/>
  </r>
  <r>
    <x v="43"/>
    <d v="2011-06-13T05:49:00"/>
    <s v="8007d83"/>
  </r>
  <r>
    <x v="43"/>
    <d v="2011-06-14T01:30:00"/>
    <s v="3059872"/>
  </r>
  <r>
    <x v="43"/>
    <d v="2011-06-14T12:41:00"/>
    <s v="3ac5a04"/>
  </r>
  <r>
    <x v="43"/>
    <d v="2011-06-16T16:03:00"/>
    <s v="bfddacf"/>
  </r>
  <r>
    <x v="43"/>
    <d v="2011-06-21T14:36:00"/>
    <s v="816e080"/>
  </r>
  <r>
    <x v="43"/>
    <d v="2011-06-22T13:38:00"/>
    <s v="2b8930c"/>
  </r>
  <r>
    <x v="44"/>
    <d v="2011-03-13T21:54:00"/>
    <s v="51beb72"/>
  </r>
  <r>
    <x v="44"/>
    <d v="2011-05-24T16:34:00"/>
    <s v="e7dc6f1"/>
  </r>
  <r>
    <x v="44"/>
    <d v="2011-06-29T16:06:00"/>
    <s v="d546378"/>
  </r>
  <r>
    <x v="45"/>
    <d v="2011-01-31T20:59:00"/>
    <s v="31b9a2f"/>
  </r>
  <r>
    <x v="46"/>
    <d v="2011-04-18T22:35:00"/>
    <s v="d1f862d"/>
  </r>
  <r>
    <x v="47"/>
    <d v="2011-02-08T09:44:00"/>
    <s v="6938d80"/>
  </r>
  <r>
    <x v="47"/>
    <d v="2011-02-22T21:35:00"/>
    <s v="0be28b9"/>
  </r>
  <r>
    <x v="47"/>
    <d v="2011-03-22T10:01:00"/>
    <s v="33b796d"/>
  </r>
  <r>
    <x v="47"/>
    <d v="2011-04-25T23:15:00"/>
    <s v="95b9ff4"/>
  </r>
  <r>
    <x v="47"/>
    <d v="2011-04-26T00:22:00"/>
    <s v="8b09a58"/>
  </r>
  <r>
    <x v="47"/>
    <d v="2011-06-19T23:08:00"/>
    <s v="63dbe8a"/>
  </r>
  <r>
    <x v="48"/>
    <d v="2011-01-11T14:01:00"/>
    <s v="c490e88"/>
  </r>
  <r>
    <x v="48"/>
    <d v="2011-01-11T14:02:00"/>
    <s v="de92093"/>
  </r>
  <r>
    <x v="48"/>
    <d v="2011-04-28T18:03:00"/>
    <s v="539ea13"/>
  </r>
  <r>
    <x v="48"/>
    <d v="2011-04-28T18:07:00"/>
    <s v="d0eef1f"/>
  </r>
  <r>
    <x v="49"/>
    <d v="2011-01-01T01:44:00"/>
    <s v="3f72e02"/>
  </r>
  <r>
    <x v="49"/>
    <d v="2011-01-13T20:59:00"/>
    <s v="92be052"/>
  </r>
  <r>
    <x v="49"/>
    <d v="2011-01-13T21:00:00"/>
    <s v="64b8e6e"/>
  </r>
  <r>
    <x v="49"/>
    <d v="2011-01-15T21:18:00"/>
    <s v="46f2f02"/>
  </r>
  <r>
    <x v="49"/>
    <d v="2011-02-01T11:30:00"/>
    <s v="3dad960"/>
  </r>
  <r>
    <x v="49"/>
    <d v="2011-03-19T13:57:00"/>
    <s v="df0b554"/>
  </r>
  <r>
    <x v="49"/>
    <d v="2011-03-21T13:55:00"/>
    <s v="ea3452c"/>
  </r>
  <r>
    <x v="49"/>
    <d v="2011-04-02T06:32:00"/>
    <s v="995f402"/>
  </r>
  <r>
    <x v="49"/>
    <d v="2011-04-02T08:14:00"/>
    <s v="2b7ebb5"/>
  </r>
  <r>
    <x v="49"/>
    <d v="2011-04-03T05:27:00"/>
    <s v="177a932"/>
  </r>
  <r>
    <x v="49"/>
    <d v="2011-04-15T21:59:00"/>
    <s v="b8152f4"/>
  </r>
  <r>
    <x v="49"/>
    <d v="2011-04-20T07:45:00"/>
    <s v="071c51a"/>
  </r>
  <r>
    <x v="49"/>
    <d v="2011-04-23T23:16:00"/>
    <s v="7540d09"/>
  </r>
  <r>
    <x v="49"/>
    <d v="2011-05-05T05:57:00"/>
    <s v="9fc9401"/>
  </r>
  <r>
    <x v="49"/>
    <d v="2011-05-05T19:26:00"/>
    <s v="505a0bb"/>
  </r>
  <r>
    <x v="49"/>
    <d v="2011-05-07T08:43:00"/>
    <s v="7501670"/>
  </r>
  <r>
    <x v="49"/>
    <d v="2011-05-31T05:24:00"/>
    <s v="5aa7229"/>
  </r>
  <r>
    <x v="49"/>
    <d v="2011-05-30T19:39:00"/>
    <s v="a0fb3a8"/>
  </r>
  <r>
    <x v="49"/>
    <d v="2011-06-04T03:10:00"/>
    <s v="d24afe9"/>
  </r>
  <r>
    <x v="49"/>
    <d v="2011-06-21T01:34:00"/>
    <s v="855f0db"/>
  </r>
  <r>
    <x v="50"/>
    <d v="2011-05-13T10:03:00"/>
    <s v="9610fe5"/>
  </r>
  <r>
    <x v="50"/>
    <d v="2011-06-10T06:36:00"/>
    <s v="8a2fc3b"/>
  </r>
  <r>
    <x v="51"/>
    <d v="2011-01-30T23:19:00"/>
    <s v="0ffa032"/>
  </r>
  <r>
    <x v="52"/>
    <d v="2011-03-30T17:22:00"/>
    <s v="d8096f2"/>
  </r>
  <r>
    <x v="53"/>
    <d v="2011-03-23T16:01:00"/>
    <s v="049c0ea"/>
  </r>
  <r>
    <x v="53"/>
    <d v="2011-03-30T12:08:00"/>
    <s v="cd083bf"/>
  </r>
  <r>
    <x v="53"/>
    <d v="2011-03-30T17:22:00"/>
    <s v="afa9e5b"/>
  </r>
  <r>
    <x v="53"/>
    <d v="2011-03-31T09:57:00"/>
    <s v="9194d14"/>
  </r>
  <r>
    <x v="53"/>
    <d v="2011-03-31T16:35:00"/>
    <s v="97f1d02"/>
  </r>
  <r>
    <x v="53"/>
    <d v="2011-03-31T10:00:00"/>
    <s v="782f7f7"/>
  </r>
  <r>
    <x v="53"/>
    <d v="2011-05-05T09:52:00"/>
    <s v="f9ee867"/>
  </r>
  <r>
    <x v="53"/>
    <d v="2011-06-07T17:16:00"/>
    <s v="4f569c8"/>
  </r>
  <r>
    <x v="53"/>
    <d v="2011-06-07T17:16:00"/>
    <s v="e78248c"/>
  </r>
  <r>
    <x v="54"/>
    <d v="2011-01-11T10:59:00"/>
    <s v="62cb08d"/>
  </r>
  <r>
    <x v="54"/>
    <d v="2011-01-11T11:01:00"/>
    <s v="4470cb3"/>
  </r>
  <r>
    <x v="54"/>
    <d v="2011-03-28T14:32:00"/>
    <s v="cf7bc42"/>
  </r>
  <r>
    <x v="54"/>
    <d v="2011-05-06T19:59:00"/>
    <s v="119aea8"/>
  </r>
  <r>
    <x v="54"/>
    <d v="2011-05-09T16:45:00"/>
    <s v="393e397"/>
  </r>
  <r>
    <x v="54"/>
    <d v="2011-05-10T11:39:00"/>
    <s v="9578bf7"/>
  </r>
  <r>
    <x v="54"/>
    <d v="2011-05-18T13:05:00"/>
    <s v="008bb9d"/>
  </r>
  <r>
    <x v="54"/>
    <d v="2011-05-19T10:19:00"/>
    <s v="208c7b6"/>
  </r>
  <r>
    <x v="55"/>
    <d v="2011-05-02T16:53:00"/>
    <s v="2ec192b"/>
  </r>
  <r>
    <x v="55"/>
    <d v="2011-05-03T16:50:00"/>
    <s v="70a2a69"/>
  </r>
  <r>
    <x v="55"/>
    <d v="2011-05-03T16:56:00"/>
    <s v="c217ff1"/>
  </r>
  <r>
    <x v="55"/>
    <d v="2011-05-03T17:13:00"/>
    <s v="e57f40d"/>
  </r>
  <r>
    <x v="55"/>
    <d v="2011-05-05T16:55:00"/>
    <s v="86d077d"/>
  </r>
  <r>
    <x v="56"/>
    <d v="2011-04-18T13:25:00"/>
    <s v="2d629d6"/>
  </r>
  <r>
    <x v="57"/>
    <d v="2011-04-22T19:29:00"/>
    <s v="7c5da9b"/>
  </r>
  <r>
    <x v="57"/>
    <d v="2011-05-30T11:29:00"/>
    <s v="a2c2088"/>
  </r>
  <r>
    <x v="57"/>
    <d v="2011-06-10T22:57:00"/>
    <s v="a2d8257"/>
  </r>
  <r>
    <x v="58"/>
    <d v="2011-06-17T00:12:00"/>
    <s v="c1c487b"/>
  </r>
  <r>
    <x v="58"/>
    <d v="2011-06-19T01:23:00"/>
    <s v="547c8d6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count="258">
  <r>
    <x v="0"/>
    <d v="2012-02-21T19:27:00"/>
    <s v="73c3c20"/>
  </r>
  <r>
    <x v="0"/>
    <d v="2012-04-16T12:06:00"/>
    <s v="95c8707"/>
  </r>
  <r>
    <x v="1"/>
    <d v="2012-04-12T22:46:00"/>
    <s v="9721b05"/>
  </r>
  <r>
    <x v="2"/>
    <d v="2012-03-26T12:18:00"/>
    <s v="7ae303f"/>
  </r>
  <r>
    <x v="3"/>
    <d v="2012-03-01T22:48:00"/>
    <s v="8b6089b"/>
  </r>
  <r>
    <x v="3"/>
    <d v="2012-03-02T16:56:00"/>
    <s v="e2db7a5"/>
  </r>
  <r>
    <x v="3"/>
    <d v="2012-03-02T17:21:00"/>
    <s v="2610d0e"/>
  </r>
  <r>
    <x v="3"/>
    <d v="2012-03-27T17:12:00"/>
    <s v="2453985"/>
  </r>
  <r>
    <x v="4"/>
    <d v="2012-03-14T12:36:00"/>
    <s v="0aba1bc"/>
  </r>
  <r>
    <x v="4"/>
    <d v="2012-03-29T09:50:00"/>
    <s v="e4abef2"/>
  </r>
  <r>
    <x v="4"/>
    <d v="2012-04-16T12:45:00"/>
    <s v="32e798d"/>
  </r>
  <r>
    <x v="4"/>
    <d v="2012-04-16T12:47:00"/>
    <s v="37fbcf4"/>
  </r>
  <r>
    <x v="4"/>
    <d v="2012-04-16T12:47:00"/>
    <s v="ca3ad78"/>
  </r>
  <r>
    <x v="4"/>
    <d v="2012-04-16T12:48:00"/>
    <s v="b96bbd6"/>
  </r>
  <r>
    <x v="5"/>
    <d v="2012-03-21T14:14:00"/>
    <s v="3629aeb"/>
  </r>
  <r>
    <x v="6"/>
    <d v="2012-05-17T10:57:00"/>
    <s v="7a84ab1"/>
  </r>
  <r>
    <x v="7"/>
    <d v="2012-05-08T20:01:00"/>
    <s v="9d8f300"/>
  </r>
  <r>
    <x v="8"/>
    <d v="2012-05-23T17:50:00"/>
    <s v="cd34e38"/>
  </r>
  <r>
    <x v="9"/>
    <d v="2012-02-18T15:57:00"/>
    <s v="05937f5"/>
  </r>
  <r>
    <x v="9"/>
    <d v="2012-02-18T22:38:00"/>
    <s v="42dbb2d"/>
  </r>
  <r>
    <x v="9"/>
    <d v="2012-03-05T13:37:00"/>
    <s v="c4dd892"/>
  </r>
  <r>
    <x v="9"/>
    <d v="2012-04-06T14:01:00"/>
    <s v="1d249b9"/>
  </r>
  <r>
    <x v="9"/>
    <d v="2012-04-08T10:29:00"/>
    <s v="e330af1"/>
  </r>
  <r>
    <x v="10"/>
    <d v="2012-05-18T11:52:00"/>
    <s v="76edfd3"/>
  </r>
  <r>
    <x v="11"/>
    <d v="2012-02-10T09:49:00"/>
    <s v="15665b4"/>
  </r>
  <r>
    <x v="12"/>
    <d v="2012-03-09T11:46:00"/>
    <s v="4f44e61"/>
  </r>
  <r>
    <x v="13"/>
    <d v="2012-02-23T01:28:00"/>
    <s v="1acb830"/>
  </r>
  <r>
    <x v="13"/>
    <d v="2012-03-20T01:29:00"/>
    <s v="ff4b025"/>
  </r>
  <r>
    <x v="13"/>
    <d v="2012-04-09T23:52:00"/>
    <s v="be88e01"/>
  </r>
  <r>
    <x v="13"/>
    <d v="2012-04-10T01:43:00"/>
    <s v="7681ab0"/>
  </r>
  <r>
    <x v="13"/>
    <d v="2012-04-19T01:08:00"/>
    <s v="795ff51"/>
  </r>
  <r>
    <x v="13"/>
    <d v="2012-05-05T18:53:00"/>
    <s v="79153a6"/>
  </r>
  <r>
    <x v="14"/>
    <d v="2012-02-21T22:40:00"/>
    <s v="c1d2c94"/>
  </r>
  <r>
    <x v="15"/>
    <d v="2012-04-08T03:05:00"/>
    <s v="f8a0fc0"/>
  </r>
  <r>
    <x v="16"/>
    <d v="2012-03-13T10:30:00"/>
    <s v="a78e6e3"/>
  </r>
  <r>
    <x v="17"/>
    <d v="2012-05-22T13:15:00"/>
    <s v="4e8775f"/>
  </r>
  <r>
    <x v="18"/>
    <d v="2012-01-29T03:49:00"/>
    <s v="2b2877e"/>
  </r>
  <r>
    <x v="19"/>
    <d v="2012-02-20T19:52:00"/>
    <s v="8d220fb"/>
  </r>
  <r>
    <x v="19"/>
    <d v="2012-02-21T18:31:00"/>
    <s v="4d27250"/>
  </r>
  <r>
    <x v="19"/>
    <d v="2012-02-22T18:54:00"/>
    <s v="40e8952"/>
  </r>
  <r>
    <x v="19"/>
    <d v="2012-03-26T15:35:00"/>
    <s v="0b9fc0d"/>
  </r>
  <r>
    <x v="20"/>
    <d v="2012-02-20T17:43:00"/>
    <s v="51a53ab"/>
  </r>
  <r>
    <x v="21"/>
    <d v="2012-01-06T13:59:00"/>
    <s v="09d06a9"/>
  </r>
  <r>
    <x v="22"/>
    <d v="2012-04-18T08:22:00"/>
    <s v="84f0837"/>
  </r>
  <r>
    <x v="22"/>
    <d v="2012-05-01T11:42:00"/>
    <s v="4aab81f"/>
  </r>
  <r>
    <x v="23"/>
    <d v="2012-01-29T17:23:00"/>
    <s v="fa2908b"/>
  </r>
  <r>
    <x v="23"/>
    <d v="2012-04-03T21:47:00"/>
    <s v="5a0f1aa"/>
  </r>
  <r>
    <x v="24"/>
    <d v="2012-01-18T17:31:00"/>
    <s v="6066009"/>
  </r>
  <r>
    <x v="25"/>
    <d v="2012-01-03T20:44:00"/>
    <s v="5c0b36d"/>
  </r>
  <r>
    <x v="25"/>
    <d v="2012-02-13T11:33:00"/>
    <s v="e85a292"/>
  </r>
  <r>
    <x v="25"/>
    <d v="2012-02-29T18:44:00"/>
    <s v="f414de0"/>
  </r>
  <r>
    <x v="25"/>
    <d v="2012-03-01T22:16:00"/>
    <s v="66e221e"/>
  </r>
  <r>
    <x v="25"/>
    <d v="2012-03-05T19:52:00"/>
    <s v="f6ad2e6"/>
  </r>
  <r>
    <x v="25"/>
    <d v="2012-03-12T10:19:00"/>
    <s v="e59fdcf"/>
  </r>
  <r>
    <x v="25"/>
    <d v="2012-04-09T09:34:00"/>
    <s v="2e2c302"/>
  </r>
  <r>
    <x v="25"/>
    <d v="2012-04-10T21:20:00"/>
    <s v="2df71d0"/>
  </r>
  <r>
    <x v="25"/>
    <d v="2012-04-25T15:16:00"/>
    <s v="fdaee7e"/>
  </r>
  <r>
    <x v="25"/>
    <d v="2012-04-25T21:52:00"/>
    <s v="35de7e7"/>
  </r>
  <r>
    <x v="25"/>
    <d v="2012-04-30T10:49:00"/>
    <s v="b5a3453"/>
  </r>
  <r>
    <x v="25"/>
    <d v="2012-04-30T12:30:00"/>
    <s v="7057bd7"/>
  </r>
  <r>
    <x v="25"/>
    <d v="2012-05-07T17:29:00"/>
    <s v="f98857b"/>
  </r>
  <r>
    <x v="25"/>
    <d v="2012-05-14T11:36:00"/>
    <s v="1ccc78b"/>
  </r>
  <r>
    <x v="25"/>
    <d v="2012-05-15T14:19:00"/>
    <s v="8833154"/>
  </r>
  <r>
    <x v="25"/>
    <d v="2012-05-21T14:18:00"/>
    <s v="bbad34b"/>
  </r>
  <r>
    <x v="25"/>
    <d v="2012-05-21T18:04:00"/>
    <s v="5753ca5"/>
  </r>
  <r>
    <x v="25"/>
    <d v="2012-05-22T16:51:00"/>
    <s v="ec87354"/>
  </r>
  <r>
    <x v="25"/>
    <d v="2012-05-23T17:22:00"/>
    <s v="be1f8f9"/>
  </r>
  <r>
    <x v="25"/>
    <d v="2012-05-29T19:26:00"/>
    <s v="359aca3"/>
  </r>
  <r>
    <x v="25"/>
    <d v="2012-05-30T14:23:00"/>
    <s v="0ffe9d5"/>
  </r>
  <r>
    <x v="25"/>
    <d v="2012-06-04T21:40:00"/>
    <s v="75c3992"/>
  </r>
  <r>
    <x v="25"/>
    <d v="2012-06-05T15:23:00"/>
    <s v="ddd6867"/>
  </r>
  <r>
    <x v="25"/>
    <d v="2012-06-05T20:30:00"/>
    <s v="372e8cb"/>
  </r>
  <r>
    <x v="25"/>
    <d v="2012-06-11T10:00:00"/>
    <s v="18e6e67"/>
  </r>
  <r>
    <x v="25"/>
    <d v="2012-06-11T11:37:00"/>
    <s v="d5513b0"/>
  </r>
  <r>
    <x v="25"/>
    <d v="2012-06-11T15:21:00"/>
    <s v="72fbaba"/>
  </r>
  <r>
    <x v="25"/>
    <d v="2012-06-11T23:16:00"/>
    <s v="201bd2f"/>
  </r>
  <r>
    <x v="25"/>
    <d v="2012-06-18T22:31:00"/>
    <s v="8234d48"/>
  </r>
  <r>
    <x v="26"/>
    <d v="2012-01-02T19:25:00"/>
    <s v="4a6cee4"/>
  </r>
  <r>
    <x v="26"/>
    <d v="2012-01-02T09:30:00"/>
    <s v="24d561f"/>
  </r>
  <r>
    <x v="26"/>
    <d v="2012-01-09T10:26:00"/>
    <s v="b1d1127"/>
  </r>
  <r>
    <x v="26"/>
    <d v="2012-01-10T17:31:00"/>
    <s v="70838bf"/>
  </r>
  <r>
    <x v="26"/>
    <d v="2012-01-17T09:53:00"/>
    <s v="16ca4e7"/>
  </r>
  <r>
    <x v="26"/>
    <d v="2012-01-18T10:38:00"/>
    <s v="c8ccee1"/>
  </r>
  <r>
    <x v="26"/>
    <d v="2012-01-23T15:33:00"/>
    <s v="ba4fd14"/>
  </r>
  <r>
    <x v="26"/>
    <d v="2012-01-26T14:36:00"/>
    <s v="65339ff"/>
  </r>
  <r>
    <x v="26"/>
    <d v="2012-01-27T17:33:00"/>
    <s v="7360f45"/>
  </r>
  <r>
    <x v="26"/>
    <d v="2012-01-30T14:53:00"/>
    <s v="36012c2"/>
  </r>
  <r>
    <x v="26"/>
    <d v="2012-01-30T17:36:00"/>
    <s v="4a2c185"/>
  </r>
  <r>
    <x v="26"/>
    <d v="2012-02-06T14:47:00"/>
    <s v="7028097"/>
  </r>
  <r>
    <x v="26"/>
    <d v="2012-02-08T08:03:00"/>
    <s v="f278916"/>
  </r>
  <r>
    <x v="26"/>
    <d v="2012-02-13T10:30:00"/>
    <s v="1ac4872"/>
  </r>
  <r>
    <x v="26"/>
    <d v="2012-02-16T09:54:00"/>
    <s v="9db1436"/>
  </r>
  <r>
    <x v="26"/>
    <d v="2012-02-19T10:09:00"/>
    <s v="d0c9ee6"/>
  </r>
  <r>
    <x v="26"/>
    <d v="2012-02-27T09:21:00"/>
    <s v="5bda9c1"/>
  </r>
  <r>
    <x v="26"/>
    <d v="2012-02-28T20:26:00"/>
    <s v="c690b1f"/>
  </r>
  <r>
    <x v="26"/>
    <d v="2012-02-29T15:20:00"/>
    <s v="0c1f8e2"/>
  </r>
  <r>
    <x v="26"/>
    <d v="2012-03-01T22:10:00"/>
    <s v="34e8117"/>
  </r>
  <r>
    <x v="26"/>
    <d v="2012-02-29T18:51:00"/>
    <s v="7bf8e8e"/>
  </r>
  <r>
    <x v="26"/>
    <d v="2012-03-01T22:38:00"/>
    <s v="5603f30"/>
  </r>
  <r>
    <x v="26"/>
    <d v="2012-03-02T18:01:00"/>
    <s v="0e70012"/>
  </r>
  <r>
    <x v="26"/>
    <d v="2012-03-05T10:13:00"/>
    <s v="0551c8f"/>
  </r>
  <r>
    <x v="26"/>
    <d v="2012-03-05T16:18:00"/>
    <s v="7d71f88"/>
  </r>
  <r>
    <x v="26"/>
    <d v="2012-03-05T19:29:00"/>
    <s v="48fc05d"/>
  </r>
  <r>
    <x v="26"/>
    <d v="2012-03-09T22:14:00"/>
    <s v="f5e2f19"/>
  </r>
  <r>
    <x v="26"/>
    <d v="2012-03-10T11:37:00"/>
    <s v="8f39483"/>
  </r>
  <r>
    <x v="26"/>
    <d v="2012-03-15T15:55:00"/>
    <s v="f65c348"/>
  </r>
  <r>
    <x v="26"/>
    <d v="2012-03-19T09:35:00"/>
    <s v="8f17988"/>
  </r>
  <r>
    <x v="26"/>
    <d v="2012-03-22T10:57:00"/>
    <s v="5b5743c"/>
  </r>
  <r>
    <x v="26"/>
    <d v="2012-03-26T11:44:00"/>
    <s v="bb258d9"/>
  </r>
  <r>
    <x v="26"/>
    <d v="2012-03-26T11:44:00"/>
    <s v="4c53f02"/>
  </r>
  <r>
    <x v="26"/>
    <d v="2012-03-27T18:57:00"/>
    <s v="5a2d5eb"/>
  </r>
  <r>
    <x v="26"/>
    <d v="2012-04-01T09:20:00"/>
    <s v="85e1330"/>
  </r>
  <r>
    <x v="26"/>
    <d v="2012-04-02T11:44:00"/>
    <s v="0b486b9"/>
  </r>
  <r>
    <x v="26"/>
    <d v="2012-03-26T10:55:00"/>
    <s v="9dd770a"/>
  </r>
  <r>
    <x v="26"/>
    <d v="2012-04-06T16:32:00"/>
    <s v="5432576"/>
  </r>
  <r>
    <x v="26"/>
    <d v="2012-04-09T09:34:00"/>
    <s v="e4244cc"/>
  </r>
  <r>
    <x v="26"/>
    <d v="2012-04-14T07:35:00"/>
    <s v="0f08dc0"/>
  </r>
  <r>
    <x v="26"/>
    <d v="2012-04-14T22:02:00"/>
    <s v="b5b73b8"/>
  </r>
  <r>
    <x v="26"/>
    <d v="2012-04-16T21:14:00"/>
    <s v="c15ce7d"/>
  </r>
  <r>
    <x v="26"/>
    <d v="2012-04-17T11:44:00"/>
    <s v="2697474"/>
  </r>
  <r>
    <x v="26"/>
    <d v="2012-04-19T13:28:00"/>
    <s v="d98926a"/>
  </r>
  <r>
    <x v="26"/>
    <d v="2012-04-23T15:32:00"/>
    <s v="6f841d4"/>
  </r>
  <r>
    <x v="26"/>
    <d v="2012-04-25T10:09:00"/>
    <s v="6cc90dd"/>
  </r>
  <r>
    <x v="26"/>
    <d v="2012-04-19T17:50:00"/>
    <s v="58267c4"/>
  </r>
  <r>
    <x v="26"/>
    <d v="2012-04-25T22:57:00"/>
    <s v="444ab61"/>
  </r>
  <r>
    <x v="26"/>
    <d v="2012-04-27T16:09:00"/>
    <s v="3b5e9f9"/>
  </r>
  <r>
    <x v="26"/>
    <d v="2012-04-30T10:49:00"/>
    <s v="57c788a"/>
  </r>
  <r>
    <x v="26"/>
    <d v="2012-05-04T13:01:00"/>
    <s v="7a0bd97"/>
  </r>
  <r>
    <x v="26"/>
    <d v="2012-05-07T10:56:00"/>
    <s v="b106fe4"/>
  </r>
  <r>
    <x v="26"/>
    <d v="2012-05-07T13:42:00"/>
    <s v="3cc8b21"/>
  </r>
  <r>
    <x v="26"/>
    <d v="2012-05-07T13:42:00"/>
    <s v="aa7bfd9"/>
  </r>
  <r>
    <x v="26"/>
    <d v="2012-05-07T17:54:00"/>
    <s v="7b8bbb7"/>
  </r>
  <r>
    <x v="26"/>
    <d v="2012-05-09T13:49:00"/>
    <s v="f9d8efb"/>
  </r>
  <r>
    <x v="26"/>
    <d v="2012-05-14T11:36:00"/>
    <s v="e87967c"/>
  </r>
  <r>
    <x v="26"/>
    <d v="2012-05-14T19:02:00"/>
    <s v="f19ee83"/>
  </r>
  <r>
    <x v="26"/>
    <d v="2012-05-15T23:00:00"/>
    <s v="124706a"/>
  </r>
  <r>
    <x v="26"/>
    <d v="2012-05-18T16:33:00"/>
    <s v="c86aa67"/>
  </r>
  <r>
    <x v="26"/>
    <d v="2012-05-21T14:18:00"/>
    <s v="1521986"/>
  </r>
  <r>
    <x v="26"/>
    <d v="2012-05-21T17:54:00"/>
    <s v="905a3c9"/>
  </r>
  <r>
    <x v="26"/>
    <d v="2012-05-21T18:42:00"/>
    <s v="fe67909"/>
  </r>
  <r>
    <x v="26"/>
    <d v="2012-05-22T16:33:00"/>
    <s v="1589ec4"/>
  </r>
  <r>
    <x v="26"/>
    <d v="2012-05-22T18:43:00"/>
    <s v="95c1728"/>
  </r>
  <r>
    <x v="26"/>
    <d v="2012-05-23T20:11:00"/>
    <s v="18963ee"/>
  </r>
  <r>
    <x v="26"/>
    <d v="2012-05-24T19:59:00"/>
    <s v="10c1eb3"/>
  </r>
  <r>
    <x v="26"/>
    <d v="2012-05-28T19:48:00"/>
    <s v="e6b31e7"/>
  </r>
  <r>
    <x v="26"/>
    <d v="2012-05-29T11:43:00"/>
    <s v="65c659d"/>
  </r>
  <r>
    <x v="26"/>
    <d v="2012-05-29T17:50:00"/>
    <s v="12a2a3a"/>
  </r>
  <r>
    <x v="26"/>
    <d v="2012-05-30T14:15:00"/>
    <s v="4672995"/>
  </r>
  <r>
    <x v="26"/>
    <d v="2012-05-30T17:49:00"/>
    <s v="fe0c718"/>
  </r>
  <r>
    <x v="26"/>
    <d v="2012-06-04T11:24:00"/>
    <s v="0e12fe4"/>
  </r>
  <r>
    <x v="26"/>
    <d v="2012-06-04T14:47:00"/>
    <s v="0dfb3ee"/>
  </r>
  <r>
    <x v="26"/>
    <d v="2012-06-04T21:40:00"/>
    <s v="0032c50"/>
  </r>
  <r>
    <x v="26"/>
    <d v="2012-06-05T17:20:00"/>
    <s v="99b11d0"/>
  </r>
  <r>
    <x v="26"/>
    <d v="2012-06-05T18:21:00"/>
    <s v="d3f233d"/>
  </r>
  <r>
    <x v="26"/>
    <d v="2012-06-09T12:45:00"/>
    <s v="4ec7ebf"/>
  </r>
  <r>
    <x v="26"/>
    <d v="2012-06-11T10:34:00"/>
    <s v="dea9588"/>
  </r>
  <r>
    <x v="26"/>
    <d v="2012-06-11T11:54:00"/>
    <s v="5d78f3c"/>
  </r>
  <r>
    <x v="26"/>
    <d v="2012-06-11T17:55:00"/>
    <s v="3445fe1"/>
  </r>
  <r>
    <x v="26"/>
    <d v="2012-06-11T10:34:00"/>
    <s v="3427f2c"/>
  </r>
  <r>
    <x v="26"/>
    <d v="2012-06-11T23:32:00"/>
    <s v="368bd24"/>
  </r>
  <r>
    <x v="26"/>
    <d v="2012-06-13T10:47:00"/>
    <s v="03a63ea"/>
  </r>
  <r>
    <x v="26"/>
    <d v="2012-06-13T10:45:00"/>
    <s v="afff123"/>
  </r>
  <r>
    <x v="26"/>
    <d v="2012-06-15T18:30:00"/>
    <s v="f49d625"/>
  </r>
  <r>
    <x v="26"/>
    <d v="2012-06-18T23:26:00"/>
    <s v="966b176"/>
  </r>
  <r>
    <x v="26"/>
    <d v="2012-06-19T13:54:00"/>
    <s v="6c70afa"/>
  </r>
  <r>
    <x v="26"/>
    <d v="2012-06-19T16:15:00"/>
    <s v="9fbd6d3"/>
  </r>
  <r>
    <x v="27"/>
    <d v="2012-02-16T13:28:00"/>
    <s v="24dc000"/>
  </r>
  <r>
    <x v="27"/>
    <d v="2012-03-31T23:20:00"/>
    <s v="1c041b4"/>
  </r>
  <r>
    <x v="27"/>
    <d v="2012-05-31T12:40:00"/>
    <s v="ef442a8"/>
  </r>
  <r>
    <x v="27"/>
    <d v="2012-06-13T09:20:00"/>
    <s v="fed2d0f"/>
  </r>
  <r>
    <x v="27"/>
    <d v="2012-06-13T13:17:00"/>
    <s v="c667523"/>
  </r>
  <r>
    <x v="28"/>
    <d v="2012-05-22T12:32:00"/>
    <s v="1f5bc9b"/>
  </r>
  <r>
    <x v="28"/>
    <d v="2012-05-24T11:18:00"/>
    <s v="9d15a7a"/>
  </r>
  <r>
    <x v="29"/>
    <d v="2012-04-10T17:13:00"/>
    <s v="7066daf"/>
  </r>
  <r>
    <x v="29"/>
    <d v="2012-04-25T19:47:00"/>
    <s v="11c52ee"/>
  </r>
  <r>
    <x v="30"/>
    <d v="2012-01-14T13:42:00"/>
    <s v="3f86179"/>
  </r>
  <r>
    <x v="30"/>
    <d v="2012-01-14T19:13:00"/>
    <s v="255a3e6"/>
  </r>
  <r>
    <x v="31"/>
    <d v="2012-01-25T23:01:00"/>
    <s v="645851e"/>
  </r>
  <r>
    <x v="32"/>
    <d v="2012-01-25T14:13:00"/>
    <s v="acef92c"/>
  </r>
  <r>
    <x v="32"/>
    <d v="2012-01-25T14:37:00"/>
    <s v="e013b56"/>
  </r>
  <r>
    <x v="32"/>
    <d v="2012-01-30T06:51:00"/>
    <s v="b6e38cc"/>
  </r>
  <r>
    <x v="32"/>
    <d v="2012-04-23T00:37:00"/>
    <s v="8060a13"/>
  </r>
  <r>
    <x v="32"/>
    <d v="2012-06-01T17:16:00"/>
    <s v="de5938b"/>
  </r>
  <r>
    <x v="32"/>
    <d v="2012-06-18T21:15:00"/>
    <s v="0af54f0"/>
  </r>
  <r>
    <x v="32"/>
    <d v="2012-06-19T09:22:00"/>
    <s v="9bdaf8d"/>
  </r>
  <r>
    <x v="33"/>
    <d v="2012-01-12T15:36:00"/>
    <s v="7534dc1"/>
  </r>
  <r>
    <x v="33"/>
    <d v="2012-01-10T12:20:00"/>
    <s v="fda370b"/>
  </r>
  <r>
    <x v="33"/>
    <d v="2012-03-02T17:18:00"/>
    <s v="4535b18"/>
  </r>
  <r>
    <x v="33"/>
    <d v="2012-03-23T09:04:00"/>
    <s v="815c42c"/>
  </r>
  <r>
    <x v="33"/>
    <d v="2012-06-13T17:44:00"/>
    <s v="1a42a2f"/>
  </r>
  <r>
    <x v="34"/>
    <d v="2012-01-20T18:46:00"/>
    <s v="606742c"/>
  </r>
  <r>
    <x v="34"/>
    <d v="2012-01-25T00:18:00"/>
    <s v="dfda1df"/>
  </r>
  <r>
    <x v="34"/>
    <d v="2012-01-25T23:35:00"/>
    <s v="a979808"/>
  </r>
  <r>
    <x v="34"/>
    <d v="2012-01-30T17:00:00"/>
    <s v="1bdedc2"/>
  </r>
  <r>
    <x v="34"/>
    <d v="2012-02-17T13:50:00"/>
    <s v="bbcf286"/>
  </r>
  <r>
    <x v="34"/>
    <d v="2012-02-20T17:52:00"/>
    <s v="8cce8dd"/>
  </r>
  <r>
    <x v="34"/>
    <d v="2012-02-22T09:05:00"/>
    <s v="64adabf"/>
  </r>
  <r>
    <x v="34"/>
    <d v="2012-02-26T23:25:00"/>
    <s v="1ba1a0f"/>
  </r>
  <r>
    <x v="34"/>
    <d v="2012-03-14T00:38:00"/>
    <s v="e708c4e"/>
  </r>
  <r>
    <x v="34"/>
    <d v="2012-03-29T08:28:00"/>
    <s v="51f1c0b"/>
  </r>
  <r>
    <x v="34"/>
    <d v="2012-04-14T12:47:00"/>
    <s v="f0130bf"/>
  </r>
  <r>
    <x v="34"/>
    <d v="2012-04-14T22:52:00"/>
    <s v="0414b05"/>
  </r>
  <r>
    <x v="34"/>
    <d v="2012-05-01T09:43:00"/>
    <s v="207134d"/>
  </r>
  <r>
    <x v="34"/>
    <d v="2012-05-03T15:45:00"/>
    <s v="7056ba3"/>
  </r>
  <r>
    <x v="34"/>
    <d v="2012-05-07T13:33:00"/>
    <s v="a4ddfa7"/>
  </r>
  <r>
    <x v="34"/>
    <d v="2012-05-28T08:36:00"/>
    <s v="de20547"/>
  </r>
  <r>
    <x v="34"/>
    <d v="2012-05-31T09:29:00"/>
    <s v="de14777"/>
  </r>
  <r>
    <x v="35"/>
    <d v="2012-01-19T17:51:00"/>
    <s v="2e656fc"/>
  </r>
  <r>
    <x v="36"/>
    <d v="2012-01-27T11:06:00"/>
    <s v="5a95baf"/>
  </r>
  <r>
    <x v="36"/>
    <d v="2012-03-15T18:42:00"/>
    <s v="684fe36"/>
  </r>
  <r>
    <x v="36"/>
    <d v="2012-04-21T11:28:00"/>
    <s v="a857ad2"/>
  </r>
  <r>
    <x v="36"/>
    <d v="2012-04-25T09:35:00"/>
    <s v="0cc1346"/>
  </r>
  <r>
    <x v="36"/>
    <d v="2012-05-07T18:37:00"/>
    <s v="ad2912a"/>
  </r>
  <r>
    <x v="36"/>
    <d v="2012-05-31T11:21:00"/>
    <s v="e9ad7b2"/>
  </r>
  <r>
    <x v="36"/>
    <d v="2012-06-01T16:14:00"/>
    <s v="5a9f2c5"/>
  </r>
  <r>
    <x v="37"/>
    <d v="2012-01-15T10:55:00"/>
    <s v="ed06d14"/>
  </r>
  <r>
    <x v="38"/>
    <d v="2012-02-14T14:56:00"/>
    <s v="8fff337"/>
  </r>
  <r>
    <x v="39"/>
    <d v="2012-01-02T02:17:00"/>
    <s v="a2f9583"/>
  </r>
  <r>
    <x v="39"/>
    <d v="2012-01-07T01:05:00"/>
    <s v="0ba1bc0"/>
  </r>
  <r>
    <x v="39"/>
    <d v="2012-01-20T22:36:00"/>
    <s v="921359c"/>
  </r>
  <r>
    <x v="39"/>
    <d v="2012-01-29T11:13:00"/>
    <s v="939d13c"/>
  </r>
  <r>
    <x v="39"/>
    <d v="2012-02-07T00:18:00"/>
    <s v="968c19d"/>
  </r>
  <r>
    <x v="39"/>
    <d v="2012-03-03T11:27:00"/>
    <s v="da760ef"/>
  </r>
  <r>
    <x v="39"/>
    <d v="2012-03-19T00:58:00"/>
    <s v="5454d17"/>
  </r>
  <r>
    <x v="39"/>
    <d v="2012-03-21T20:05:00"/>
    <s v="398154f"/>
  </r>
  <r>
    <x v="39"/>
    <d v="2012-03-31T21:12:00"/>
    <s v="1323a4f"/>
  </r>
  <r>
    <x v="39"/>
    <d v="2012-04-12T20:50:00"/>
    <s v="5fb009b"/>
  </r>
  <r>
    <x v="39"/>
    <d v="2012-04-15T23:49:00"/>
    <s v="bb55c07"/>
  </r>
  <r>
    <x v="39"/>
    <d v="2012-04-21T10:03:00"/>
    <s v="5587d13"/>
  </r>
  <r>
    <x v="39"/>
    <d v="2012-05-03T16:21:00"/>
    <s v="2c065f5"/>
  </r>
  <r>
    <x v="39"/>
    <d v="2012-05-06T18:20:00"/>
    <s v="3b01b29"/>
  </r>
  <r>
    <x v="39"/>
    <d v="2012-05-22T04:09:00"/>
    <s v="6e58e07"/>
  </r>
  <r>
    <x v="40"/>
    <d v="2012-05-01T09:21:00"/>
    <s v="c92c221"/>
  </r>
  <r>
    <x v="40"/>
    <d v="2012-05-01T09:39:00"/>
    <s v="71debc2"/>
  </r>
  <r>
    <x v="40"/>
    <d v="2012-05-21T15:55:00"/>
    <s v="5dd5129"/>
  </r>
  <r>
    <x v="41"/>
    <d v="2012-04-09T13:03:00"/>
    <s v="752a7c7"/>
  </r>
  <r>
    <x v="42"/>
    <d v="2012-02-24T16:44:00"/>
    <s v="2e8cb00"/>
  </r>
  <r>
    <x v="42"/>
    <d v="2012-06-19T18:51:00"/>
    <s v="2027421"/>
  </r>
  <r>
    <x v="43"/>
    <d v="2012-01-07T14:01:00"/>
    <s v="58e0ea4"/>
  </r>
  <r>
    <x v="44"/>
    <d v="2012-04-14T16:53:00"/>
    <s v="e465f72"/>
  </r>
  <r>
    <x v="45"/>
    <d v="2012-03-22T19:40:00"/>
    <s v="3c5d7cc"/>
  </r>
  <r>
    <x v="45"/>
    <d v="2012-03-27T22:01:00"/>
    <s v="07b3f2c"/>
  </r>
  <r>
    <x v="45"/>
    <d v="2012-04-14T21:40:00"/>
    <s v="1421ca1"/>
  </r>
  <r>
    <x v="45"/>
    <d v="2012-05-06T17:27:00"/>
    <s v="fc962ca"/>
  </r>
  <r>
    <x v="46"/>
    <d v="2012-01-16T06:30:00"/>
    <s v="c937126"/>
  </r>
  <r>
    <x v="46"/>
    <d v="2012-02-20T07:32:00"/>
    <s v="4866198"/>
  </r>
  <r>
    <x v="46"/>
    <d v="2012-02-23T01:41:00"/>
    <s v="6baefcc"/>
  </r>
  <r>
    <x v="46"/>
    <d v="2012-03-02T08:09:00"/>
    <s v="156e634"/>
  </r>
  <r>
    <x v="46"/>
    <d v="2012-05-17T01:08:00"/>
    <s v="4256334"/>
  </r>
  <r>
    <x v="47"/>
    <d v="2012-01-09T15:34:00"/>
    <s v="6819716"/>
  </r>
  <r>
    <x v="47"/>
    <d v="2012-01-16T15:36:00"/>
    <s v="cc571a3"/>
  </r>
  <r>
    <x v="47"/>
    <d v="2012-01-23T15:36:00"/>
    <s v="05419eb"/>
  </r>
  <r>
    <x v="47"/>
    <d v="2012-01-10T11:13:00"/>
    <s v="6d61c80"/>
  </r>
  <r>
    <x v="47"/>
    <d v="2012-02-17T12:28:00"/>
    <s v="689b397"/>
  </r>
  <r>
    <x v="47"/>
    <d v="2012-02-28T10:56:00"/>
    <s v="105c573"/>
  </r>
  <r>
    <x v="47"/>
    <d v="2012-04-01T21:11:00"/>
    <s v="19865f3"/>
  </r>
  <r>
    <x v="47"/>
    <d v="2012-04-02T11:59:00"/>
    <s v="e93e056"/>
  </r>
  <r>
    <x v="47"/>
    <d v="2012-04-24T10:19:00"/>
    <s v="5f92a03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count="185">
  <r>
    <s v="7f830b7"/>
    <x v="0"/>
    <x v="0"/>
    <m/>
    <m/>
    <m/>
    <n v="0"/>
  </r>
  <r>
    <s v="218ab4d"/>
    <x v="1"/>
    <x v="1"/>
    <m/>
    <m/>
    <n v="1"/>
    <n v="1"/>
  </r>
  <r>
    <s v="f808df7"/>
    <x v="1"/>
    <x v="2"/>
    <m/>
    <m/>
    <n v="1"/>
    <n v="1"/>
  </r>
  <r>
    <s v="d5d4ec9"/>
    <x v="2"/>
    <x v="3"/>
    <m/>
    <m/>
    <n v="1"/>
    <n v="1"/>
  </r>
  <r>
    <s v="4b069b4"/>
    <x v="3"/>
    <x v="4"/>
    <m/>
    <m/>
    <n v="1"/>
    <n v="1"/>
  </r>
  <r>
    <s v="4b069b4"/>
    <x v="3"/>
    <x v="4"/>
    <m/>
    <m/>
    <n v="1"/>
    <n v="1"/>
  </r>
  <r>
    <s v="978ae42"/>
    <x v="4"/>
    <x v="5"/>
    <m/>
    <m/>
    <n v="1"/>
    <n v="1"/>
  </r>
  <r>
    <s v="755e775"/>
    <x v="3"/>
    <x v="6"/>
    <m/>
    <m/>
    <n v="1"/>
    <n v="1"/>
  </r>
  <r>
    <s v="6ebe41a"/>
    <x v="2"/>
    <x v="7"/>
    <m/>
    <m/>
    <n v="1"/>
    <n v="1"/>
  </r>
  <r>
    <s v="8f8cf39"/>
    <x v="1"/>
    <x v="8"/>
    <m/>
    <m/>
    <m/>
    <n v="0"/>
  </r>
  <r>
    <s v="dd9bbc5"/>
    <x v="1"/>
    <x v="9"/>
    <m/>
    <n v="1"/>
    <m/>
    <n v="1"/>
  </r>
  <r>
    <s v="5fcb245"/>
    <x v="1"/>
    <x v="10"/>
    <m/>
    <m/>
    <m/>
    <n v="0"/>
  </r>
  <r>
    <s v="7814eec"/>
    <x v="5"/>
    <x v="11"/>
    <m/>
    <m/>
    <m/>
    <n v="0"/>
  </r>
  <r>
    <s v="7f51080"/>
    <x v="6"/>
    <x v="12"/>
    <m/>
    <m/>
    <m/>
    <n v="0"/>
  </r>
  <r>
    <s v="a33cf58"/>
    <x v="3"/>
    <x v="13"/>
    <m/>
    <m/>
    <m/>
    <n v="0"/>
  </r>
  <r>
    <s v="2dc2558"/>
    <x v="3"/>
    <x v="14"/>
    <m/>
    <n v="1"/>
    <m/>
    <n v="1"/>
  </r>
  <r>
    <s v="00f5185"/>
    <x v="3"/>
    <x v="15"/>
    <n v="1"/>
    <m/>
    <m/>
    <n v="1"/>
  </r>
  <r>
    <s v="0111df8"/>
    <x v="3"/>
    <x v="16"/>
    <m/>
    <m/>
    <m/>
    <n v="0"/>
  </r>
  <r>
    <s v="1a95e36"/>
    <x v="1"/>
    <x v="17"/>
    <m/>
    <m/>
    <m/>
    <n v="0"/>
  </r>
  <r>
    <s v="3ef0590"/>
    <x v="7"/>
    <x v="18"/>
    <m/>
    <m/>
    <m/>
    <n v="0"/>
  </r>
  <r>
    <s v="a266333"/>
    <x v="7"/>
    <x v="19"/>
    <m/>
    <m/>
    <m/>
    <n v="0"/>
  </r>
  <r>
    <s v="b138723"/>
    <x v="1"/>
    <x v="20"/>
    <m/>
    <m/>
    <m/>
    <n v="0"/>
  </r>
  <r>
    <s v="2a6fd44"/>
    <x v="3"/>
    <x v="21"/>
    <m/>
    <m/>
    <m/>
    <n v="0"/>
  </r>
  <r>
    <s v="30ef332"/>
    <x v="3"/>
    <x v="22"/>
    <m/>
    <m/>
    <m/>
    <n v="0"/>
  </r>
  <r>
    <s v="317cb13"/>
    <x v="1"/>
    <x v="23"/>
    <m/>
    <m/>
    <m/>
    <n v="0"/>
  </r>
  <r>
    <s v="3deee5e"/>
    <x v="8"/>
    <x v="24"/>
    <m/>
    <m/>
    <m/>
    <n v="0"/>
  </r>
  <r>
    <s v="4ec2216"/>
    <x v="3"/>
    <x v="25"/>
    <m/>
    <m/>
    <m/>
    <n v="0"/>
  </r>
  <r>
    <s v="4ec2216"/>
    <x v="3"/>
    <x v="25"/>
    <m/>
    <m/>
    <m/>
    <n v="0"/>
  </r>
  <r>
    <s v="dd99735"/>
    <x v="1"/>
    <x v="26"/>
    <m/>
    <m/>
    <m/>
    <n v="0"/>
  </r>
  <r>
    <s v="ed11042"/>
    <x v="1"/>
    <x v="27"/>
    <m/>
    <m/>
    <m/>
    <n v="0"/>
  </r>
  <r>
    <s v="cc1c1d2"/>
    <x v="1"/>
    <x v="28"/>
    <m/>
    <m/>
    <n v="1"/>
    <n v="1"/>
  </r>
  <r>
    <s v="5d20095"/>
    <x v="1"/>
    <x v="29"/>
    <m/>
    <m/>
    <n v="1"/>
    <n v="1"/>
  </r>
  <r>
    <s v="9d45c60"/>
    <x v="1"/>
    <x v="30"/>
    <m/>
    <m/>
    <n v="1"/>
    <n v="1"/>
  </r>
  <r>
    <s v="811b48f"/>
    <x v="1"/>
    <x v="31"/>
    <m/>
    <m/>
    <n v="1"/>
    <n v="1"/>
  </r>
  <r>
    <s v="65fe0b2"/>
    <x v="1"/>
    <x v="32"/>
    <m/>
    <m/>
    <n v="1"/>
    <n v="1"/>
  </r>
  <r>
    <s v="147da4b"/>
    <x v="1"/>
    <x v="33"/>
    <m/>
    <m/>
    <n v="1"/>
    <n v="1"/>
  </r>
  <r>
    <s v="3eb7d03"/>
    <x v="3"/>
    <x v="34"/>
    <m/>
    <m/>
    <n v="1"/>
    <n v="1"/>
  </r>
  <r>
    <s v="3eb7d03"/>
    <x v="3"/>
    <x v="34"/>
    <m/>
    <m/>
    <n v="1"/>
    <n v="1"/>
  </r>
  <r>
    <s v="e55ac0f"/>
    <x v="9"/>
    <x v="35"/>
    <m/>
    <m/>
    <n v="1"/>
    <n v="1"/>
  </r>
  <r>
    <s v="03d9e98"/>
    <x v="10"/>
    <x v="36"/>
    <n v="1"/>
    <m/>
    <n v="1"/>
    <n v="2"/>
  </r>
  <r>
    <s v="dcbc17c"/>
    <x v="9"/>
    <x v="37"/>
    <m/>
    <m/>
    <n v="1"/>
    <n v="1"/>
  </r>
  <r>
    <s v="cfc8a80"/>
    <x v="1"/>
    <x v="38"/>
    <m/>
    <m/>
    <n v="1"/>
    <n v="1"/>
  </r>
  <r>
    <s v="83d0579"/>
    <x v="6"/>
    <x v="39"/>
    <m/>
    <m/>
    <n v="1"/>
    <n v="1"/>
  </r>
  <r>
    <s v="478d307"/>
    <x v="11"/>
    <x v="40"/>
    <m/>
    <m/>
    <n v="1"/>
    <n v="1"/>
  </r>
  <r>
    <s v="3db8f15"/>
    <x v="11"/>
    <x v="41"/>
    <m/>
    <m/>
    <m/>
    <n v="0"/>
  </r>
  <r>
    <s v="262eaca"/>
    <x v="5"/>
    <x v="42"/>
    <m/>
    <m/>
    <n v="1"/>
    <n v="1"/>
  </r>
  <r>
    <s v="e02aff1"/>
    <x v="3"/>
    <x v="43"/>
    <m/>
    <m/>
    <n v="1"/>
    <n v="1"/>
  </r>
  <r>
    <s v="1d86a7f"/>
    <x v="9"/>
    <x v="44"/>
    <m/>
    <m/>
    <n v="1"/>
    <n v="1"/>
  </r>
  <r>
    <s v="287a822"/>
    <x v="7"/>
    <x v="45"/>
    <m/>
    <m/>
    <n v="1"/>
    <n v="1"/>
  </r>
  <r>
    <s v="a6bd83f"/>
    <x v="3"/>
    <x v="46"/>
    <n v="1"/>
    <m/>
    <n v="1"/>
    <n v="2"/>
  </r>
  <r>
    <s v="498d7dc"/>
    <x v="6"/>
    <x v="47"/>
    <m/>
    <m/>
    <n v="1"/>
    <n v="1"/>
  </r>
  <r>
    <s v="0202f2d"/>
    <x v="0"/>
    <x v="48"/>
    <m/>
    <m/>
    <n v="1"/>
    <n v="1"/>
  </r>
  <r>
    <s v="636cdfa"/>
    <x v="1"/>
    <x v="49"/>
    <n v="1"/>
    <m/>
    <n v="1"/>
    <n v="2"/>
  </r>
  <r>
    <s v="020b907"/>
    <x v="1"/>
    <x v="50"/>
    <m/>
    <m/>
    <n v="1"/>
    <n v="1"/>
  </r>
  <r>
    <s v="dd27d36"/>
    <x v="1"/>
    <x v="51"/>
    <m/>
    <m/>
    <n v="1"/>
    <n v="1"/>
  </r>
  <r>
    <s v="a53a623"/>
    <x v="1"/>
    <x v="52"/>
    <m/>
    <m/>
    <m/>
    <n v="0"/>
  </r>
  <r>
    <s v="28bf64c"/>
    <x v="1"/>
    <x v="53"/>
    <m/>
    <m/>
    <m/>
    <n v="0"/>
  </r>
  <r>
    <s v="54edfe9"/>
    <x v="12"/>
    <x v="54"/>
    <m/>
    <m/>
    <m/>
    <n v="0"/>
  </r>
  <r>
    <s v="6785922"/>
    <x v="1"/>
    <x v="55"/>
    <m/>
    <m/>
    <m/>
    <n v="0"/>
  </r>
  <r>
    <s v="bead796"/>
    <x v="13"/>
    <x v="56"/>
    <n v="1"/>
    <m/>
    <m/>
    <n v="1"/>
  </r>
  <r>
    <s v="9837d37"/>
    <x v="3"/>
    <x v="57"/>
    <m/>
    <m/>
    <n v="1"/>
    <n v="1"/>
  </r>
  <r>
    <s v="c9bca74"/>
    <x v="3"/>
    <x v="58"/>
    <m/>
    <m/>
    <m/>
    <n v="0"/>
  </r>
  <r>
    <s v="c9bca74"/>
    <x v="3"/>
    <x v="58"/>
    <m/>
    <m/>
    <m/>
    <n v="0"/>
  </r>
  <r>
    <s v="cfc9228"/>
    <x v="1"/>
    <x v="59"/>
    <m/>
    <m/>
    <m/>
    <n v="0"/>
  </r>
  <r>
    <s v="c2f2a82"/>
    <x v="8"/>
    <x v="60"/>
    <m/>
    <m/>
    <m/>
    <n v="0"/>
  </r>
  <r>
    <s v="3b1c327"/>
    <x v="8"/>
    <x v="61"/>
    <m/>
    <m/>
    <m/>
    <n v="0"/>
  </r>
  <r>
    <s v="77e6095"/>
    <x v="1"/>
    <x v="62"/>
    <n v="1"/>
    <m/>
    <n v="1"/>
    <n v="2"/>
  </r>
  <r>
    <s v="eb7b3f4"/>
    <x v="1"/>
    <x v="63"/>
    <m/>
    <m/>
    <m/>
    <n v="0"/>
  </r>
  <r>
    <s v="ab9e1bb"/>
    <x v="1"/>
    <x v="64"/>
    <m/>
    <m/>
    <n v="1"/>
    <n v="1"/>
  </r>
  <r>
    <s v="2d74ac5"/>
    <x v="14"/>
    <x v="65"/>
    <m/>
    <m/>
    <m/>
    <n v="0"/>
  </r>
  <r>
    <s v="9592224"/>
    <x v="1"/>
    <x v="66"/>
    <m/>
    <m/>
    <m/>
    <n v="0"/>
  </r>
  <r>
    <s v="1647948"/>
    <x v="1"/>
    <x v="67"/>
    <m/>
    <m/>
    <m/>
    <n v="0"/>
  </r>
  <r>
    <s v="db37a92"/>
    <x v="1"/>
    <x v="68"/>
    <m/>
    <m/>
    <n v="1"/>
    <n v="1"/>
  </r>
  <r>
    <s v="d7aa441"/>
    <x v="1"/>
    <x v="69"/>
    <m/>
    <m/>
    <n v="1"/>
    <n v="1"/>
  </r>
  <r>
    <s v="1aad166"/>
    <x v="1"/>
    <x v="70"/>
    <m/>
    <m/>
    <m/>
    <n v="0"/>
  </r>
  <r>
    <s v="2793b1d"/>
    <x v="3"/>
    <x v="71"/>
    <m/>
    <m/>
    <m/>
    <n v="0"/>
  </r>
  <r>
    <s v="b32dd47"/>
    <x v="1"/>
    <x v="72"/>
    <m/>
    <m/>
    <m/>
    <n v="0"/>
  </r>
  <r>
    <s v="0107644"/>
    <x v="3"/>
    <x v="73"/>
    <m/>
    <m/>
    <m/>
    <n v="0"/>
  </r>
  <r>
    <s v="a6dd044"/>
    <x v="15"/>
    <x v="74"/>
    <m/>
    <m/>
    <n v="1"/>
    <n v="1"/>
  </r>
  <r>
    <s v="cb3fc42"/>
    <x v="1"/>
    <x v="75"/>
    <m/>
    <m/>
    <m/>
    <n v="0"/>
  </r>
  <r>
    <s v="f7363f9"/>
    <x v="6"/>
    <x v="76"/>
    <m/>
    <m/>
    <m/>
    <n v="0"/>
  </r>
  <r>
    <s v="3ead22c"/>
    <x v="6"/>
    <x v="77"/>
    <m/>
    <m/>
    <m/>
    <n v="0"/>
  </r>
  <r>
    <s v="d0ae58a"/>
    <x v="1"/>
    <x v="78"/>
    <m/>
    <m/>
    <m/>
    <n v="0"/>
  </r>
  <r>
    <s v="cbc013a"/>
    <x v="3"/>
    <x v="79"/>
    <m/>
    <m/>
    <m/>
    <n v="0"/>
  </r>
  <r>
    <s v="1fea7ed"/>
    <x v="1"/>
    <x v="80"/>
    <m/>
    <m/>
    <m/>
    <n v="0"/>
  </r>
  <r>
    <s v="5104f8e"/>
    <x v="1"/>
    <x v="81"/>
    <m/>
    <m/>
    <m/>
    <n v="0"/>
  </r>
  <r>
    <s v="67e51b5"/>
    <x v="1"/>
    <x v="82"/>
    <m/>
    <m/>
    <m/>
    <n v="0"/>
  </r>
  <r>
    <s v="241416b"/>
    <x v="16"/>
    <x v="83"/>
    <n v="1"/>
    <m/>
    <n v="1"/>
    <n v="2"/>
  </r>
  <r>
    <s v="48dc1ee"/>
    <x v="17"/>
    <x v="84"/>
    <m/>
    <m/>
    <n v="1"/>
    <n v="1"/>
  </r>
  <r>
    <s v="2941a2e"/>
    <x v="1"/>
    <x v="85"/>
    <n v="1"/>
    <m/>
    <n v="1"/>
    <n v="2"/>
  </r>
  <r>
    <s v="1efaba7"/>
    <x v="1"/>
    <x v="86"/>
    <m/>
    <m/>
    <n v="1"/>
    <n v="1"/>
  </r>
  <r>
    <s v="871661e"/>
    <x v="1"/>
    <x v="87"/>
    <n v="1"/>
    <m/>
    <n v="1"/>
    <n v="2"/>
  </r>
  <r>
    <s v="9d40e17"/>
    <x v="3"/>
    <x v="88"/>
    <m/>
    <m/>
    <n v="1"/>
    <n v="1"/>
  </r>
  <r>
    <s v="23340c0"/>
    <x v="3"/>
    <x v="89"/>
    <m/>
    <m/>
    <m/>
    <n v="0"/>
  </r>
  <r>
    <s v="85d7fce"/>
    <x v="18"/>
    <x v="90"/>
    <n v="1"/>
    <m/>
    <n v="1"/>
    <n v="2"/>
  </r>
  <r>
    <s v="4adc95e"/>
    <x v="19"/>
    <x v="91"/>
    <m/>
    <m/>
    <m/>
    <n v="0"/>
  </r>
  <r>
    <s v="f6c1237"/>
    <x v="20"/>
    <x v="92"/>
    <m/>
    <m/>
    <m/>
    <n v="0"/>
  </r>
  <r>
    <s v="6acba58"/>
    <x v="21"/>
    <x v="93"/>
    <m/>
    <m/>
    <m/>
    <n v="0"/>
  </r>
  <r>
    <s v="235f84e"/>
    <x v="11"/>
    <x v="94"/>
    <m/>
    <m/>
    <m/>
    <n v="0"/>
  </r>
  <r>
    <s v="b16c2e4"/>
    <x v="7"/>
    <x v="95"/>
    <m/>
    <n v="1"/>
    <m/>
    <n v="1"/>
  </r>
  <r>
    <s v="2018914"/>
    <x v="7"/>
    <x v="96"/>
    <m/>
    <m/>
    <m/>
    <n v="0"/>
  </r>
  <r>
    <s v="2b19871"/>
    <x v="18"/>
    <x v="97"/>
    <m/>
    <m/>
    <m/>
    <n v="0"/>
  </r>
  <r>
    <s v="f4b6e4b"/>
    <x v="22"/>
    <x v="98"/>
    <m/>
    <m/>
    <m/>
    <n v="0"/>
  </r>
  <r>
    <s v="abb619a"/>
    <x v="7"/>
    <x v="99"/>
    <m/>
    <m/>
    <m/>
    <n v="0"/>
  </r>
  <r>
    <s v="2547c83"/>
    <x v="23"/>
    <x v="100"/>
    <n v="1"/>
    <m/>
    <m/>
    <n v="1"/>
  </r>
  <r>
    <s v="f433f45"/>
    <x v="7"/>
    <x v="101"/>
    <m/>
    <m/>
    <m/>
    <n v="0"/>
  </r>
  <r>
    <s v="256697c"/>
    <x v="24"/>
    <x v="102"/>
    <m/>
    <m/>
    <m/>
    <n v="0"/>
  </r>
  <r>
    <s v="f0fcb8e"/>
    <x v="24"/>
    <x v="103"/>
    <m/>
    <m/>
    <m/>
    <n v="0"/>
  </r>
  <r>
    <s v="9469eb4"/>
    <x v="24"/>
    <x v="104"/>
    <m/>
    <m/>
    <m/>
    <n v="0"/>
  </r>
  <r>
    <s v="7898bf0"/>
    <x v="7"/>
    <x v="105"/>
    <m/>
    <m/>
    <m/>
    <n v="0"/>
  </r>
  <r>
    <s v="a2f19a1"/>
    <x v="25"/>
    <x v="106"/>
    <m/>
    <n v="1"/>
    <m/>
    <n v="1"/>
  </r>
  <r>
    <s v="3dac15a"/>
    <x v="25"/>
    <x v="107"/>
    <m/>
    <m/>
    <m/>
    <n v="0"/>
  </r>
  <r>
    <s v="15a6779"/>
    <x v="7"/>
    <x v="108"/>
    <m/>
    <m/>
    <m/>
    <n v="0"/>
  </r>
  <r>
    <s v="52c447a"/>
    <x v="7"/>
    <x v="109"/>
    <m/>
    <m/>
    <m/>
    <n v="0"/>
  </r>
  <r>
    <s v="2bab063"/>
    <x v="21"/>
    <x v="110"/>
    <m/>
    <m/>
    <m/>
    <n v="0"/>
  </r>
  <r>
    <s v="6df2027"/>
    <x v="26"/>
    <x v="111"/>
    <m/>
    <m/>
    <m/>
    <n v="0"/>
  </r>
  <r>
    <s v="18a10db"/>
    <x v="25"/>
    <x v="112"/>
    <m/>
    <m/>
    <m/>
    <n v="0"/>
  </r>
  <r>
    <s v="c331296"/>
    <x v="27"/>
    <x v="113"/>
    <m/>
    <m/>
    <m/>
    <n v="0"/>
  </r>
  <r>
    <s v="86247f3"/>
    <x v="28"/>
    <x v="114"/>
    <m/>
    <m/>
    <m/>
    <n v="0"/>
  </r>
  <r>
    <s v="036d8bd"/>
    <x v="28"/>
    <x v="115"/>
    <m/>
    <m/>
    <n v="1"/>
    <n v="1"/>
  </r>
  <r>
    <s v="4411113"/>
    <x v="7"/>
    <x v="116"/>
    <m/>
    <m/>
    <n v="1"/>
    <n v="1"/>
  </r>
  <r>
    <s v="a35666c"/>
    <x v="29"/>
    <x v="117"/>
    <m/>
    <m/>
    <m/>
    <n v="0"/>
  </r>
  <r>
    <s v="932dfdf"/>
    <x v="30"/>
    <x v="118"/>
    <m/>
    <m/>
    <m/>
    <n v="0"/>
  </r>
  <r>
    <s v="5dfb712"/>
    <x v="29"/>
    <x v="119"/>
    <m/>
    <m/>
    <m/>
    <n v="0"/>
  </r>
  <r>
    <s v="f1bef09"/>
    <x v="22"/>
    <x v="120"/>
    <n v="1"/>
    <m/>
    <n v="1"/>
    <n v="2"/>
  </r>
  <r>
    <s v="289d21b"/>
    <x v="7"/>
    <x v="121"/>
    <m/>
    <m/>
    <n v="1"/>
    <n v="1"/>
  </r>
  <r>
    <s v="4f187fc"/>
    <x v="20"/>
    <x v="122"/>
    <m/>
    <m/>
    <m/>
    <n v="0"/>
  </r>
  <r>
    <s v="9339819"/>
    <x v="20"/>
    <x v="123"/>
    <m/>
    <m/>
    <m/>
    <n v="0"/>
  </r>
  <r>
    <s v="9a8a815"/>
    <x v="7"/>
    <x v="124"/>
    <m/>
    <m/>
    <m/>
    <n v="0"/>
  </r>
  <r>
    <s v="fa13de9"/>
    <x v="7"/>
    <x v="125"/>
    <m/>
    <m/>
    <m/>
    <n v="0"/>
  </r>
  <r>
    <s v="0e945d0"/>
    <x v="23"/>
    <x v="126"/>
    <m/>
    <m/>
    <m/>
    <n v="0"/>
  </r>
  <r>
    <s v="9a7d94e"/>
    <x v="22"/>
    <x v="127"/>
    <m/>
    <m/>
    <m/>
    <n v="0"/>
  </r>
  <r>
    <s v="ff2f7ef"/>
    <x v="31"/>
    <x v="128"/>
    <m/>
    <m/>
    <m/>
    <n v="0"/>
  </r>
  <r>
    <s v="f1ce3bf"/>
    <x v="11"/>
    <x v="129"/>
    <m/>
    <m/>
    <m/>
    <n v="0"/>
  </r>
  <r>
    <s v="ecf5217"/>
    <x v="25"/>
    <x v="130"/>
    <m/>
    <m/>
    <m/>
    <n v="0"/>
  </r>
  <r>
    <s v="12c541f"/>
    <x v="25"/>
    <x v="131"/>
    <m/>
    <m/>
    <m/>
    <n v="0"/>
  </r>
  <r>
    <s v="a1e6383"/>
    <x v="7"/>
    <x v="132"/>
    <m/>
    <m/>
    <m/>
    <n v="0"/>
  </r>
  <r>
    <s v="9c955c4"/>
    <x v="31"/>
    <x v="133"/>
    <m/>
    <m/>
    <n v="1"/>
    <n v="1"/>
  </r>
  <r>
    <s v="5ad5b34"/>
    <x v="0"/>
    <x v="134"/>
    <m/>
    <m/>
    <m/>
    <n v="0"/>
  </r>
  <r>
    <s v="b953482"/>
    <x v="32"/>
    <x v="135"/>
    <m/>
    <m/>
    <n v="1"/>
    <n v="1"/>
  </r>
  <r>
    <s v="6eb667c"/>
    <x v="29"/>
    <x v="136"/>
    <m/>
    <m/>
    <m/>
    <n v="0"/>
  </r>
  <r>
    <s v="5f244db"/>
    <x v="23"/>
    <x v="137"/>
    <m/>
    <m/>
    <m/>
    <n v="0"/>
  </r>
  <r>
    <s v="14564eb"/>
    <x v="33"/>
    <x v="138"/>
    <m/>
    <m/>
    <m/>
    <n v="0"/>
  </r>
  <r>
    <s v="13f7636"/>
    <x v="20"/>
    <x v="139"/>
    <m/>
    <m/>
    <m/>
    <n v="0"/>
  </r>
  <r>
    <s v="7f4ffa9"/>
    <x v="34"/>
    <x v="140"/>
    <m/>
    <m/>
    <m/>
    <n v="0"/>
  </r>
  <r>
    <s v="1d5727c"/>
    <x v="35"/>
    <x v="141"/>
    <m/>
    <m/>
    <m/>
    <n v="0"/>
  </r>
  <r>
    <s v="cf284a2"/>
    <x v="20"/>
    <x v="142"/>
    <m/>
    <m/>
    <m/>
    <n v="0"/>
  </r>
  <r>
    <s v="41498cd"/>
    <x v="21"/>
    <x v="143"/>
    <m/>
    <m/>
    <m/>
    <n v="0"/>
  </r>
  <r>
    <s v="a58a4f4"/>
    <x v="36"/>
    <x v="144"/>
    <m/>
    <m/>
    <m/>
    <n v="0"/>
  </r>
  <r>
    <s v="81afb67"/>
    <x v="37"/>
    <x v="145"/>
    <m/>
    <m/>
    <m/>
    <n v="0"/>
  </r>
  <r>
    <s v="6f54462"/>
    <x v="29"/>
    <x v="146"/>
    <m/>
    <m/>
    <m/>
    <n v="0"/>
  </r>
  <r>
    <s v="e772598"/>
    <x v="29"/>
    <x v="147"/>
    <m/>
    <m/>
    <m/>
    <n v="0"/>
  </r>
  <r>
    <s v="0763320"/>
    <x v="20"/>
    <x v="148"/>
    <m/>
    <m/>
    <m/>
    <n v="0"/>
  </r>
  <r>
    <s v="25a883e"/>
    <x v="29"/>
    <x v="149"/>
    <m/>
    <m/>
    <m/>
    <n v="0"/>
  </r>
  <r>
    <s v="503b513"/>
    <x v="38"/>
    <x v="150"/>
    <m/>
    <m/>
    <n v="1"/>
    <n v="1"/>
  </r>
  <r>
    <s v="e83d9f5"/>
    <x v="7"/>
    <x v="151"/>
    <m/>
    <m/>
    <m/>
    <n v="0"/>
  </r>
  <r>
    <s v="0aeed65"/>
    <x v="7"/>
    <x v="152"/>
    <m/>
    <m/>
    <n v="1"/>
    <n v="1"/>
  </r>
  <r>
    <s v="d96f3ac"/>
    <x v="38"/>
    <x v="153"/>
    <n v="1"/>
    <m/>
    <n v="1"/>
    <n v="2"/>
  </r>
  <r>
    <s v="51d9476"/>
    <x v="39"/>
    <x v="154"/>
    <m/>
    <m/>
    <m/>
    <n v="0"/>
  </r>
  <r>
    <s v="9d6c7f2"/>
    <x v="40"/>
    <x v="155"/>
    <m/>
    <m/>
    <m/>
    <n v="0"/>
  </r>
  <r>
    <s v="38ec24b"/>
    <x v="40"/>
    <x v="156"/>
    <m/>
    <m/>
    <m/>
    <n v="0"/>
  </r>
  <r>
    <s v="8e32470"/>
    <x v="22"/>
    <x v="157"/>
    <m/>
    <m/>
    <m/>
    <n v="0"/>
  </r>
  <r>
    <s v="2e0eeea"/>
    <x v="29"/>
    <x v="158"/>
    <m/>
    <m/>
    <m/>
    <n v="0"/>
  </r>
  <r>
    <s v="ab87ca4"/>
    <x v="41"/>
    <x v="159"/>
    <m/>
    <m/>
    <m/>
    <n v="0"/>
  </r>
  <r>
    <s v="e3f38af"/>
    <x v="41"/>
    <x v="160"/>
    <n v="1"/>
    <m/>
    <m/>
    <n v="1"/>
  </r>
  <r>
    <s v="d541574"/>
    <x v="19"/>
    <x v="161"/>
    <m/>
    <m/>
    <m/>
    <n v="0"/>
  </r>
  <r>
    <s v="34e73a2"/>
    <x v="22"/>
    <x v="162"/>
    <m/>
    <m/>
    <m/>
    <n v="0"/>
  </r>
  <r>
    <s v="333f887"/>
    <x v="20"/>
    <x v="163"/>
    <m/>
    <m/>
    <m/>
    <n v="0"/>
  </r>
  <r>
    <s v="b221970"/>
    <x v="21"/>
    <x v="164"/>
    <m/>
    <m/>
    <m/>
    <n v="0"/>
  </r>
  <r>
    <s v="e82692a"/>
    <x v="11"/>
    <x v="165"/>
    <m/>
    <m/>
    <m/>
    <n v="0"/>
  </r>
  <r>
    <s v="51393fc"/>
    <x v="24"/>
    <x v="166"/>
    <m/>
    <m/>
    <m/>
    <n v="0"/>
  </r>
  <r>
    <s v="23f0c13"/>
    <x v="7"/>
    <x v="167"/>
    <m/>
    <m/>
    <m/>
    <n v="0"/>
  </r>
  <r>
    <s v="ff868e6"/>
    <x v="28"/>
    <x v="168"/>
    <m/>
    <m/>
    <m/>
    <n v="0"/>
  </r>
  <r>
    <s v="81ae3cd"/>
    <x v="42"/>
    <x v="169"/>
    <m/>
    <m/>
    <m/>
    <n v="0"/>
  </r>
  <r>
    <s v="f6435df"/>
    <x v="43"/>
    <x v="170"/>
    <m/>
    <m/>
    <m/>
    <n v="0"/>
  </r>
  <r>
    <s v="3a42395"/>
    <x v="37"/>
    <x v="171"/>
    <m/>
    <m/>
    <m/>
    <n v="0"/>
  </r>
  <r>
    <s v="1918549"/>
    <x v="37"/>
    <x v="172"/>
    <m/>
    <m/>
    <m/>
    <n v="0"/>
  </r>
  <r>
    <s v="b9627ca"/>
    <x v="7"/>
    <x v="173"/>
    <m/>
    <m/>
    <m/>
    <n v="0"/>
  </r>
  <r>
    <s v="51f494c"/>
    <x v="44"/>
    <x v="174"/>
    <m/>
    <m/>
    <m/>
    <n v="0"/>
  </r>
  <r>
    <s v="0b370c0"/>
    <x v="24"/>
    <x v="175"/>
    <m/>
    <m/>
    <m/>
    <n v="0"/>
  </r>
  <r>
    <s v="c119778"/>
    <x v="38"/>
    <x v="176"/>
    <m/>
    <m/>
    <m/>
    <n v="0"/>
  </r>
  <r>
    <s v="29e8de6"/>
    <x v="24"/>
    <x v="177"/>
    <m/>
    <m/>
    <n v="1"/>
    <n v="1"/>
  </r>
  <r>
    <s v="872cbd3"/>
    <x v="24"/>
    <x v="178"/>
    <m/>
    <m/>
    <m/>
    <n v="0"/>
  </r>
  <r>
    <s v="d963bf0"/>
    <x v="29"/>
    <x v="179"/>
    <m/>
    <m/>
    <n v="1"/>
    <n v="1"/>
  </r>
  <r>
    <s v="d27f8d4"/>
    <x v="37"/>
    <x v="180"/>
    <m/>
    <n v="1"/>
    <m/>
    <n v="1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count="380">
  <r>
    <s v="979c128"/>
    <s v="Jay"/>
    <x v="0"/>
    <m/>
    <m/>
    <n v="1"/>
    <n v="1"/>
  </r>
  <r>
    <s v="1843552"/>
    <s v="Jay Kreps"/>
    <x v="1"/>
    <m/>
    <m/>
    <m/>
    <n v="0"/>
  </r>
  <r>
    <s v="567c1b5"/>
    <s v="Jay Kreps"/>
    <x v="2"/>
    <m/>
    <m/>
    <n v="1"/>
    <n v="1"/>
  </r>
  <r>
    <s v="6971600"/>
    <s v="Jay Kreps"/>
    <x v="3"/>
    <m/>
    <m/>
    <n v="1"/>
    <n v="1"/>
  </r>
  <r>
    <s v="6971600"/>
    <s v="Jay"/>
    <x v="3"/>
    <m/>
    <m/>
    <n v="1"/>
    <n v="1"/>
  </r>
  <r>
    <s v="e021401"/>
    <s v="kirktrue"/>
    <x v="4"/>
    <m/>
    <m/>
    <m/>
    <n v="0"/>
  </r>
  <r>
    <s v="3e8ced6"/>
    <s v="Geir Magnusson Jr"/>
    <x v="5"/>
    <m/>
    <n v="1"/>
    <m/>
    <n v="1"/>
  </r>
  <r>
    <s v="b510f99"/>
    <s v="Rob Adams"/>
    <x v="6"/>
    <m/>
    <m/>
    <m/>
    <n v="0"/>
  </r>
  <r>
    <s v="73bf046"/>
    <s v="Jay Kreps"/>
    <x v="7"/>
    <m/>
    <m/>
    <m/>
    <n v="0"/>
  </r>
  <r>
    <s v="2672d7a"/>
    <s v="Jay Kreps"/>
    <x v="8"/>
    <m/>
    <m/>
    <m/>
    <n v="0"/>
  </r>
  <r>
    <s v="641b1e0"/>
    <s v="Ismael Juma"/>
    <x v="9"/>
    <m/>
    <m/>
    <m/>
    <n v="0"/>
  </r>
  <r>
    <s v="641b1e0"/>
    <s v="Ismael Juma"/>
    <x v="9"/>
    <m/>
    <m/>
    <m/>
    <n v="0"/>
  </r>
  <r>
    <s v="ea91edb"/>
    <s v="Rob Adams"/>
    <x v="10"/>
    <m/>
    <m/>
    <m/>
    <n v="0"/>
  </r>
  <r>
    <s v="bdb9ea0"/>
    <s v="Rob Adams"/>
    <x v="11"/>
    <m/>
    <m/>
    <m/>
    <n v="0"/>
  </r>
  <r>
    <s v="9e08c89"/>
    <s v="Ismael Juma"/>
    <x v="12"/>
    <m/>
    <m/>
    <m/>
    <n v="0"/>
  </r>
  <r>
    <s v="78e507f"/>
    <s v="kirktrue"/>
    <x v="13"/>
    <m/>
    <m/>
    <m/>
    <n v="0"/>
  </r>
  <r>
    <s v="474bbf3"/>
    <s v="Geir Magnusson Jr"/>
    <x v="14"/>
    <m/>
    <m/>
    <m/>
    <n v="0"/>
  </r>
  <r>
    <s v="679e1d5"/>
    <s v="Geir Magnusson Jr"/>
    <x v="15"/>
    <m/>
    <m/>
    <m/>
    <n v="0"/>
  </r>
  <r>
    <s v="679e1d5"/>
    <s v="Geir Magnusson Jr"/>
    <x v="15"/>
    <m/>
    <m/>
    <m/>
    <n v="0"/>
  </r>
  <r>
    <s v="b1267e7"/>
    <s v="Rob Adams"/>
    <x v="16"/>
    <m/>
    <m/>
    <m/>
    <n v="0"/>
  </r>
  <r>
    <s v="62f6228"/>
    <s v="Jay Kreps"/>
    <x v="17"/>
    <m/>
    <m/>
    <m/>
    <n v="0"/>
  </r>
  <r>
    <s v="f2dcd03"/>
    <s v="Geir Magnusson Jr"/>
    <x v="18"/>
    <m/>
    <m/>
    <m/>
    <n v="0"/>
  </r>
  <r>
    <s v="f2dcd03"/>
    <s v="Geir Magnusson Jr"/>
    <x v="18"/>
    <m/>
    <m/>
    <m/>
    <n v="0"/>
  </r>
  <r>
    <s v="f1f3ee2"/>
    <s v="Elias Torres"/>
    <x v="19"/>
    <m/>
    <m/>
    <m/>
    <n v="0"/>
  </r>
  <r>
    <s v="a63a572"/>
    <s v="Rob Adams"/>
    <x v="20"/>
    <m/>
    <m/>
    <m/>
    <n v="0"/>
  </r>
  <r>
    <s v="7033e0f"/>
    <s v="Jay Kreps"/>
    <x v="21"/>
    <m/>
    <n v="1"/>
    <m/>
    <n v="1"/>
  </r>
  <r>
    <s v="18819d7"/>
    <s v="Jay Kreps"/>
    <x v="22"/>
    <m/>
    <m/>
    <m/>
    <n v="0"/>
  </r>
  <r>
    <s v="69ee678"/>
    <s v="Jay Kreps"/>
    <x v="23"/>
    <m/>
    <m/>
    <m/>
    <n v="0"/>
  </r>
  <r>
    <s v="669001f"/>
    <s v="Bhupesh Bansal"/>
    <x v="24"/>
    <m/>
    <m/>
    <m/>
    <n v="0"/>
  </r>
  <r>
    <s v="bbd884a"/>
    <s v="Ismael Juma"/>
    <x v="25"/>
    <n v="1"/>
    <m/>
    <m/>
    <n v="1"/>
  </r>
  <r>
    <s v="a49144e"/>
    <s v="Bhupesh Bansal"/>
    <x v="26"/>
    <m/>
    <m/>
    <m/>
    <n v="0"/>
  </r>
  <r>
    <s v="3d1c22f"/>
    <s v="Bhupesh Bansal"/>
    <x v="27"/>
    <n v="1"/>
    <m/>
    <m/>
    <n v="1"/>
  </r>
  <r>
    <s v="3f7d24c"/>
    <s v="kirktrue"/>
    <x v="28"/>
    <m/>
    <n v="1"/>
    <m/>
    <n v="1"/>
  </r>
  <r>
    <s v="218f057"/>
    <s v="Bhupesh Bansal"/>
    <x v="29"/>
    <m/>
    <m/>
    <m/>
    <n v="0"/>
  </r>
  <r>
    <s v="aae0143"/>
    <s v="Ismael Juma"/>
    <x v="30"/>
    <m/>
    <m/>
    <m/>
    <n v="0"/>
  </r>
  <r>
    <s v="1679e19"/>
    <s v="Jay Kreps"/>
    <x v="31"/>
    <m/>
    <m/>
    <m/>
    <n v="0"/>
  </r>
  <r>
    <s v="f8bc867"/>
    <s v="Jay Kreps"/>
    <x v="32"/>
    <m/>
    <m/>
    <m/>
    <n v="0"/>
  </r>
  <r>
    <s v="6cf307a"/>
    <s v="Bhupesh Bansal"/>
    <x v="33"/>
    <m/>
    <n v="1"/>
    <m/>
    <n v="1"/>
  </r>
  <r>
    <s v="3891839"/>
    <s v="Jay Kreps"/>
    <x v="34"/>
    <m/>
    <m/>
    <m/>
    <n v="0"/>
  </r>
  <r>
    <s v="c50ba9b"/>
    <s v="Rob"/>
    <x v="35"/>
    <m/>
    <m/>
    <m/>
    <n v="0"/>
  </r>
  <r>
    <s v="a9309e8"/>
    <s v="Rob Adams"/>
    <x v="36"/>
    <m/>
    <m/>
    <m/>
    <n v="0"/>
  </r>
  <r>
    <s v="a755b4e"/>
    <s v="Jay"/>
    <x v="37"/>
    <m/>
    <m/>
    <m/>
    <n v="0"/>
  </r>
  <r>
    <s v="927373b"/>
    <s v="Jay"/>
    <x v="38"/>
    <n v="1"/>
    <m/>
    <m/>
    <n v="1"/>
  </r>
  <r>
    <s v="3f9cb46"/>
    <s v="Ismael Juma"/>
    <x v="39"/>
    <m/>
    <m/>
    <m/>
    <n v="0"/>
  </r>
  <r>
    <s v="54ea59a"/>
    <s v="Jay"/>
    <x v="40"/>
    <m/>
    <m/>
    <m/>
    <n v="0"/>
  </r>
  <r>
    <s v="8a1a068"/>
    <s v="Jay"/>
    <x v="41"/>
    <m/>
    <m/>
    <n v="1"/>
    <n v="1"/>
  </r>
  <r>
    <s v="8a1a068"/>
    <s v="Jay Kreps"/>
    <x v="41"/>
    <m/>
    <m/>
    <m/>
    <n v="0"/>
  </r>
  <r>
    <s v="bb6064a"/>
    <s v="Jay Kreps"/>
    <x v="42"/>
    <n v="1"/>
    <m/>
    <m/>
    <n v="1"/>
  </r>
  <r>
    <s v="812604c"/>
    <s v="Ismael Juma"/>
    <x v="43"/>
    <m/>
    <m/>
    <n v="1"/>
    <n v="1"/>
  </r>
  <r>
    <s v="efcdd26"/>
    <s v="Ismael Juma"/>
    <x v="44"/>
    <m/>
    <m/>
    <n v="1"/>
    <n v="1"/>
  </r>
  <r>
    <s v="1fc8067"/>
    <s v="Jay"/>
    <x v="45"/>
    <m/>
    <m/>
    <m/>
    <n v="0"/>
  </r>
  <r>
    <s v="1fc8067"/>
    <s v="Jay"/>
    <x v="45"/>
    <m/>
    <m/>
    <m/>
    <n v="0"/>
  </r>
  <r>
    <s v="bfd86e8"/>
    <s v="Bhupesh"/>
    <x v="46"/>
    <m/>
    <m/>
    <m/>
    <n v="0"/>
  </r>
  <r>
    <s v="b20e97b"/>
    <s v="Bhupesh Bansal"/>
    <x v="47"/>
    <n v="1"/>
    <m/>
    <n v="1"/>
    <n v="2"/>
  </r>
  <r>
    <s v="35f75b8"/>
    <s v="Bhupesh Bansal"/>
    <x v="48"/>
    <n v="1"/>
    <m/>
    <n v="1"/>
    <n v="2"/>
  </r>
  <r>
    <s v="e09f9ea"/>
    <s v="Bhupesh Bansal"/>
    <x v="49"/>
    <m/>
    <m/>
    <n v="1"/>
    <n v="1"/>
  </r>
  <r>
    <s v="29caea4"/>
    <s v="bbansal"/>
    <x v="50"/>
    <n v="1"/>
    <m/>
    <n v="1"/>
    <n v="2"/>
  </r>
  <r>
    <s v="c5e1e4e"/>
    <s v="Bhupesh Bansal"/>
    <x v="51"/>
    <m/>
    <m/>
    <n v="1"/>
    <n v="1"/>
  </r>
  <r>
    <s v="864d6a5"/>
    <s v="Alex Feinberg"/>
    <x v="52"/>
    <n v="1"/>
    <m/>
    <n v="1"/>
    <n v="2"/>
  </r>
  <r>
    <s v="95b86af"/>
    <s v="Bhupesh Bansal"/>
    <x v="53"/>
    <m/>
    <m/>
    <m/>
    <n v="0"/>
  </r>
  <r>
    <s v="d6a5017"/>
    <s v="Alex Feinberg"/>
    <x v="54"/>
    <m/>
    <m/>
    <n v="1"/>
    <n v="1"/>
  </r>
  <r>
    <s v="5e36e0d"/>
    <s v="Bhupesh Bansal"/>
    <x v="55"/>
    <m/>
    <m/>
    <m/>
    <n v="0"/>
  </r>
  <r>
    <s v="0e8dc5d"/>
    <s v="kirktrue"/>
    <x v="56"/>
    <m/>
    <m/>
    <m/>
    <n v="0"/>
  </r>
  <r>
    <s v="64694b1"/>
    <s v="kirktrue"/>
    <x v="57"/>
    <m/>
    <m/>
    <m/>
    <n v="0"/>
  </r>
  <r>
    <s v="47ff456"/>
    <s v="Jay Kreps"/>
    <x v="58"/>
    <m/>
    <m/>
    <m/>
    <n v="0"/>
  </r>
  <r>
    <s v="5f31574"/>
    <s v="kirktrue"/>
    <x v="59"/>
    <m/>
    <m/>
    <m/>
    <n v="0"/>
  </r>
  <r>
    <s v="ea4b3b8"/>
    <s v="Bhupesh Bansal"/>
    <x v="60"/>
    <m/>
    <n v="1"/>
    <m/>
    <n v="1"/>
  </r>
  <r>
    <s v="4aab077"/>
    <s v="Bhupesh Bansal"/>
    <x v="61"/>
    <n v="1"/>
    <m/>
    <n v="1"/>
    <n v="2"/>
  </r>
  <r>
    <s v="ff63c3f"/>
    <s v="Alex Feinberg"/>
    <x v="62"/>
    <m/>
    <m/>
    <n v="1"/>
    <n v="1"/>
  </r>
  <r>
    <s v="f0e35dc"/>
    <s v="Bhupesh Bansal"/>
    <x v="63"/>
    <m/>
    <m/>
    <n v="1"/>
    <n v="1"/>
  </r>
  <r>
    <s v="393f624"/>
    <s v="Bhupesh Bansal"/>
    <x v="64"/>
    <m/>
    <m/>
    <n v="1"/>
    <n v="1"/>
  </r>
  <r>
    <s v="becb46a"/>
    <s v="kirktrue"/>
    <x v="65"/>
    <m/>
    <m/>
    <m/>
    <n v="0"/>
  </r>
  <r>
    <s v="b467361"/>
    <s v="Alex Feinberg"/>
    <x v="66"/>
    <n v="1"/>
    <m/>
    <n v="1"/>
    <n v="2"/>
  </r>
  <r>
    <s v="02829a2"/>
    <s v="Bhupesh Bansal"/>
    <x v="67"/>
    <m/>
    <m/>
    <n v="1"/>
    <n v="1"/>
  </r>
  <r>
    <s v="c79f0e3"/>
    <s v="Alex Feinberg"/>
    <x v="68"/>
    <m/>
    <m/>
    <n v="1"/>
    <n v="1"/>
  </r>
  <r>
    <s v="efc6f4f"/>
    <s v="Bhupesh Bansal"/>
    <x v="69"/>
    <m/>
    <m/>
    <n v="1"/>
    <n v="1"/>
  </r>
  <r>
    <s v="ea59245"/>
    <s v="Bhupesh Bansal"/>
    <x v="70"/>
    <m/>
    <m/>
    <n v="1"/>
    <n v="1"/>
  </r>
  <r>
    <s v="090985a"/>
    <s v="Alex Feinberg"/>
    <x v="71"/>
    <m/>
    <m/>
    <n v="1"/>
    <n v="1"/>
  </r>
  <r>
    <s v="320c411"/>
    <s v="Bhupesh Bansal"/>
    <x v="72"/>
    <n v="1"/>
    <m/>
    <n v="1"/>
    <n v="2"/>
  </r>
  <r>
    <s v="cffd8d7"/>
    <s v="Bhupesh Bansal"/>
    <x v="73"/>
    <m/>
    <m/>
    <n v="1"/>
    <n v="1"/>
  </r>
  <r>
    <s v="4d2001e"/>
    <s v="Bhupesh Bansal"/>
    <x v="74"/>
    <m/>
    <m/>
    <m/>
    <n v="0"/>
  </r>
  <r>
    <s v="4d2001e"/>
    <s v="Bhupesh Bansal"/>
    <x v="74"/>
    <m/>
    <m/>
    <m/>
    <n v="0"/>
  </r>
  <r>
    <s v="31d2adb"/>
    <s v="Ismael Juma"/>
    <x v="75"/>
    <m/>
    <n v="1"/>
    <m/>
    <n v="1"/>
  </r>
  <r>
    <s v="ce3d234"/>
    <s v="Bhupesh Bansal"/>
    <x v="76"/>
    <m/>
    <m/>
    <m/>
    <n v="0"/>
  </r>
  <r>
    <s v="e420db3"/>
    <s v="Alex Feinberg"/>
    <x v="77"/>
    <m/>
    <m/>
    <m/>
    <n v="0"/>
  </r>
  <r>
    <s v="6dd690b"/>
    <s v="Ismael"/>
    <x v="78"/>
    <n v="1"/>
    <m/>
    <m/>
    <n v="1"/>
  </r>
  <r>
    <s v="f15e2cd"/>
    <s v="Ismael"/>
    <x v="79"/>
    <m/>
    <m/>
    <m/>
    <n v="0"/>
  </r>
  <r>
    <s v="f678066"/>
    <s v="Bhupesh Bansal"/>
    <x v="80"/>
    <n v="1"/>
    <m/>
    <n v="1"/>
    <n v="2"/>
  </r>
  <r>
    <s v="3b74bab"/>
    <s v="Bhupesh Bansal"/>
    <x v="81"/>
    <n v="1"/>
    <m/>
    <n v="1"/>
    <n v="2"/>
  </r>
  <r>
    <s v="3b74bab"/>
    <s v="Bhupesh"/>
    <x v="81"/>
    <n v="1"/>
    <m/>
    <m/>
    <n v="1"/>
  </r>
  <r>
    <s v="caed939"/>
    <s v="bbansal"/>
    <x v="82"/>
    <m/>
    <m/>
    <m/>
    <n v="0"/>
  </r>
  <r>
    <s v="caed939"/>
    <s v="bbansal"/>
    <x v="82"/>
    <n v="1"/>
    <m/>
    <m/>
    <n v="1"/>
  </r>
  <r>
    <s v="caed939"/>
    <s v="bbansal"/>
    <x v="82"/>
    <m/>
    <n v="1"/>
    <m/>
    <n v="1"/>
  </r>
  <r>
    <s v="86ea893"/>
    <s v="Bhupesh Bansal"/>
    <x v="83"/>
    <m/>
    <m/>
    <m/>
    <n v="0"/>
  </r>
  <r>
    <s v="ed5b621"/>
    <s v="Jay Kreps"/>
    <x v="84"/>
    <m/>
    <m/>
    <m/>
    <n v="0"/>
  </r>
  <r>
    <s v="c18858e"/>
    <s v="kirktrue"/>
    <x v="85"/>
    <n v="1"/>
    <m/>
    <n v="1"/>
    <n v="2"/>
  </r>
  <r>
    <s v="7bbd8d5"/>
    <s v="Bhupesh Bansal"/>
    <x v="86"/>
    <m/>
    <m/>
    <n v="1"/>
    <n v="1"/>
  </r>
  <r>
    <s v="cf77019"/>
    <s v="Bhupesh Bansal"/>
    <x v="87"/>
    <m/>
    <m/>
    <m/>
    <n v="0"/>
  </r>
  <r>
    <s v="34d0c0d"/>
    <s v="Jay Kreps"/>
    <x v="88"/>
    <m/>
    <m/>
    <m/>
    <n v="0"/>
  </r>
  <r>
    <s v="fa9f752"/>
    <s v="Jay Kreps"/>
    <x v="89"/>
    <m/>
    <m/>
    <n v="1"/>
    <n v="1"/>
  </r>
  <r>
    <s v="dd36379"/>
    <s v="Alex Feinberg"/>
    <x v="90"/>
    <m/>
    <m/>
    <n v="1"/>
    <n v="1"/>
  </r>
  <r>
    <s v="6c955d2"/>
    <s v="Alex Feinberg"/>
    <x v="91"/>
    <m/>
    <m/>
    <m/>
    <n v="0"/>
  </r>
  <r>
    <s v="382807d"/>
    <s v="Bhupesh Bansal"/>
    <x v="92"/>
    <m/>
    <m/>
    <m/>
    <n v="0"/>
  </r>
  <r>
    <s v="2319440"/>
    <s v="bbansal"/>
    <x v="93"/>
    <m/>
    <m/>
    <m/>
    <n v="0"/>
  </r>
  <r>
    <s v="8942921"/>
    <s v="Ismael"/>
    <x v="94"/>
    <n v="1"/>
    <m/>
    <n v="1"/>
    <n v="2"/>
  </r>
  <r>
    <s v="8f69961"/>
    <s v="Alex Feinberg"/>
    <x v="95"/>
    <m/>
    <m/>
    <n v="1"/>
    <n v="1"/>
  </r>
  <r>
    <s v="7e263fe"/>
    <s v="Alex Feinberg"/>
    <x v="96"/>
    <m/>
    <m/>
    <n v="1"/>
    <n v="1"/>
  </r>
  <r>
    <s v="c909562"/>
    <s v="Bhupesh Bansal"/>
    <x v="97"/>
    <m/>
    <m/>
    <n v="1"/>
    <n v="1"/>
  </r>
  <r>
    <s v="421e36d"/>
    <s v="kirktrue"/>
    <x v="98"/>
    <n v="1"/>
    <m/>
    <n v="1"/>
    <n v="2"/>
  </r>
  <r>
    <s v="db4c0fa"/>
    <s v="Bhupesh Bansal"/>
    <x v="99"/>
    <m/>
    <m/>
    <m/>
    <n v="0"/>
  </r>
  <r>
    <s v="39c00cc"/>
    <s v="bbansal"/>
    <x v="100"/>
    <m/>
    <n v="1"/>
    <m/>
    <n v="1"/>
  </r>
  <r>
    <s v="ba08dfe"/>
    <s v="Bhupesh Bansal"/>
    <x v="101"/>
    <m/>
    <m/>
    <m/>
    <n v="0"/>
  </r>
  <r>
    <s v="56c5694"/>
    <s v="Rob Adams"/>
    <x v="102"/>
    <m/>
    <m/>
    <n v="1"/>
    <n v="1"/>
  </r>
  <r>
    <s v="9af5aaf"/>
    <s v="Bhupesh Bansal"/>
    <x v="103"/>
    <m/>
    <m/>
    <m/>
    <n v="0"/>
  </r>
  <r>
    <s v="0d3e50a"/>
    <s v="kirktrue"/>
    <x v="104"/>
    <m/>
    <m/>
    <m/>
    <n v="0"/>
  </r>
  <r>
    <s v="1556656"/>
    <s v="Kirk"/>
    <x v="105"/>
    <m/>
    <m/>
    <m/>
    <n v="0"/>
  </r>
  <r>
    <s v="4008155"/>
    <s v="Alex Feinberg"/>
    <x v="106"/>
    <n v="1"/>
    <m/>
    <m/>
    <n v="1"/>
  </r>
  <r>
    <s v="bd364e3"/>
    <s v="Bhupesh"/>
    <x v="107"/>
    <m/>
    <m/>
    <m/>
    <n v="0"/>
  </r>
  <r>
    <s v="6293a95"/>
    <s v="Alex Feinberg"/>
    <x v="108"/>
    <m/>
    <m/>
    <m/>
    <n v="0"/>
  </r>
  <r>
    <s v="66a2aa0"/>
    <s v="Alex"/>
    <x v="109"/>
    <m/>
    <m/>
    <m/>
    <n v="0"/>
  </r>
  <r>
    <s v="47cd184"/>
    <s v="Alex"/>
    <x v="110"/>
    <m/>
    <m/>
    <m/>
    <n v="0"/>
  </r>
  <r>
    <s v="604acf9"/>
    <s v="Bhupesh Bansal"/>
    <x v="111"/>
    <n v="1"/>
    <n v="1"/>
    <m/>
    <n v="2"/>
  </r>
  <r>
    <s v="49ec7b2"/>
    <s v="Bhupesh Bansal"/>
    <x v="112"/>
    <n v="1"/>
    <m/>
    <m/>
    <n v="1"/>
  </r>
  <r>
    <s v="72ef048"/>
    <s v="Bhupesh Bansal"/>
    <x v="113"/>
    <m/>
    <m/>
    <m/>
    <n v="0"/>
  </r>
  <r>
    <s v="da5122f"/>
    <s v="Bhupesh Bansal"/>
    <x v="114"/>
    <m/>
    <m/>
    <m/>
    <n v="0"/>
  </r>
  <r>
    <s v="83ebbd6"/>
    <s v="Bhupesh Bansal"/>
    <x v="115"/>
    <m/>
    <m/>
    <m/>
    <n v="0"/>
  </r>
  <r>
    <s v="dd972af"/>
    <s v="Alex Feinberg"/>
    <x v="116"/>
    <m/>
    <n v="1"/>
    <m/>
    <n v="1"/>
  </r>
  <r>
    <s v="73f32a4"/>
    <s v="Alex"/>
    <x v="117"/>
    <m/>
    <m/>
    <n v="1"/>
    <n v="1"/>
  </r>
  <r>
    <s v="73f32a4"/>
    <s v="Alex Feinberg"/>
    <x v="117"/>
    <m/>
    <m/>
    <m/>
    <n v="0"/>
  </r>
  <r>
    <s v="a7a33b4"/>
    <s v="Alex"/>
    <x v="118"/>
    <n v="1"/>
    <m/>
    <m/>
    <n v="1"/>
  </r>
  <r>
    <s v="9297910"/>
    <s v="Alex Feinberg"/>
    <x v="119"/>
    <m/>
    <m/>
    <n v="1"/>
    <n v="1"/>
  </r>
  <r>
    <s v="21f8287"/>
    <s v="Bhupesh Bansal"/>
    <x v="120"/>
    <m/>
    <m/>
    <n v="1"/>
    <n v="1"/>
  </r>
  <r>
    <s v="047312a"/>
    <s v="Bhupesh Bansal"/>
    <x v="121"/>
    <m/>
    <m/>
    <n v="1"/>
    <n v="1"/>
  </r>
  <r>
    <s v="69be411"/>
    <s v="Bhupesh Bansal"/>
    <x v="122"/>
    <m/>
    <m/>
    <n v="1"/>
    <n v="1"/>
  </r>
  <r>
    <s v="1b0196d"/>
    <s v="Bhupesh Bansal"/>
    <x v="123"/>
    <n v="1"/>
    <m/>
    <n v="1"/>
    <n v="2"/>
  </r>
  <r>
    <s v="2c25d84"/>
    <s v="Bhupesh Bansal"/>
    <x v="124"/>
    <n v="1"/>
    <m/>
    <n v="1"/>
    <n v="2"/>
  </r>
  <r>
    <s v="059ac3b"/>
    <s v="Bhupesh Bansal"/>
    <x v="125"/>
    <m/>
    <m/>
    <n v="1"/>
    <n v="1"/>
  </r>
  <r>
    <s v="7de5070"/>
    <s v="Bhupesh Bansal"/>
    <x v="126"/>
    <n v="1"/>
    <m/>
    <n v="1"/>
    <n v="2"/>
  </r>
  <r>
    <s v="2a21f07"/>
    <s v="Bhupesh Bansal"/>
    <x v="127"/>
    <m/>
    <m/>
    <n v="1"/>
    <n v="1"/>
  </r>
  <r>
    <s v="a0002a2"/>
    <s v="Bhupesh Bansal"/>
    <x v="128"/>
    <m/>
    <m/>
    <n v="1"/>
    <n v="1"/>
  </r>
  <r>
    <s v="9febb9f"/>
    <s v="Bhupesh Bansal"/>
    <x v="129"/>
    <m/>
    <m/>
    <m/>
    <n v="0"/>
  </r>
  <r>
    <s v="7763aab"/>
    <s v="Kirk True"/>
    <x v="130"/>
    <m/>
    <m/>
    <m/>
    <n v="0"/>
  </r>
  <r>
    <s v="aaa5ff5"/>
    <s v="Bhupesh Bansal"/>
    <x v="131"/>
    <m/>
    <m/>
    <n v="1"/>
    <n v="1"/>
  </r>
  <r>
    <s v="15bd2eb"/>
    <s v="Alex Feinberg"/>
    <x v="132"/>
    <m/>
    <m/>
    <m/>
    <n v="0"/>
  </r>
  <r>
    <s v="7b6eee6"/>
    <s v="Bhupesh Bansal"/>
    <x v="133"/>
    <m/>
    <m/>
    <m/>
    <n v="0"/>
  </r>
  <r>
    <s v="cdf2d97"/>
    <s v="Alex Feinberg"/>
    <x v="134"/>
    <m/>
    <m/>
    <m/>
    <n v="0"/>
  </r>
  <r>
    <s v="cdf2d97"/>
    <s v="Alex Feinberg"/>
    <x v="134"/>
    <m/>
    <m/>
    <m/>
    <n v="0"/>
  </r>
  <r>
    <s v="aa5715c"/>
    <s v="Alex"/>
    <x v="135"/>
    <m/>
    <n v="1"/>
    <m/>
    <n v="1"/>
  </r>
  <r>
    <s v="f77be6f"/>
    <s v="Bhupesh Bansal"/>
    <x v="136"/>
    <n v="1"/>
    <m/>
    <m/>
    <n v="1"/>
  </r>
  <r>
    <s v="6c8e5e0"/>
    <s v="Bhupesh Bansal"/>
    <x v="137"/>
    <m/>
    <m/>
    <n v="1"/>
    <n v="1"/>
  </r>
  <r>
    <s v="b76b3f6"/>
    <s v="Bhupesh Bansal"/>
    <x v="138"/>
    <m/>
    <m/>
    <n v="1"/>
    <n v="1"/>
  </r>
  <r>
    <s v="88bd659"/>
    <s v="Bhupesh Bansal"/>
    <x v="139"/>
    <m/>
    <m/>
    <m/>
    <n v="0"/>
  </r>
  <r>
    <s v="5e8b86d"/>
    <s v="Kirk True"/>
    <x v="140"/>
    <m/>
    <m/>
    <m/>
    <n v="0"/>
  </r>
  <r>
    <s v="e44cf61"/>
    <s v="Bhupesh Bansal"/>
    <x v="141"/>
    <m/>
    <m/>
    <n v="1"/>
    <n v="1"/>
  </r>
  <r>
    <s v="7f26355"/>
    <s v="Bhupesh Bansal"/>
    <x v="142"/>
    <m/>
    <m/>
    <n v="1"/>
    <n v="1"/>
  </r>
  <r>
    <s v="4b0c40b"/>
    <s v="Alex Feinberg"/>
    <x v="143"/>
    <m/>
    <m/>
    <n v="1"/>
    <n v="1"/>
  </r>
  <r>
    <s v="c3e93f8"/>
    <s v="Bhupesh Bansal"/>
    <x v="144"/>
    <m/>
    <m/>
    <n v="1"/>
    <n v="1"/>
  </r>
  <r>
    <s v="33d85e2"/>
    <s v="bbansal"/>
    <x v="145"/>
    <n v="1"/>
    <m/>
    <n v="1"/>
    <n v="2"/>
  </r>
  <r>
    <s v="454597d"/>
    <s v="bbansal"/>
    <x v="146"/>
    <m/>
    <n v="1"/>
    <m/>
    <n v="1"/>
  </r>
  <r>
    <s v="f28781d"/>
    <s v="Jay Kreps"/>
    <x v="147"/>
    <m/>
    <m/>
    <n v="1"/>
    <n v="1"/>
  </r>
  <r>
    <s v="d9d93c5"/>
    <s v="Alex"/>
    <x v="148"/>
    <m/>
    <m/>
    <m/>
    <n v="0"/>
  </r>
  <r>
    <s v="a20872a"/>
    <s v="bbansal"/>
    <x v="149"/>
    <m/>
    <m/>
    <n v="1"/>
    <n v="1"/>
  </r>
  <r>
    <s v="b321496"/>
    <s v="Bhupesh Bansal"/>
    <x v="150"/>
    <m/>
    <m/>
    <n v="1"/>
    <n v="1"/>
  </r>
  <r>
    <s v="af23673"/>
    <s v="Alex"/>
    <x v="151"/>
    <m/>
    <m/>
    <n v="1"/>
    <n v="1"/>
  </r>
  <r>
    <s v="af23673"/>
    <s v="Alex Feinberg"/>
    <x v="151"/>
    <n v="1"/>
    <n v="1"/>
    <m/>
    <n v="2"/>
  </r>
  <r>
    <s v="b14fa21"/>
    <s v="Alex"/>
    <x v="152"/>
    <m/>
    <m/>
    <n v="1"/>
    <n v="1"/>
  </r>
  <r>
    <s v="d3d7581"/>
    <s v="Bhupesh Bansal"/>
    <x v="153"/>
    <n v="1"/>
    <m/>
    <n v="1"/>
    <n v="2"/>
  </r>
  <r>
    <s v="7ad319a"/>
    <s v="Alex Feinberg"/>
    <x v="154"/>
    <m/>
    <m/>
    <n v="1"/>
    <n v="1"/>
  </r>
  <r>
    <s v="fb347bf"/>
    <s v="Bhupesh Bansal"/>
    <x v="155"/>
    <m/>
    <m/>
    <n v="1"/>
    <n v="1"/>
  </r>
  <r>
    <s v="c86482c"/>
    <s v="Bhupesh Bansal"/>
    <x v="156"/>
    <m/>
    <m/>
    <m/>
    <n v="0"/>
  </r>
  <r>
    <s v="4fd6333"/>
    <s v="Alex Feinberg"/>
    <x v="157"/>
    <m/>
    <m/>
    <m/>
    <n v="0"/>
  </r>
  <r>
    <s v="2867c09"/>
    <s v="Alex Feinberg"/>
    <x v="158"/>
    <m/>
    <m/>
    <m/>
    <n v="0"/>
  </r>
  <r>
    <s v="bffb397"/>
    <s v="Jay Kreps"/>
    <x v="159"/>
    <m/>
    <m/>
    <m/>
    <n v="0"/>
  </r>
  <r>
    <s v="fa8abc4"/>
    <s v="Ismael Juma"/>
    <x v="160"/>
    <m/>
    <m/>
    <m/>
    <n v="0"/>
  </r>
  <r>
    <s v="d5ad745"/>
    <s v="Alex"/>
    <x v="161"/>
    <m/>
    <m/>
    <m/>
    <n v="0"/>
  </r>
  <r>
    <s v="6f6276c"/>
    <s v="Ismael Juma"/>
    <x v="162"/>
    <m/>
    <m/>
    <m/>
    <n v="0"/>
  </r>
  <r>
    <s v="d2caede"/>
    <s v="Alex"/>
    <x v="163"/>
    <m/>
    <m/>
    <m/>
    <n v="0"/>
  </r>
  <r>
    <s v="d2caede"/>
    <s v="Alex"/>
    <x v="163"/>
    <m/>
    <m/>
    <m/>
    <n v="0"/>
  </r>
  <r>
    <s v="2b0efa0"/>
    <s v="Ismael Juma"/>
    <x v="164"/>
    <m/>
    <m/>
    <m/>
    <n v="0"/>
  </r>
  <r>
    <s v="5bf107a"/>
    <s v="Alex Feinberg"/>
    <x v="165"/>
    <m/>
    <m/>
    <m/>
    <n v="0"/>
  </r>
  <r>
    <s v="3ad9a5a"/>
    <s v="Ismael"/>
    <x v="166"/>
    <m/>
    <m/>
    <m/>
    <n v="0"/>
  </r>
  <r>
    <s v="0f9eda7"/>
    <s v="Ismael"/>
    <x v="167"/>
    <m/>
    <m/>
    <m/>
    <n v="0"/>
  </r>
  <r>
    <s v="0dfb70b"/>
    <s v="Ismael"/>
    <x v="168"/>
    <m/>
    <m/>
    <m/>
    <n v="0"/>
  </r>
  <r>
    <s v="0dfb70b"/>
    <s v="Ismael Juma"/>
    <x v="168"/>
    <m/>
    <m/>
    <m/>
    <n v="0"/>
  </r>
  <r>
    <s v="b0407ab"/>
    <s v="Ismael"/>
    <x v="169"/>
    <m/>
    <m/>
    <m/>
    <n v="0"/>
  </r>
  <r>
    <s v="549f4e2"/>
    <s v="Alex Feinberg"/>
    <x v="170"/>
    <m/>
    <m/>
    <m/>
    <n v="0"/>
  </r>
  <r>
    <s v="0852fcb"/>
    <s v="Alex"/>
    <x v="171"/>
    <n v="1"/>
    <m/>
    <m/>
    <n v="1"/>
  </r>
  <r>
    <s v="c9af7b2"/>
    <s v="Alex Feinberg"/>
    <x v="172"/>
    <m/>
    <m/>
    <m/>
    <n v="0"/>
  </r>
  <r>
    <s v="fb647da"/>
    <s v="Kirk True"/>
    <x v="173"/>
    <m/>
    <m/>
    <m/>
    <n v="0"/>
  </r>
  <r>
    <s v="54c90fa"/>
    <s v="Kirk True"/>
    <x v="174"/>
    <n v="1"/>
    <m/>
    <m/>
    <n v="1"/>
  </r>
  <r>
    <s v="6817957"/>
    <s v="Alex Feinberg"/>
    <x v="175"/>
    <m/>
    <m/>
    <m/>
    <n v="0"/>
  </r>
  <r>
    <s v="d5ea5a5"/>
    <s v="Kirk"/>
    <x v="176"/>
    <m/>
    <m/>
    <m/>
    <n v="0"/>
  </r>
  <r>
    <s v="0516af2"/>
    <s v="Kirk True"/>
    <x v="177"/>
    <m/>
    <m/>
    <m/>
    <n v="0"/>
  </r>
  <r>
    <s v="b3b7b43"/>
    <s v="Alex"/>
    <x v="178"/>
    <m/>
    <m/>
    <m/>
    <n v="0"/>
  </r>
  <r>
    <s v="9365e16"/>
    <s v="Kirk"/>
    <x v="179"/>
    <m/>
    <m/>
    <m/>
    <n v="0"/>
  </r>
  <r>
    <s v="d2c8824"/>
    <s v="Alex"/>
    <x v="180"/>
    <m/>
    <m/>
    <n v="1"/>
    <n v="1"/>
  </r>
  <r>
    <s v="b3683e1"/>
    <s v="Alex"/>
    <x v="181"/>
    <m/>
    <m/>
    <m/>
    <n v="0"/>
  </r>
  <r>
    <s v="6af5d2f"/>
    <s v="Kirk"/>
    <x v="182"/>
    <m/>
    <m/>
    <m/>
    <n v="0"/>
  </r>
  <r>
    <s v="e219ac6"/>
    <s v="Kirk True"/>
    <x v="183"/>
    <n v="1"/>
    <m/>
    <m/>
    <n v="1"/>
  </r>
  <r>
    <s v="e7c10f3"/>
    <s v="Ismael Juma"/>
    <x v="184"/>
    <m/>
    <m/>
    <n v="1"/>
    <n v="1"/>
  </r>
  <r>
    <s v="aa93540"/>
    <s v="Alex Feinberg"/>
    <x v="185"/>
    <m/>
    <m/>
    <m/>
    <n v="0"/>
  </r>
  <r>
    <s v="68bfff1"/>
    <s v="Alex Feinberg"/>
    <x v="186"/>
    <m/>
    <m/>
    <m/>
    <n v="0"/>
  </r>
  <r>
    <s v="33b5e93"/>
    <s v="Chris Riccomini"/>
    <x v="187"/>
    <m/>
    <m/>
    <m/>
    <n v="0"/>
  </r>
  <r>
    <s v="5c596e6"/>
    <s v="Alex"/>
    <x v="188"/>
    <n v="1"/>
    <m/>
    <m/>
    <n v="1"/>
  </r>
  <r>
    <s v="b4811d1"/>
    <s v="Alex Feinberg"/>
    <x v="189"/>
    <m/>
    <m/>
    <m/>
    <n v="0"/>
  </r>
  <r>
    <s v="fc1e97e"/>
    <s v="Kirk True"/>
    <x v="190"/>
    <m/>
    <m/>
    <m/>
    <n v="0"/>
  </r>
  <r>
    <s v="5fa0086"/>
    <s v="Eric"/>
    <x v="191"/>
    <m/>
    <m/>
    <m/>
    <n v="0"/>
  </r>
  <r>
    <s v="56c9355"/>
    <s v="Alex Feinberg"/>
    <x v="192"/>
    <m/>
    <m/>
    <m/>
    <n v="0"/>
  </r>
  <r>
    <s v="0d53b82"/>
    <s v="Kirk True"/>
    <x v="193"/>
    <m/>
    <m/>
    <m/>
    <n v="0"/>
  </r>
  <r>
    <s v="a1c9685"/>
    <s v="Kirk"/>
    <x v="194"/>
    <n v="1"/>
    <m/>
    <n v="1"/>
    <n v="2"/>
  </r>
  <r>
    <s v="b0f6d65"/>
    <s v="Kirk True"/>
    <x v="195"/>
    <m/>
    <m/>
    <m/>
    <n v="0"/>
  </r>
  <r>
    <s v="fc05a68"/>
    <s v="Roshan Sumbaly"/>
    <x v="196"/>
    <m/>
    <m/>
    <m/>
    <n v="0"/>
  </r>
  <r>
    <s v="c0aef39"/>
    <s v="Kirk True"/>
    <x v="197"/>
    <m/>
    <m/>
    <n v="1"/>
    <n v="1"/>
  </r>
  <r>
    <s v="6c05f10"/>
    <s v="Kirk"/>
    <x v="198"/>
    <n v="1"/>
    <m/>
    <n v="1"/>
    <n v="2"/>
  </r>
  <r>
    <s v="a53341a"/>
    <s v="Roshan Sumbaly"/>
    <x v="199"/>
    <m/>
    <m/>
    <m/>
    <n v="0"/>
  </r>
  <r>
    <s v="3841c74"/>
    <s v="Alex"/>
    <x v="200"/>
    <m/>
    <m/>
    <m/>
    <n v="0"/>
  </r>
  <r>
    <s v="aeb05f5"/>
    <s v="Alex Feinberg"/>
    <x v="201"/>
    <m/>
    <m/>
    <m/>
    <n v="0"/>
  </r>
  <r>
    <s v="d74a474"/>
    <s v="Roshan"/>
    <x v="202"/>
    <m/>
    <m/>
    <n v="1"/>
    <n v="1"/>
  </r>
  <r>
    <s v="07493fd"/>
    <s v="Jay Kreps"/>
    <x v="203"/>
    <m/>
    <m/>
    <m/>
    <n v="0"/>
  </r>
  <r>
    <s v="3363fcc"/>
    <s v="Alex"/>
    <x v="204"/>
    <m/>
    <m/>
    <m/>
    <n v="0"/>
  </r>
  <r>
    <s v="bd11b46"/>
    <s v="Roshan Sumbaly"/>
    <x v="205"/>
    <n v="1"/>
    <m/>
    <m/>
    <n v="1"/>
  </r>
  <r>
    <s v="f37b6e2"/>
    <s v="Alex Feinberg"/>
    <x v="206"/>
    <m/>
    <m/>
    <m/>
    <n v="0"/>
  </r>
  <r>
    <s v="7619869"/>
    <s v="Roshan Sumbaly"/>
    <x v="207"/>
    <m/>
    <m/>
    <m/>
    <n v="0"/>
  </r>
  <r>
    <s v="4baec2d"/>
    <s v="Roshan Sumbaly"/>
    <x v="208"/>
    <m/>
    <m/>
    <m/>
    <n v="0"/>
  </r>
  <r>
    <s v="26a2b24"/>
    <s v="Roshan Sumbaly"/>
    <x v="209"/>
    <m/>
    <m/>
    <m/>
    <n v="0"/>
  </r>
  <r>
    <s v="2f5deff"/>
    <s v="Roshan Sumbaly"/>
    <x v="210"/>
    <n v="1"/>
    <m/>
    <m/>
    <n v="1"/>
  </r>
  <r>
    <s v="8ada0e3"/>
    <s v="Roshan"/>
    <x v="211"/>
    <m/>
    <m/>
    <n v="1"/>
    <n v="1"/>
  </r>
  <r>
    <s v="b59a6ea"/>
    <s v="Alex Feinberg"/>
    <x v="212"/>
    <m/>
    <m/>
    <m/>
    <n v="0"/>
  </r>
  <r>
    <s v="f9687d6"/>
    <s v="Roshan"/>
    <x v="213"/>
    <n v="1"/>
    <m/>
    <m/>
    <n v="1"/>
  </r>
  <r>
    <s v="9509899"/>
    <s v="Roshan"/>
    <x v="214"/>
    <m/>
    <m/>
    <n v="1"/>
    <n v="1"/>
  </r>
  <r>
    <s v="994c51b"/>
    <s v="Alex Feinberg"/>
    <x v="215"/>
    <m/>
    <m/>
    <n v="1"/>
    <n v="1"/>
  </r>
  <r>
    <s v="0209a40"/>
    <s v="Roshan Sumbaly"/>
    <x v="216"/>
    <m/>
    <m/>
    <m/>
    <n v="0"/>
  </r>
  <r>
    <s v="b639688"/>
    <s v="Roshan Sumbaly"/>
    <x v="217"/>
    <m/>
    <m/>
    <m/>
    <n v="0"/>
  </r>
  <r>
    <s v="13fbb1d"/>
    <s v="Roshan Sumbaly"/>
    <x v="218"/>
    <m/>
    <n v="1"/>
    <m/>
    <n v="1"/>
  </r>
  <r>
    <s v="042da34"/>
    <s v="Ismael Juma"/>
    <x v="219"/>
    <m/>
    <m/>
    <m/>
    <n v="0"/>
  </r>
  <r>
    <s v="e12fd49"/>
    <s v="Roshan"/>
    <x v="220"/>
    <m/>
    <m/>
    <m/>
    <n v="0"/>
  </r>
  <r>
    <s v="61f4d16"/>
    <s v="Roshan Sumbaly"/>
    <x v="221"/>
    <n v="1"/>
    <m/>
    <n v="1"/>
    <n v="2"/>
  </r>
  <r>
    <s v="4717020"/>
    <s v="Roshan"/>
    <x v="222"/>
    <m/>
    <m/>
    <n v="1"/>
    <n v="1"/>
  </r>
  <r>
    <s v="01fad80"/>
    <s v="Roshan"/>
    <x v="223"/>
    <n v="1"/>
    <m/>
    <n v="1"/>
    <n v="2"/>
  </r>
  <r>
    <s v="d55c771"/>
    <s v="Roshan Sumbaly"/>
    <x v="224"/>
    <n v="1"/>
    <m/>
    <n v="1"/>
    <n v="2"/>
  </r>
  <r>
    <s v="b9e135d"/>
    <s v="Alex Feinberg"/>
    <x v="225"/>
    <m/>
    <m/>
    <m/>
    <n v="0"/>
  </r>
  <r>
    <s v="cc749c7"/>
    <s v="Jonathan Traupman"/>
    <x v="226"/>
    <m/>
    <m/>
    <m/>
    <n v="0"/>
  </r>
  <r>
    <s v="d00bf6e"/>
    <s v="Jakob"/>
    <x v="227"/>
    <m/>
    <m/>
    <n v="1"/>
    <n v="1"/>
  </r>
  <r>
    <s v="36bd7f1"/>
    <s v="Alex"/>
    <x v="228"/>
    <m/>
    <m/>
    <m/>
    <n v="0"/>
  </r>
  <r>
    <s v="17adc13"/>
    <s v="Roshan Sumbaly"/>
    <x v="229"/>
    <m/>
    <m/>
    <m/>
    <n v="0"/>
  </r>
  <r>
    <s v="06bb3ef"/>
    <s v="Alex Feinberg"/>
    <x v="230"/>
    <m/>
    <m/>
    <m/>
    <n v="0"/>
  </r>
  <r>
    <s v="a5fc07d"/>
    <s v="Alex Feinberg"/>
    <x v="231"/>
    <m/>
    <m/>
    <m/>
    <n v="0"/>
  </r>
  <r>
    <s v="46a8829"/>
    <s v="Alex Feinberg"/>
    <x v="232"/>
    <m/>
    <m/>
    <n v="1"/>
    <n v="1"/>
  </r>
  <r>
    <s v="9c67920"/>
    <s v="Jonathan Traupman"/>
    <x v="233"/>
    <m/>
    <m/>
    <m/>
    <n v="0"/>
  </r>
  <r>
    <s v="1cb553e"/>
    <s v="Roshan"/>
    <x v="234"/>
    <m/>
    <m/>
    <m/>
    <n v="0"/>
  </r>
  <r>
    <s v="d4ed7f7"/>
    <s v="Roshan"/>
    <x v="235"/>
    <m/>
    <m/>
    <m/>
    <n v="0"/>
  </r>
  <r>
    <s v="051ba54"/>
    <s v="Roshan Sumbaly"/>
    <x v="236"/>
    <m/>
    <m/>
    <m/>
    <n v="0"/>
  </r>
  <r>
    <s v="4157f74"/>
    <s v="Alex"/>
    <x v="237"/>
    <m/>
    <m/>
    <m/>
    <n v="0"/>
  </r>
  <r>
    <s v="a1be5c6"/>
    <s v="Roshan Sumbaly"/>
    <x v="238"/>
    <m/>
    <m/>
    <n v="1"/>
    <n v="1"/>
  </r>
  <r>
    <s v="c6a9034"/>
    <s v="Harold Lee"/>
    <x v="239"/>
    <m/>
    <m/>
    <n v="1"/>
    <n v="1"/>
  </r>
  <r>
    <s v="1ea0b6a"/>
    <s v="Alex Feinberg"/>
    <x v="240"/>
    <m/>
    <m/>
    <n v="1"/>
    <n v="1"/>
  </r>
  <r>
    <s v="f92c899"/>
    <s v="Alex Feinberg"/>
    <x v="241"/>
    <m/>
    <m/>
    <m/>
    <n v="0"/>
  </r>
  <r>
    <s v="8bd8f04"/>
    <s v="Alex"/>
    <x v="242"/>
    <m/>
    <m/>
    <m/>
    <n v="0"/>
  </r>
  <r>
    <s v="6fa13b1"/>
    <s v="Alejandro Crosa"/>
    <x v="243"/>
    <m/>
    <m/>
    <n v="1"/>
    <n v="1"/>
  </r>
  <r>
    <s v="6794240"/>
    <s v="Roshan"/>
    <x v="244"/>
    <m/>
    <m/>
    <n v="1"/>
    <n v="1"/>
  </r>
  <r>
    <s v="db422b6"/>
    <s v="Roshan"/>
    <x v="245"/>
    <m/>
    <m/>
    <n v="1"/>
    <n v="1"/>
  </r>
  <r>
    <s v="e867212"/>
    <s v="Roshan Sumbaly"/>
    <x v="246"/>
    <m/>
    <m/>
    <m/>
    <n v="0"/>
  </r>
  <r>
    <s v="b1eb9ba"/>
    <s v="Lei Gao"/>
    <x v="247"/>
    <m/>
    <m/>
    <n v="1"/>
    <n v="1"/>
  </r>
  <r>
    <s v="899b53d"/>
    <s v="Lei Gao"/>
    <x v="248"/>
    <m/>
    <m/>
    <n v="1"/>
    <n v="1"/>
  </r>
  <r>
    <s v="9090427"/>
    <s v="Roshan Sumbaly"/>
    <x v="249"/>
    <m/>
    <m/>
    <n v="1"/>
    <n v="1"/>
  </r>
  <r>
    <s v="70fd0af"/>
    <s v="Alex Feinberg"/>
    <x v="250"/>
    <m/>
    <m/>
    <m/>
    <n v="0"/>
  </r>
  <r>
    <s v="059c7ba"/>
    <s v="Lei Gao"/>
    <x v="251"/>
    <m/>
    <m/>
    <m/>
    <n v="0"/>
  </r>
  <r>
    <s v="f835140"/>
    <s v="Roshan"/>
    <x v="252"/>
    <m/>
    <m/>
    <m/>
    <n v="0"/>
  </r>
  <r>
    <s v="6d24579"/>
    <s v="Alex Feinberg"/>
    <x v="253"/>
    <m/>
    <m/>
    <n v="1"/>
    <n v="1"/>
  </r>
  <r>
    <s v="cecc55e"/>
    <s v="Alex"/>
    <x v="254"/>
    <m/>
    <m/>
    <n v="1"/>
    <n v="1"/>
  </r>
  <r>
    <s v="b01a8b2"/>
    <s v="Roshan Sumbaly"/>
    <x v="255"/>
    <m/>
    <m/>
    <n v="1"/>
    <n v="1"/>
  </r>
  <r>
    <s v="b01a8b2"/>
    <s v="Roshan"/>
    <x v="255"/>
    <m/>
    <m/>
    <n v="1"/>
    <n v="1"/>
  </r>
  <r>
    <s v="23e600e"/>
    <s v="Alex Feinberg"/>
    <x v="256"/>
    <n v="1"/>
    <m/>
    <m/>
    <n v="1"/>
  </r>
  <r>
    <s v="7d5e323"/>
    <s v="Roshan"/>
    <x v="257"/>
    <m/>
    <m/>
    <n v="1"/>
    <n v="1"/>
  </r>
  <r>
    <s v="ba1512e"/>
    <s v="Roshan Sumbaly"/>
    <x v="258"/>
    <m/>
    <m/>
    <n v="1"/>
    <n v="1"/>
  </r>
  <r>
    <s v="b9d885f"/>
    <s v="Roshan"/>
    <x v="259"/>
    <m/>
    <m/>
    <n v="1"/>
    <n v="1"/>
  </r>
  <r>
    <s v="4ec9f6c"/>
    <s v="Rob"/>
    <x v="260"/>
    <m/>
    <m/>
    <m/>
    <n v="0"/>
  </r>
  <r>
    <s v="51c3a7d"/>
    <s v="Lei Gao"/>
    <x v="261"/>
    <m/>
    <m/>
    <m/>
    <n v="0"/>
  </r>
  <r>
    <s v="a76d91d"/>
    <s v="Roshan"/>
    <x v="262"/>
    <m/>
    <m/>
    <n v="1"/>
    <n v="1"/>
  </r>
  <r>
    <s v="1e95071"/>
    <s v="Roshan"/>
    <x v="263"/>
    <m/>
    <m/>
    <n v="1"/>
    <n v="1"/>
  </r>
  <r>
    <s v="1e95071"/>
    <s v="Roshan Sumbaly"/>
    <x v="263"/>
    <m/>
    <m/>
    <n v="1"/>
    <n v="1"/>
  </r>
  <r>
    <s v="6e128c0"/>
    <s v="Roshan"/>
    <x v="264"/>
    <m/>
    <m/>
    <n v="1"/>
    <n v="1"/>
  </r>
  <r>
    <s v="8fea168"/>
    <s v="Roshan"/>
    <x v="265"/>
    <m/>
    <m/>
    <n v="1"/>
    <n v="1"/>
  </r>
  <r>
    <s v="4bc49d8"/>
    <s v="Roshan"/>
    <x v="266"/>
    <m/>
    <m/>
    <n v="1"/>
    <n v="1"/>
  </r>
  <r>
    <s v="475b823"/>
    <s v="Roshan Sumbaly"/>
    <x v="267"/>
    <m/>
    <m/>
    <n v="1"/>
    <n v="1"/>
  </r>
  <r>
    <s v="475b823"/>
    <s v="Roshan"/>
    <x v="267"/>
    <n v="1"/>
    <m/>
    <n v="1"/>
    <n v="2"/>
  </r>
  <r>
    <s v="d327272"/>
    <s v="Alex Feinberg"/>
    <x v="268"/>
    <m/>
    <m/>
    <m/>
    <n v="0"/>
  </r>
  <r>
    <s v="b452a8c"/>
    <s v="Roshan"/>
    <x v="269"/>
    <m/>
    <m/>
    <m/>
    <n v="0"/>
  </r>
  <r>
    <s v="63153cd"/>
    <s v="Roshan Sumbaly"/>
    <x v="270"/>
    <m/>
    <m/>
    <m/>
    <n v="0"/>
  </r>
  <r>
    <s v="5df0a72"/>
    <s v="Roshan"/>
    <x v="271"/>
    <m/>
    <m/>
    <n v="1"/>
    <n v="1"/>
  </r>
  <r>
    <s v="7cb8624"/>
    <s v="Roshan"/>
    <x v="272"/>
    <m/>
    <m/>
    <n v="1"/>
    <n v="1"/>
  </r>
  <r>
    <s v="40031f9"/>
    <s v="Lei Gao"/>
    <x v="273"/>
    <m/>
    <m/>
    <n v="1"/>
    <n v="1"/>
  </r>
  <r>
    <s v="dbdf05c"/>
    <s v="Kirk"/>
    <x v="274"/>
    <m/>
    <m/>
    <m/>
    <n v="0"/>
  </r>
  <r>
    <s v="aa4d73d"/>
    <s v="Alex Feinberg"/>
    <x v="275"/>
    <m/>
    <m/>
    <m/>
    <n v="0"/>
  </r>
  <r>
    <s v="ea2f292"/>
    <s v="Alex Feinberg"/>
    <x v="276"/>
    <m/>
    <m/>
    <m/>
    <n v="0"/>
  </r>
  <r>
    <s v="50c043c"/>
    <s v="Lei Gao"/>
    <x v="277"/>
    <m/>
    <m/>
    <m/>
    <n v="0"/>
  </r>
  <r>
    <s v="207b94a"/>
    <s v="Lei Gao"/>
    <x v="278"/>
    <n v="1"/>
    <m/>
    <n v="1"/>
    <n v="2"/>
  </r>
  <r>
    <s v="8359fc4"/>
    <s v="Roshan Sumbaly"/>
    <x v="279"/>
    <m/>
    <m/>
    <m/>
    <n v="0"/>
  </r>
  <r>
    <s v="e8ecc7a"/>
    <s v="Alejandro Crosa"/>
    <x v="280"/>
    <m/>
    <m/>
    <m/>
    <n v="0"/>
  </r>
  <r>
    <s v="946e042"/>
    <s v="Roshan"/>
    <x v="281"/>
    <m/>
    <m/>
    <m/>
    <n v="0"/>
  </r>
  <r>
    <s v="e52f491"/>
    <s v="Roshan Sumbaly"/>
    <x v="282"/>
    <m/>
    <m/>
    <m/>
    <n v="0"/>
  </r>
  <r>
    <s v="f2e82d4"/>
    <s v="Lei Gao"/>
    <x v="283"/>
    <m/>
    <m/>
    <n v="1"/>
    <n v="1"/>
  </r>
  <r>
    <s v="b8d8a0d"/>
    <s v="Lei Gao"/>
    <x v="284"/>
    <m/>
    <m/>
    <n v="1"/>
    <n v="1"/>
  </r>
  <r>
    <s v="8e62003"/>
    <s v="David Zhang"/>
    <x v="285"/>
    <n v="1"/>
    <m/>
    <m/>
    <n v="1"/>
  </r>
  <r>
    <s v="c131595"/>
    <s v="Roshan Sumbaly"/>
    <x v="286"/>
    <m/>
    <m/>
    <n v="1"/>
    <n v="1"/>
  </r>
  <r>
    <s v="7376cc6"/>
    <s v="Lei Gao"/>
    <x v="287"/>
    <m/>
    <m/>
    <n v="1"/>
    <n v="1"/>
  </r>
  <r>
    <s v="d8f6c90"/>
    <s v="Roshan"/>
    <x v="288"/>
    <m/>
    <m/>
    <n v="1"/>
    <n v="1"/>
  </r>
  <r>
    <s v="de9ffd0"/>
    <s v="Roshan"/>
    <x v="289"/>
    <m/>
    <m/>
    <m/>
    <n v="0"/>
  </r>
  <r>
    <s v="50c3abb"/>
    <s v="Lei Gao"/>
    <x v="290"/>
    <n v="1"/>
    <m/>
    <m/>
    <n v="1"/>
  </r>
  <r>
    <s v="c3b8777"/>
    <s v="Kirk"/>
    <x v="291"/>
    <n v="1"/>
    <m/>
    <m/>
    <n v="1"/>
  </r>
  <r>
    <s v="1ce9886"/>
    <s v="Roshan"/>
    <x v="292"/>
    <m/>
    <m/>
    <n v="1"/>
    <n v="1"/>
  </r>
  <r>
    <s v="1ce9886"/>
    <s v="Roshan"/>
    <x v="292"/>
    <m/>
    <m/>
    <m/>
    <n v="0"/>
  </r>
  <r>
    <s v="2ac361e"/>
    <s v="Roshan Sumbaly"/>
    <x v="293"/>
    <n v="1"/>
    <m/>
    <m/>
    <n v="1"/>
  </r>
  <r>
    <s v="2ac361e"/>
    <s v="Roshan Sumbaly"/>
    <x v="293"/>
    <m/>
    <m/>
    <m/>
    <n v="0"/>
  </r>
  <r>
    <s v="86293a3"/>
    <s v="Kirk"/>
    <x v="294"/>
    <m/>
    <m/>
    <m/>
    <n v="0"/>
  </r>
  <r>
    <s v="f5628c4"/>
    <s v="Kirk"/>
    <x v="295"/>
    <m/>
    <m/>
    <n v="1"/>
    <n v="1"/>
  </r>
  <r>
    <s v="57121fa"/>
    <s v="Roshan"/>
    <x v="296"/>
    <m/>
    <m/>
    <m/>
    <n v="0"/>
  </r>
  <r>
    <s v="57121fa"/>
    <s v="Roshan"/>
    <x v="296"/>
    <m/>
    <m/>
    <m/>
    <n v="0"/>
  </r>
  <r>
    <s v="25e2982"/>
    <s v="Roshan Sumbaly"/>
    <x v="297"/>
    <m/>
    <m/>
    <m/>
    <n v="0"/>
  </r>
  <r>
    <s v="611ddeb"/>
    <s v="Roshan"/>
    <x v="298"/>
    <m/>
    <m/>
    <m/>
    <n v="0"/>
  </r>
  <r>
    <s v="b2be54f"/>
    <s v="Roshan Sumbaly"/>
    <x v="299"/>
    <m/>
    <m/>
    <m/>
    <n v="0"/>
  </r>
  <r>
    <s v="8a9376a"/>
    <s v="Roshan Sumbaly"/>
    <x v="300"/>
    <m/>
    <m/>
    <n v="1"/>
    <n v="1"/>
  </r>
  <r>
    <s v="1bf538c"/>
    <s v="Chinmay Soman"/>
    <x v="301"/>
    <m/>
    <m/>
    <n v="1"/>
    <n v="1"/>
  </r>
  <r>
    <s v="6388c94"/>
    <s v="Alejandro Crosa"/>
    <x v="302"/>
    <m/>
    <m/>
    <n v="1"/>
    <n v="1"/>
  </r>
  <r>
    <s v="e491023"/>
    <s v="Alex Feinberg"/>
    <x v="303"/>
    <n v="1"/>
    <m/>
    <m/>
    <n v="1"/>
  </r>
  <r>
    <s v="9894f41"/>
    <s v="Lei Gao"/>
    <x v="304"/>
    <m/>
    <m/>
    <m/>
    <n v="0"/>
  </r>
  <r>
    <s v="a3f8195"/>
    <s v="Lei Gao"/>
    <x v="305"/>
    <m/>
    <m/>
    <n v="1"/>
    <n v="1"/>
  </r>
  <r>
    <s v="74e0d94"/>
    <s v="Lei Gao"/>
    <x v="306"/>
    <n v="1"/>
    <m/>
    <m/>
    <n v="1"/>
  </r>
  <r>
    <s v="0ee9c95"/>
    <s v="Kirk"/>
    <x v="307"/>
    <m/>
    <m/>
    <m/>
    <n v="0"/>
  </r>
  <r>
    <s v="1c3ccf5"/>
    <s v="Alex Feinberg"/>
    <x v="308"/>
    <m/>
    <m/>
    <m/>
    <n v="0"/>
  </r>
  <r>
    <s v="a94de0b"/>
    <s v="Chinmay Soman"/>
    <x v="309"/>
    <m/>
    <m/>
    <m/>
    <n v="0"/>
  </r>
  <r>
    <s v="d2687eb"/>
    <s v="Chinmay"/>
    <x v="310"/>
    <m/>
    <m/>
    <m/>
    <n v="0"/>
  </r>
  <r>
    <s v="d2687eb"/>
    <s v="Chinmay Soman"/>
    <x v="310"/>
    <m/>
    <m/>
    <m/>
    <n v="0"/>
  </r>
  <r>
    <s v="e03c989"/>
    <s v="Kirk"/>
    <x v="311"/>
    <m/>
    <m/>
    <n v="1"/>
    <n v="1"/>
  </r>
  <r>
    <s v="4d20385"/>
    <s v="Lei Gao"/>
    <x v="312"/>
    <m/>
    <m/>
    <m/>
    <n v="0"/>
  </r>
  <r>
    <s v="50f243f"/>
    <s v="Kirk"/>
    <x v="313"/>
    <m/>
    <m/>
    <m/>
    <n v="0"/>
  </r>
  <r>
    <s v="70fcfd8"/>
    <s v="Chinmay"/>
    <x v="314"/>
    <m/>
    <m/>
    <m/>
    <n v="0"/>
  </r>
  <r>
    <s v="67e2bcf"/>
    <s v="Alex Feinberg"/>
    <x v="315"/>
    <m/>
    <m/>
    <m/>
    <n v="0"/>
  </r>
  <r>
    <s v="8b135ab"/>
    <s v="Alex Feinberg"/>
    <x v="316"/>
    <m/>
    <m/>
    <m/>
    <n v="0"/>
  </r>
  <r>
    <s v="0f8ab45"/>
    <s v="Rob"/>
    <x v="317"/>
    <m/>
    <m/>
    <m/>
    <n v="0"/>
  </r>
  <r>
    <s v="0f8ab45"/>
    <s v="Rob"/>
    <x v="317"/>
    <m/>
    <m/>
    <n v="1"/>
    <n v="1"/>
  </r>
  <r>
    <s v="c856bb0"/>
    <s v="Rob"/>
    <x v="318"/>
    <m/>
    <m/>
    <m/>
    <n v="0"/>
  </r>
  <r>
    <s v="c856bb0"/>
    <s v="Rob"/>
    <x v="318"/>
    <m/>
    <m/>
    <m/>
    <n v="0"/>
  </r>
  <r>
    <s v="02342be"/>
    <s v="Rob"/>
    <x v="319"/>
    <m/>
    <m/>
    <n v="1"/>
    <n v="1"/>
  </r>
  <r>
    <s v="3a369d9"/>
    <s v="Rob"/>
    <x v="320"/>
    <m/>
    <m/>
    <m/>
    <n v="0"/>
  </r>
  <r>
    <s v="2633ab4"/>
    <s v="Vinoth Chandar"/>
    <x v="321"/>
    <m/>
    <m/>
    <n v="1"/>
    <n v="1"/>
  </r>
  <r>
    <s v="914eac0"/>
    <s v="Chinmay Soman"/>
    <x v="322"/>
    <m/>
    <m/>
    <m/>
    <n v="0"/>
  </r>
  <r>
    <s v="acd8a64"/>
    <s v="Karthik Kumar"/>
    <x v="323"/>
    <m/>
    <m/>
    <m/>
    <n v="0"/>
  </r>
  <r>
    <s v="fe10ef0"/>
    <s v="Karthik Kumar"/>
    <x v="324"/>
    <m/>
    <m/>
    <m/>
    <n v="0"/>
  </r>
  <r>
    <s v="fc1f066"/>
    <s v="Karthik Kumar"/>
    <x v="325"/>
    <m/>
    <m/>
    <n v="1"/>
    <n v="1"/>
  </r>
  <r>
    <s v="cd005df"/>
    <s v="Karthik"/>
    <x v="326"/>
    <n v="1"/>
    <m/>
    <n v="1"/>
    <n v="2"/>
  </r>
  <r>
    <s v="390f9a5"/>
    <s v="Karthik Kumar"/>
    <x v="327"/>
    <m/>
    <m/>
    <n v="1"/>
    <n v="1"/>
  </r>
  <r>
    <s v="d2694cf"/>
    <s v="Robert Butler"/>
    <x v="328"/>
    <m/>
    <m/>
    <m/>
    <n v="0"/>
  </r>
  <r>
    <s v="aee112d"/>
    <s v="Alex Feinberg"/>
    <x v="329"/>
    <n v="1"/>
    <m/>
    <n v="1"/>
    <n v="2"/>
  </r>
  <r>
    <s v="aee112d"/>
    <s v="Alex Feinberg"/>
    <x v="329"/>
    <m/>
    <m/>
    <m/>
    <n v="0"/>
  </r>
  <r>
    <s v="608ad06"/>
    <s v="Alex Feinberg"/>
    <x v="330"/>
    <m/>
    <m/>
    <n v="1"/>
    <n v="1"/>
  </r>
  <r>
    <s v="e64bcd8"/>
    <s v="Vinoth Chandar"/>
    <x v="331"/>
    <m/>
    <m/>
    <m/>
    <n v="0"/>
  </r>
  <r>
    <s v="e5e5a2e"/>
    <s v="Alex Feinberg"/>
    <x v="332"/>
    <m/>
    <m/>
    <n v="1"/>
    <n v="1"/>
  </r>
  <r>
    <s v="9f69898"/>
    <s v="Chinmay"/>
    <x v="333"/>
    <n v="1"/>
    <n v="1"/>
    <m/>
    <n v="2"/>
  </r>
  <r>
    <s v="af20132"/>
    <s v="Chinmay"/>
    <x v="334"/>
    <m/>
    <m/>
    <m/>
    <n v="0"/>
  </r>
  <r>
    <s v="fe1b415"/>
    <s v="Chinmay"/>
    <x v="335"/>
    <m/>
    <m/>
    <m/>
    <n v="0"/>
  </r>
  <r>
    <s v="ed45d3d"/>
    <s v="Chinmay"/>
    <x v="336"/>
    <m/>
    <m/>
    <m/>
    <n v="0"/>
  </r>
  <r>
    <s v="311788b"/>
    <s v="Alex Feinberg"/>
    <x v="337"/>
    <m/>
    <m/>
    <m/>
    <n v="0"/>
  </r>
  <r>
    <s v="ea2c4f0"/>
    <s v="Chinmay Soman"/>
    <x v="338"/>
    <m/>
    <m/>
    <m/>
    <n v="0"/>
  </r>
  <r>
    <s v="ea2c4f0"/>
    <s v="Chinmay Soman"/>
    <x v="338"/>
    <m/>
    <m/>
    <n v="1"/>
    <n v="1"/>
  </r>
  <r>
    <s v="d2fae73"/>
    <s v="Chinmay Soman"/>
    <x v="339"/>
    <m/>
    <n v="1"/>
    <m/>
    <n v="1"/>
  </r>
  <r>
    <s v="3481e4c"/>
    <s v="Vinoth Chandar"/>
    <x v="340"/>
    <m/>
    <m/>
    <m/>
    <n v="0"/>
  </r>
  <r>
    <s v="4957e95"/>
    <s v="Chinmay Soman"/>
    <x v="341"/>
    <m/>
    <m/>
    <m/>
    <n v="0"/>
  </r>
  <r>
    <s v="1f057d7"/>
    <s v="Lei Gao"/>
    <x v="342"/>
    <m/>
    <m/>
    <m/>
    <n v="0"/>
  </r>
  <r>
    <s v="9b93e92"/>
    <s v="Vinoth Chandar"/>
    <x v="343"/>
    <m/>
    <m/>
    <m/>
    <n v="0"/>
  </r>
  <r>
    <s v="c8ab434"/>
    <s v="Lei Gao"/>
    <x v="344"/>
    <n v="1"/>
    <m/>
    <m/>
    <n v="1"/>
  </r>
  <r>
    <s v="056d93c"/>
    <s v="Chinmay"/>
    <x v="345"/>
    <m/>
    <m/>
    <m/>
    <n v="0"/>
  </r>
  <r>
    <s v="1d2bca8"/>
    <s v="Martin Kleppmann"/>
    <x v="346"/>
    <m/>
    <m/>
    <m/>
    <n v="0"/>
  </r>
  <r>
    <s v="e7c7b79"/>
    <s v="icefury71"/>
    <x v="347"/>
    <m/>
    <m/>
    <m/>
    <n v="0"/>
  </r>
  <r>
    <s v="c419628"/>
    <s v="Zhongjie Wu"/>
    <x v="348"/>
    <m/>
    <m/>
    <m/>
    <n v="0"/>
  </r>
  <r>
    <s v="d37df6b"/>
    <s v="Zhongjie Wu"/>
    <x v="349"/>
    <m/>
    <m/>
    <m/>
    <n v="0"/>
  </r>
  <r>
    <s v="b3e7212"/>
    <s v="Rob"/>
    <x v="350"/>
    <m/>
    <m/>
    <n v="1"/>
    <n v="1"/>
  </r>
  <r>
    <s v="8b0a7c2"/>
    <s v="Zhongjie Wu"/>
    <x v="351"/>
    <m/>
    <m/>
    <n v="1"/>
    <n v="1"/>
  </r>
  <r>
    <s v="bcf42c7"/>
    <s v="Rob"/>
    <x v="351"/>
    <m/>
    <m/>
    <m/>
    <n v="0"/>
  </r>
  <r>
    <s v="f23e641"/>
    <s v="Zhongjie Wu"/>
    <x v="352"/>
    <m/>
    <m/>
    <n v="1"/>
    <n v="1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count="88">
  <r>
    <s v="969df63"/>
    <x v="0"/>
    <x v="0"/>
    <m/>
    <m/>
    <m/>
    <n v="0"/>
  </r>
  <r>
    <s v="4e7a187"/>
    <x v="1"/>
    <x v="1"/>
    <m/>
    <m/>
    <m/>
    <n v="0"/>
  </r>
  <r>
    <s v="3226a1c"/>
    <x v="2"/>
    <x v="2"/>
    <m/>
    <m/>
    <m/>
    <n v="0"/>
  </r>
  <r>
    <n v="9807286"/>
    <x v="0"/>
    <x v="3"/>
    <m/>
    <m/>
    <m/>
    <n v="0"/>
  </r>
  <r>
    <s v="bc104ce"/>
    <x v="2"/>
    <x v="4"/>
    <m/>
    <m/>
    <m/>
    <n v="0"/>
  </r>
  <r>
    <s v="862e1c7"/>
    <x v="0"/>
    <x v="5"/>
    <m/>
    <m/>
    <m/>
    <n v="0"/>
  </r>
  <r>
    <s v="393357b"/>
    <x v="0"/>
    <x v="6"/>
    <m/>
    <m/>
    <m/>
    <n v="0"/>
  </r>
  <r>
    <s v="e455ceb"/>
    <x v="0"/>
    <x v="7"/>
    <m/>
    <m/>
    <m/>
    <n v="0"/>
  </r>
  <r>
    <s v="d0e6831"/>
    <x v="2"/>
    <x v="8"/>
    <m/>
    <m/>
    <m/>
    <n v="0"/>
  </r>
  <r>
    <s v="896ec13"/>
    <x v="0"/>
    <x v="9"/>
    <m/>
    <m/>
    <n v="1"/>
    <n v="1"/>
  </r>
  <r>
    <s v="a3094ef"/>
    <x v="0"/>
    <x v="10"/>
    <n v="1"/>
    <m/>
    <m/>
    <n v="1"/>
  </r>
  <r>
    <s v="20e1ef9"/>
    <x v="2"/>
    <x v="11"/>
    <m/>
    <m/>
    <n v="1"/>
    <n v="1"/>
  </r>
  <r>
    <s v="0876c31"/>
    <x v="0"/>
    <x v="12"/>
    <m/>
    <n v="1"/>
    <m/>
    <n v="1"/>
  </r>
  <r>
    <n v="2529452"/>
    <x v="0"/>
    <x v="13"/>
    <n v="1"/>
    <m/>
    <m/>
    <n v="1"/>
  </r>
  <r>
    <s v="baae324"/>
    <x v="0"/>
    <x v="14"/>
    <m/>
    <n v="1"/>
    <m/>
    <n v="1"/>
  </r>
  <r>
    <s v="51359f3"/>
    <x v="0"/>
    <x v="15"/>
    <m/>
    <m/>
    <m/>
    <n v="0"/>
  </r>
  <r>
    <s v="df4692c"/>
    <x v="3"/>
    <x v="16"/>
    <m/>
    <n v="1"/>
    <m/>
    <n v="1"/>
  </r>
  <r>
    <s v="33272f3"/>
    <x v="0"/>
    <x v="17"/>
    <m/>
    <m/>
    <m/>
    <n v="0"/>
  </r>
  <r>
    <s v="238f1c9"/>
    <x v="0"/>
    <x v="18"/>
    <n v="1"/>
    <n v="1"/>
    <m/>
    <n v="2"/>
  </r>
  <r>
    <s v="e70fa8c"/>
    <x v="0"/>
    <x v="19"/>
    <m/>
    <m/>
    <m/>
    <n v="0"/>
  </r>
  <r>
    <s v="d4e3d3d"/>
    <x v="2"/>
    <x v="20"/>
    <n v="1"/>
    <m/>
    <m/>
    <n v="1"/>
  </r>
  <r>
    <s v="45a62dd"/>
    <x v="2"/>
    <x v="21"/>
    <m/>
    <m/>
    <n v="1"/>
    <n v="1"/>
  </r>
  <r>
    <s v="bcbc1c8"/>
    <x v="0"/>
    <x v="22"/>
    <m/>
    <m/>
    <m/>
    <n v="0"/>
  </r>
  <r>
    <s v="5d245da"/>
    <x v="2"/>
    <x v="23"/>
    <m/>
    <m/>
    <m/>
    <n v="0"/>
  </r>
  <r>
    <s v="b34a753"/>
    <x v="2"/>
    <x v="24"/>
    <m/>
    <m/>
    <n v="1"/>
    <n v="1"/>
  </r>
  <r>
    <s v="df6a418"/>
    <x v="2"/>
    <x v="25"/>
    <m/>
    <m/>
    <m/>
    <n v="0"/>
  </r>
  <r>
    <s v="980d0ca"/>
    <x v="2"/>
    <x v="26"/>
    <n v="1"/>
    <m/>
    <m/>
    <n v="1"/>
  </r>
  <r>
    <s v="3651b49"/>
    <x v="2"/>
    <x v="27"/>
    <m/>
    <m/>
    <m/>
    <n v="0"/>
  </r>
  <r>
    <s v="62b5817"/>
    <x v="2"/>
    <x v="28"/>
    <m/>
    <m/>
    <m/>
    <n v="0"/>
  </r>
  <r>
    <s v="b5b3a62"/>
    <x v="2"/>
    <x v="29"/>
    <n v="1"/>
    <m/>
    <m/>
    <n v="1"/>
  </r>
  <r>
    <s v="8bf19c2"/>
    <x v="2"/>
    <x v="30"/>
    <m/>
    <m/>
    <m/>
    <n v="0"/>
  </r>
  <r>
    <s v="39ec53e"/>
    <x v="0"/>
    <x v="31"/>
    <m/>
    <m/>
    <m/>
    <n v="0"/>
  </r>
  <r>
    <s v="4762dd3"/>
    <x v="0"/>
    <x v="32"/>
    <m/>
    <m/>
    <m/>
    <n v="0"/>
  </r>
  <r>
    <n v="3559027"/>
    <x v="0"/>
    <x v="33"/>
    <m/>
    <m/>
    <m/>
    <n v="0"/>
  </r>
  <r>
    <s v="61cc199"/>
    <x v="2"/>
    <x v="34"/>
    <m/>
    <m/>
    <m/>
    <n v="0"/>
  </r>
  <r>
    <s v="93e731d"/>
    <x v="2"/>
    <x v="35"/>
    <m/>
    <m/>
    <m/>
    <n v="0"/>
  </r>
  <r>
    <s v="a8d3d44"/>
    <x v="0"/>
    <x v="36"/>
    <m/>
    <m/>
    <m/>
    <n v="0"/>
  </r>
  <r>
    <s v="66275c1"/>
    <x v="4"/>
    <x v="37"/>
    <m/>
    <m/>
    <m/>
    <n v="0"/>
  </r>
  <r>
    <s v="3343cc8"/>
    <x v="2"/>
    <x v="38"/>
    <m/>
    <m/>
    <n v="1"/>
    <n v="1"/>
  </r>
  <r>
    <s v="ba71589"/>
    <x v="2"/>
    <x v="39"/>
    <m/>
    <m/>
    <n v="1"/>
    <n v="1"/>
  </r>
  <r>
    <s v="156560d"/>
    <x v="2"/>
    <x v="40"/>
    <m/>
    <m/>
    <m/>
    <n v="0"/>
  </r>
  <r>
    <s v="c1b8943"/>
    <x v="0"/>
    <x v="41"/>
    <n v="1"/>
    <m/>
    <m/>
    <n v="1"/>
  </r>
  <r>
    <s v="3f3ce81"/>
    <x v="0"/>
    <x v="42"/>
    <m/>
    <m/>
    <m/>
    <n v="0"/>
  </r>
  <r>
    <s v="4052d16"/>
    <x v="5"/>
    <x v="43"/>
    <m/>
    <m/>
    <m/>
    <n v="0"/>
  </r>
  <r>
    <s v="668da62"/>
    <x v="2"/>
    <x v="44"/>
    <m/>
    <m/>
    <m/>
    <n v="0"/>
  </r>
  <r>
    <n v="6584476"/>
    <x v="5"/>
    <x v="45"/>
    <m/>
    <m/>
    <m/>
    <n v="0"/>
  </r>
  <r>
    <s v="6d32c6c"/>
    <x v="2"/>
    <x v="46"/>
    <m/>
    <m/>
    <n v="1"/>
    <n v="1"/>
  </r>
  <r>
    <s v="469cd6b"/>
    <x v="6"/>
    <x v="47"/>
    <m/>
    <m/>
    <n v="1"/>
    <n v="1"/>
  </r>
  <r>
    <s v="35c70ed"/>
    <x v="0"/>
    <x v="48"/>
    <n v="1"/>
    <m/>
    <m/>
    <n v="1"/>
  </r>
  <r>
    <s v="35c70ed"/>
    <x v="2"/>
    <x v="48"/>
    <m/>
    <m/>
    <m/>
    <n v="0"/>
  </r>
  <r>
    <s v="aaaa759"/>
    <x v="2"/>
    <x v="49"/>
    <m/>
    <m/>
    <m/>
    <n v="0"/>
  </r>
  <r>
    <s v="aaaa759"/>
    <x v="0"/>
    <x v="49"/>
    <n v="1"/>
    <m/>
    <m/>
    <n v="1"/>
  </r>
  <r>
    <s v="7918fad"/>
    <x v="0"/>
    <x v="50"/>
    <n v="1"/>
    <m/>
    <m/>
    <n v="1"/>
  </r>
  <r>
    <s v="efd8ad7"/>
    <x v="2"/>
    <x v="51"/>
    <n v="1"/>
    <m/>
    <m/>
    <n v="1"/>
  </r>
  <r>
    <s v="a942da6"/>
    <x v="0"/>
    <x v="52"/>
    <n v="1"/>
    <m/>
    <m/>
    <n v="1"/>
  </r>
  <r>
    <s v="9bfb89e"/>
    <x v="0"/>
    <x v="53"/>
    <m/>
    <m/>
    <n v="1"/>
    <n v="1"/>
  </r>
  <r>
    <s v="22ca072"/>
    <x v="0"/>
    <x v="54"/>
    <m/>
    <n v="1"/>
    <m/>
    <n v="1"/>
  </r>
  <r>
    <s v="45d0640"/>
    <x v="0"/>
    <x v="55"/>
    <m/>
    <n v="1"/>
    <m/>
    <n v="1"/>
  </r>
  <r>
    <s v="9282e47"/>
    <x v="0"/>
    <x v="56"/>
    <m/>
    <m/>
    <m/>
    <n v="0"/>
  </r>
  <r>
    <s v="adf6484"/>
    <x v="2"/>
    <x v="57"/>
    <n v="1"/>
    <m/>
    <m/>
    <n v="1"/>
  </r>
  <r>
    <s v="695f977"/>
    <x v="2"/>
    <x v="58"/>
    <m/>
    <m/>
    <m/>
    <n v="0"/>
  </r>
  <r>
    <s v="9771cf6"/>
    <x v="0"/>
    <x v="59"/>
    <m/>
    <m/>
    <m/>
    <n v="0"/>
  </r>
  <r>
    <s v="73866f6"/>
    <x v="5"/>
    <x v="60"/>
    <m/>
    <m/>
    <m/>
    <n v="0"/>
  </r>
  <r>
    <s v="43426c7"/>
    <x v="0"/>
    <x v="61"/>
    <m/>
    <m/>
    <m/>
    <n v="0"/>
  </r>
  <r>
    <s v="ca93795"/>
    <x v="0"/>
    <x v="62"/>
    <m/>
    <m/>
    <m/>
    <n v="0"/>
  </r>
  <r>
    <s v="066cd0a"/>
    <x v="0"/>
    <x v="63"/>
    <m/>
    <m/>
    <m/>
    <n v="0"/>
  </r>
  <r>
    <s v="aa91046"/>
    <x v="0"/>
    <x v="64"/>
    <m/>
    <n v="1"/>
    <m/>
    <n v="1"/>
  </r>
  <r>
    <s v="edbddf2"/>
    <x v="0"/>
    <x v="65"/>
    <m/>
    <m/>
    <n v="1"/>
    <n v="1"/>
  </r>
  <r>
    <s v="dc511b6"/>
    <x v="0"/>
    <x v="66"/>
    <m/>
    <n v="1"/>
    <m/>
    <n v="1"/>
  </r>
  <r>
    <s v="b568f93"/>
    <x v="0"/>
    <x v="67"/>
    <m/>
    <m/>
    <m/>
    <n v="0"/>
  </r>
  <r>
    <s v="2f66e58"/>
    <x v="0"/>
    <x v="68"/>
    <m/>
    <m/>
    <m/>
    <n v="0"/>
  </r>
  <r>
    <s v="b74d323"/>
    <x v="0"/>
    <x v="69"/>
    <m/>
    <m/>
    <m/>
    <n v="0"/>
  </r>
  <r>
    <s v="58aeabf"/>
    <x v="0"/>
    <x v="70"/>
    <n v="1"/>
    <n v="1"/>
    <m/>
    <n v="2"/>
  </r>
  <r>
    <s v="345cdc2"/>
    <x v="0"/>
    <x v="71"/>
    <m/>
    <m/>
    <m/>
    <n v="0"/>
  </r>
  <r>
    <s v="7db6aa8"/>
    <x v="0"/>
    <x v="72"/>
    <m/>
    <m/>
    <m/>
    <n v="0"/>
  </r>
  <r>
    <s v="28a0a27"/>
    <x v="2"/>
    <x v="73"/>
    <n v="1"/>
    <m/>
    <m/>
    <n v="1"/>
  </r>
  <r>
    <s v="cfc87d2"/>
    <x v="5"/>
    <x v="74"/>
    <m/>
    <m/>
    <m/>
    <m/>
  </r>
  <r>
    <s v="4b38429"/>
    <x v="0"/>
    <x v="75"/>
    <n v="1"/>
    <m/>
    <n v="1"/>
    <n v="2"/>
  </r>
  <r>
    <s v="182572b"/>
    <x v="2"/>
    <x v="76"/>
    <m/>
    <m/>
    <m/>
    <n v="0"/>
  </r>
  <r>
    <s v="d64c8e5"/>
    <x v="2"/>
    <x v="77"/>
    <m/>
    <m/>
    <m/>
    <n v="0"/>
  </r>
  <r>
    <s v="2708e40"/>
    <x v="0"/>
    <x v="78"/>
    <m/>
    <m/>
    <m/>
    <n v="0"/>
  </r>
  <r>
    <s v="fbe2047"/>
    <x v="2"/>
    <x v="79"/>
    <n v="1"/>
    <m/>
    <m/>
    <n v="1"/>
  </r>
  <r>
    <s v="365eaeb"/>
    <x v="0"/>
    <x v="80"/>
    <n v="1"/>
    <m/>
    <m/>
    <n v="1"/>
  </r>
  <r>
    <s v="d84ac47"/>
    <x v="5"/>
    <x v="81"/>
    <m/>
    <m/>
    <m/>
    <n v="0"/>
  </r>
  <r>
    <s v="1e35566"/>
    <x v="5"/>
    <x v="82"/>
    <m/>
    <m/>
    <m/>
    <n v="0"/>
  </r>
  <r>
    <s v="ac3f9eb"/>
    <x v="0"/>
    <x v="83"/>
    <m/>
    <m/>
    <m/>
    <n v="0"/>
  </r>
  <r>
    <s v="5df7182"/>
    <x v="0"/>
    <x v="84"/>
    <m/>
    <m/>
    <n v="1"/>
    <n v="1"/>
  </r>
  <r>
    <s v="39f41e6"/>
    <x v="0"/>
    <x v="85"/>
    <m/>
    <m/>
    <n v="1"/>
    <n v="1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count="505">
  <r>
    <s v="4f89f013eadafc05b24c473494800d9530308505"/>
    <x v="0"/>
    <x v="0"/>
    <n v="2"/>
    <n v="0"/>
  </r>
  <r>
    <s v="4b47fd523a35253f88cb10db5b1dc5dcc05a50e4"/>
    <x v="1"/>
    <x v="0"/>
    <n v="2"/>
    <n v="1"/>
  </r>
  <r>
    <s v="27fcc28facd27335263af73d5be7695e0841b44b"/>
    <x v="2"/>
    <x v="0"/>
    <n v="2"/>
    <n v="0"/>
  </r>
  <r>
    <s v="af9ccc42bd055f1cbb9f8eb5ad156ca95dcb19da"/>
    <x v="3"/>
    <x v="0"/>
    <n v="2"/>
    <n v="0"/>
  </r>
  <r>
    <s v="8cc55159ca935b0d982d9b27cff2ec49fe5ccbec"/>
    <x v="4"/>
    <x v="0"/>
    <n v="2"/>
    <n v="0"/>
  </r>
  <r>
    <s v="f88a9502a586b5562059e1a2364bdae10e8f9fd1"/>
    <x v="5"/>
    <x v="0"/>
    <n v="2"/>
    <n v="2"/>
  </r>
  <r>
    <s v="2308cfae793f11eb46fc5c10f7e367a24a9fb68c"/>
    <x v="6"/>
    <x v="0"/>
    <n v="2"/>
    <n v="0"/>
  </r>
  <r>
    <s v="0ed1a3581d14cbb4b86ad888e6dc8ae9776077a7"/>
    <x v="7"/>
    <x v="0"/>
    <n v="2"/>
    <n v="1"/>
  </r>
  <r>
    <s v="f092e9f0a5c5a00ac442c2b7facee082b6176e20"/>
    <x v="8"/>
    <x v="0"/>
    <n v="2"/>
    <n v="1"/>
  </r>
  <r>
    <s v="2f50f49517b20cfd1b933e4871249aa489234977"/>
    <x v="9"/>
    <x v="0"/>
    <n v="2"/>
    <n v="0"/>
  </r>
  <r>
    <s v="49a113463a92f05a3e292ad2c6120e6fe15b14b4"/>
    <x v="10"/>
    <x v="0"/>
    <n v="2"/>
    <n v="0"/>
  </r>
  <r>
    <s v="89c445367c4c856b3035d4b2fdd55eb939dd92bd"/>
    <x v="11"/>
    <x v="0"/>
    <n v="2"/>
    <n v="0"/>
  </r>
  <r>
    <s v="2e7989fb2531bdcb254d81c34765ef7cde11f5af"/>
    <x v="12"/>
    <x v="0"/>
    <n v="2"/>
    <n v="0"/>
  </r>
  <r>
    <s v="067fcb824bc1d9bb8c62ff1437e3a9a6be11a427"/>
    <x v="13"/>
    <x v="0"/>
    <n v="2"/>
    <n v="0"/>
  </r>
  <r>
    <s v="d971be137c531f2d2e02e5afd2c2da6f4ab0744e"/>
    <x v="14"/>
    <x v="0"/>
    <n v="2"/>
    <n v="1"/>
  </r>
  <r>
    <s v="768abac9b1c6c83c6f56a62fa162b52900d14905"/>
    <x v="15"/>
    <x v="0"/>
    <n v="2"/>
    <n v="2"/>
  </r>
  <r>
    <s v="142f8dcc619df011cd483e3d2586d19410717c98"/>
    <x v="16"/>
    <x v="0"/>
    <n v="2"/>
    <n v="1"/>
  </r>
  <r>
    <s v="4c93e9452b33ee159e6989753755cce7fafef88a"/>
    <x v="17"/>
    <x v="0"/>
    <n v="2"/>
    <n v="0"/>
  </r>
  <r>
    <s v="d39852bcf4b394aa3d6ab703bc2f1cc61680a6d7"/>
    <x v="18"/>
    <x v="0"/>
    <n v="2"/>
    <n v="2"/>
  </r>
  <r>
    <s v="296c06d85d71ee62a9a759d3ca5a9fa3f0c0d896"/>
    <x v="19"/>
    <x v="0"/>
    <n v="2"/>
    <n v="1"/>
  </r>
  <r>
    <s v="733954ee9e73b32c8cd707b9f6e56665b70915a2"/>
    <x v="20"/>
    <x v="0"/>
    <n v="2"/>
    <n v="0"/>
  </r>
  <r>
    <s v="90eae9b4a4a29bd666fe3ce5936ad78671cf6cba"/>
    <x v="21"/>
    <x v="0"/>
    <n v="2"/>
    <n v="1"/>
  </r>
  <r>
    <s v="e36c259af0985bbafbfc502162f6598fcc03db3f"/>
    <x v="22"/>
    <x v="0"/>
    <n v="2"/>
    <n v="0"/>
  </r>
  <r>
    <s v="8130df6995f994678c7a7e51b782ea3de04c18df"/>
    <x v="23"/>
    <x v="0"/>
    <n v="2"/>
    <n v="0"/>
  </r>
  <r>
    <s v="d13dabd672cdd8e12761b7a7be962b6cf0476eae"/>
    <x v="24"/>
    <x v="0"/>
    <n v="2"/>
    <n v="0"/>
  </r>
  <r>
    <s v="aab2e616317fdfa0ebb22c67f41ba9a7e3089bdd"/>
    <x v="25"/>
    <x v="0"/>
    <n v="2"/>
    <n v="1"/>
  </r>
  <r>
    <s v="2d2f311e5f2f9f4f10da828ac564b39418c645eb"/>
    <x v="26"/>
    <x v="0"/>
    <n v="2"/>
    <n v="0"/>
  </r>
  <r>
    <s v="8efe598df7ccf1fcb212e247d5c967cae01a5ed3"/>
    <x v="27"/>
    <x v="0"/>
    <n v="2"/>
    <n v="0"/>
  </r>
  <r>
    <s v="c662b147347f6ea9d7484e0f68cb8254101777f3"/>
    <x v="28"/>
    <x v="0"/>
    <n v="2"/>
    <n v="0"/>
  </r>
  <r>
    <s v="6051a1b214e1ac0006bba24f9eec95b7be52024b"/>
    <x v="29"/>
    <x v="0"/>
    <n v="2"/>
    <n v="0"/>
  </r>
  <r>
    <s v="8da18af2cbc6de17f5c4d86360b61babf3e1a63b"/>
    <x v="30"/>
    <x v="0"/>
    <n v="2"/>
    <n v="0"/>
  </r>
  <r>
    <s v="87450503def17e42a06e80450992f58cacef3635"/>
    <x v="31"/>
    <x v="0"/>
    <n v="2"/>
    <n v="1"/>
  </r>
  <r>
    <s v="f734de24819d8cd61a55ddc471e3eaf541b9bdff"/>
    <x v="32"/>
    <x v="0"/>
    <n v="2"/>
    <n v="1"/>
  </r>
  <r>
    <s v="5465f5dacddeb3a8a604c8ab5fab62a7649c43b6"/>
    <x v="33"/>
    <x v="0"/>
    <n v="2"/>
    <n v="0"/>
  </r>
  <r>
    <s v="817366e5900c1a008841a7ce23de8bf0a1612243"/>
    <x v="34"/>
    <x v="0"/>
    <n v="2"/>
    <n v="0"/>
  </r>
  <r>
    <s v="6cd2326083d471facdaac17ea1a959c7a9b34d3b"/>
    <x v="35"/>
    <x v="0"/>
    <n v="2"/>
    <n v="0"/>
  </r>
  <r>
    <s v="7d03f133f13b8e2751eeb5898c3bf657f4f7eef8"/>
    <x v="36"/>
    <x v="0"/>
    <n v="2"/>
    <n v="0"/>
  </r>
  <r>
    <s v="febc86d0b7e939a43ff3525cd70b440788df6b72"/>
    <x v="37"/>
    <x v="0"/>
    <n v="2"/>
    <n v="0"/>
  </r>
  <r>
    <s v="b2b36ae9e917444c954b5bf874eb61a64486ad36"/>
    <x v="38"/>
    <x v="0"/>
    <n v="2"/>
    <n v="1"/>
  </r>
  <r>
    <s v="8325b4eb1dd22c037e752d662694aa39f9f6311d"/>
    <x v="39"/>
    <x v="0"/>
    <n v="2"/>
    <n v="0"/>
  </r>
  <r>
    <s v="0dff1ddeb7bd3c175b2de7932330d252ecdd37ba"/>
    <x v="40"/>
    <x v="0"/>
    <n v="2"/>
    <n v="0"/>
  </r>
  <r>
    <s v="9f9d1c0a1ab454b41216810a43bea3bbf2142fc4"/>
    <x v="41"/>
    <x v="0"/>
    <n v="2"/>
    <n v="0"/>
  </r>
  <r>
    <s v="2637f6b6276c994991fa6b4b4bbfb72e64b75b3d"/>
    <x v="42"/>
    <x v="0"/>
    <n v="2"/>
    <n v="1"/>
  </r>
  <r>
    <s v="677f96118cf1ea2b954ccd169686facbf496363f"/>
    <x v="43"/>
    <x v="0"/>
    <n v="2"/>
    <n v="1"/>
  </r>
  <r>
    <s v="4470cb306c97151a1ea7b18f62f40b054be01ee8"/>
    <x v="44"/>
    <x v="0"/>
    <n v="2"/>
    <n v="0"/>
  </r>
  <r>
    <s v="de9209326237e56c18de34b1f2477d1721d1452b"/>
    <x v="45"/>
    <x v="0"/>
    <n v="2"/>
    <n v="0"/>
  </r>
  <r>
    <s v="f25c59ada0451d6f2e0cbf492b88928148818f34"/>
    <x v="46"/>
    <x v="0"/>
    <n v="2"/>
    <n v="0"/>
  </r>
  <r>
    <s v="a7f34c0a2cb9c05b491abb2307a898c15af42254"/>
    <x v="47"/>
    <x v="0"/>
    <n v="2"/>
    <n v="0"/>
  </r>
  <r>
    <s v="380b7269126898bce7151890b90c3fe9db7a4209"/>
    <x v="48"/>
    <x v="0"/>
    <n v="2"/>
    <n v="1"/>
  </r>
  <r>
    <s v="64b8e6e5ea1e74446ebd15ece2762fc43fda8b2c"/>
    <x v="49"/>
    <x v="0"/>
    <n v="2"/>
    <n v="0"/>
  </r>
  <r>
    <s v="373397f561e0d5af6f67085fd26f64c8b1d3aa4c"/>
    <x v="50"/>
    <x v="0"/>
    <n v="2"/>
    <n v="0"/>
  </r>
  <r>
    <s v="2f6171c19f6a343b6cbf098ecd1bcf50b3ce51c7"/>
    <x v="51"/>
    <x v="0"/>
    <n v="2"/>
    <n v="0"/>
  </r>
  <r>
    <s v="a1eee0b91f5822b5cc0af9140a1836acc86ee717"/>
    <x v="52"/>
    <x v="0"/>
    <n v="2"/>
    <n v="0"/>
  </r>
  <r>
    <s v="d8b0296978e1894eac08273f0149130c51d8a99e"/>
    <x v="53"/>
    <x v="0"/>
    <n v="2"/>
    <n v="0"/>
  </r>
  <r>
    <s v="fb8c4f025a62c335abd23f2851a228189f7abb75"/>
    <x v="54"/>
    <x v="0"/>
    <n v="2"/>
    <n v="0"/>
  </r>
  <r>
    <s v="ca22c456dcfd062456f06e6fe499936883884f8d"/>
    <x v="55"/>
    <x v="0"/>
    <n v="2"/>
    <n v="0"/>
  </r>
  <r>
    <s v="a178194fb5a9562d79b8e0bb28f7b63ddf2e78fd"/>
    <x v="56"/>
    <x v="0"/>
    <n v="2"/>
    <n v="0"/>
  </r>
  <r>
    <s v="f88e491ac85c58d96c26ba4c19c823c185bcdbc5"/>
    <x v="57"/>
    <x v="0"/>
    <n v="2"/>
    <n v="0"/>
  </r>
  <r>
    <s v="3dad9602fe622f30d9de3423447de74ea3e2fe60"/>
    <x v="58"/>
    <x v="0"/>
    <n v="2"/>
    <n v="0"/>
  </r>
  <r>
    <s v="31a76bc4cbb75ec74cf11e9d7e8a048dde9c4701"/>
    <x v="59"/>
    <x v="0"/>
    <n v="2"/>
    <n v="0"/>
  </r>
  <r>
    <s v="8e432f8f714de339aab71c6267fd07e1a16cb471"/>
    <x v="60"/>
    <x v="0"/>
    <n v="2"/>
    <n v="0"/>
  </r>
  <r>
    <s v="657c48777e044c8dd32ba9e9824c4d8f2f0016d9"/>
    <x v="61"/>
    <x v="0"/>
    <n v="2"/>
    <n v="0"/>
  </r>
  <r>
    <s v="d990fbb3f1875c59202cdeb411bff0ea9dfa16dc"/>
    <x v="62"/>
    <x v="0"/>
    <n v="2"/>
    <n v="0"/>
  </r>
  <r>
    <s v="4077b5da1c6fa9b9b38aae21f2dfe135cbb2dc94"/>
    <x v="63"/>
    <x v="0"/>
    <n v="2"/>
    <n v="1"/>
  </r>
  <r>
    <s v="758aedf885d4eee2c24ec9889e5886826af9a500"/>
    <x v="64"/>
    <x v="0"/>
    <n v="2"/>
    <n v="0"/>
  </r>
  <r>
    <s v="f8515e96fe968c84937201e122d2f66a08d59ab9"/>
    <x v="65"/>
    <x v="0"/>
    <n v="2"/>
    <n v="0"/>
  </r>
  <r>
    <s v="691f23051989f85284a7c7739478e21af4ff5716"/>
    <x v="66"/>
    <x v="0"/>
    <n v="2"/>
    <n v="1"/>
  </r>
  <r>
    <s v="f88a2ba3336714a7d03b1d7b0f5a32b3c106cffd"/>
    <x v="67"/>
    <x v="0"/>
    <n v="2"/>
    <n v="0"/>
  </r>
  <r>
    <s v="3106a80bcfb26e85c128704306d34b0c8377ae5c"/>
    <x v="68"/>
    <x v="0"/>
    <n v="2"/>
    <n v="0"/>
  </r>
  <r>
    <s v="58166dfb2b7250414a8a257f95e055907c18a4de"/>
    <x v="69"/>
    <x v="0"/>
    <n v="2"/>
    <n v="1"/>
  </r>
  <r>
    <s v="774f65539841c82208ad62b5a458d3fb38a4eff8"/>
    <x v="69"/>
    <x v="0"/>
    <n v="2"/>
    <n v="0"/>
  </r>
  <r>
    <s v="4c10efe1a9285bcc6eed193ede82c0bdd39d658a"/>
    <x v="70"/>
    <x v="0"/>
    <n v="2"/>
    <n v="1"/>
  </r>
  <r>
    <s v="dce0d2aff0a440d7405b9ba10fafa2f3fe98a27a"/>
    <x v="71"/>
    <x v="0"/>
    <n v="2"/>
    <n v="1"/>
  </r>
  <r>
    <s v="d1d8123a9bfbaac1aecd561b687ebdd8fcb147c6"/>
    <x v="72"/>
    <x v="0"/>
    <n v="2"/>
    <n v="0"/>
  </r>
  <r>
    <s v="e0879e8f75a608d73d1367d9b35b1a0845563f6c"/>
    <x v="73"/>
    <x v="0"/>
    <n v="2"/>
    <n v="0"/>
  </r>
  <r>
    <s v="997bfd16eec597ad2f0fd0f07b413d76d2b0560a"/>
    <x v="74"/>
    <x v="0"/>
    <n v="2"/>
    <n v="0"/>
  </r>
  <r>
    <s v="fa9c55884194def3a034115f4b875050dfaf6f2f"/>
    <x v="75"/>
    <x v="0"/>
    <n v="2"/>
    <n v="0"/>
  </r>
  <r>
    <s v="7ef707390d5eb8df2e0244dad1a1708cdca055e2"/>
    <x v="76"/>
    <x v="0"/>
    <n v="2"/>
    <n v="0"/>
  </r>
  <r>
    <s v="a402e97ebcc748bd53273316c0a34a5a0367bdba"/>
    <x v="77"/>
    <x v="0"/>
    <n v="2"/>
    <n v="0"/>
  </r>
  <r>
    <s v="c15378ef53bbcbaac1df11662ac4e16d28a008ea"/>
    <x v="78"/>
    <x v="0"/>
    <n v="2"/>
    <n v="0"/>
  </r>
  <r>
    <s v="24eb579d0c7710d0360c13d032386475938135ec"/>
    <x v="79"/>
    <x v="0"/>
    <n v="2"/>
    <n v="1"/>
  </r>
  <r>
    <s v="b7a6c5d5d18ac4a00781919788e5c57360f05529"/>
    <x v="79"/>
    <x v="0"/>
    <n v="2"/>
    <n v="1"/>
  </r>
  <r>
    <s v="88969544e152427e5503d1f38d1702816681c679"/>
    <x v="80"/>
    <x v="0"/>
    <n v="2"/>
    <n v="0"/>
  </r>
  <r>
    <s v="6e8e2d5d1ade48aa44a6a4be5706eb4cff78279d"/>
    <x v="81"/>
    <x v="0"/>
    <n v="2"/>
    <n v="1"/>
  </r>
  <r>
    <s v="9a62931614c2e10f3c828113d4fc48050f06880c"/>
    <x v="82"/>
    <x v="0"/>
    <n v="2"/>
    <n v="1"/>
  </r>
  <r>
    <s v="f757e5ee3579037a5165327f56a563a039bad560"/>
    <x v="83"/>
    <x v="0"/>
    <n v="2"/>
    <n v="0"/>
  </r>
  <r>
    <s v="089499ff27256b6fe1ba2297209c312a206862f2"/>
    <x v="84"/>
    <x v="0"/>
    <n v="2"/>
    <n v="0"/>
  </r>
  <r>
    <s v="709c55d5de1cd8de0b69322a056e3307019b12cb"/>
    <x v="85"/>
    <x v="0"/>
    <n v="2"/>
    <n v="1"/>
  </r>
  <r>
    <s v="bd9250dbef0dd53ff7433bc02d806b433426597f"/>
    <x v="86"/>
    <x v="0"/>
    <n v="2"/>
    <n v="1"/>
  </r>
  <r>
    <s v="63c356b19040e5a5947b8766d3571e4179dee9be"/>
    <x v="87"/>
    <x v="0"/>
    <n v="2"/>
    <n v="1"/>
  </r>
  <r>
    <s v="7219e3af4b8e1f464cb034546cdb16059f1ec4d3"/>
    <x v="88"/>
    <x v="0"/>
    <n v="2"/>
    <n v="0"/>
  </r>
  <r>
    <s v="b7304fa827c5e0ab123403a9abc3b70c45ea5699"/>
    <x v="89"/>
    <x v="0"/>
    <n v="2"/>
    <n v="0"/>
  </r>
  <r>
    <s v="4c7d65cb9d5bd8c68e8f666e377f61b87479f0a7"/>
    <x v="90"/>
    <x v="0"/>
    <n v="2"/>
    <n v="0"/>
  </r>
  <r>
    <s v="f9349524fe5bc643483088de266c7875e3b2e1a0"/>
    <x v="91"/>
    <x v="0"/>
    <n v="2"/>
    <n v="0"/>
  </r>
  <r>
    <s v="5e63aa5ce83576e2111d85db5338b1bf04b9801e"/>
    <x v="92"/>
    <x v="0"/>
    <n v="2"/>
    <n v="0"/>
  </r>
  <r>
    <s v="3a97deda6fe1d4e0c5e47f4b277b3695ff25bfca"/>
    <x v="93"/>
    <x v="0"/>
    <n v="2"/>
    <n v="0"/>
  </r>
  <r>
    <s v="30e25a4f7bf404b084ae0ad2c197b0c41bb24511"/>
    <x v="94"/>
    <x v="0"/>
    <n v="2"/>
    <n v="0"/>
  </r>
  <r>
    <s v="d43050887a786ba6ba5bf427617ee6329f8fed19"/>
    <x v="95"/>
    <x v="0"/>
    <n v="2"/>
    <n v="1"/>
  </r>
  <r>
    <s v="e0b31e10e56cb01d1623efc993d28138a84bcd39"/>
    <x v="96"/>
    <x v="0"/>
    <n v="2"/>
    <n v="0"/>
  </r>
  <r>
    <s v="382abb96a536190b34470e495fea8dc92da6e284"/>
    <x v="97"/>
    <x v="0"/>
    <n v="2"/>
    <n v="0"/>
  </r>
  <r>
    <s v="890325e48e22c222a1be583fea8a403b6ace477b"/>
    <x v="98"/>
    <x v="0"/>
    <n v="2"/>
    <n v="0"/>
  </r>
  <r>
    <s v="39f1944b9b25b5d79642e81ac0f62750ff0378e5"/>
    <x v="99"/>
    <x v="0"/>
    <n v="2"/>
    <n v="1"/>
  </r>
  <r>
    <s v="09e4891843616efc32173a474acea5fe0fe2bfcc"/>
    <x v="100"/>
    <x v="0"/>
    <n v="2"/>
    <n v="0"/>
  </r>
  <r>
    <s v="5c4cc605ffd0a2236d4e319dc626ca1ce2f448da"/>
    <x v="101"/>
    <x v="0"/>
    <n v="2"/>
    <n v="0"/>
  </r>
  <r>
    <s v="fb3e8a9c21c25e15144cde53bec215049bf50f92"/>
    <x v="102"/>
    <x v="0"/>
    <n v="2"/>
    <n v="0"/>
  </r>
  <r>
    <s v="f1f1e162c8fae765e5bfd2da87f9580efa837248"/>
    <x v="103"/>
    <x v="0"/>
    <n v="2"/>
    <n v="0"/>
  </r>
  <r>
    <s v="4a6b5c131ef0815779890d2245765a3d582a31e2"/>
    <x v="104"/>
    <x v="0"/>
    <n v="2"/>
    <n v="0"/>
  </r>
  <r>
    <s v="4e9c9bd8eed3382e85714c54bc00fd1366095fdb"/>
    <x v="105"/>
    <x v="0"/>
    <n v="2"/>
    <n v="0"/>
  </r>
  <r>
    <s v="43898c4fb8f2cda7993be3091f6ab613fbc34451"/>
    <x v="106"/>
    <x v="0"/>
    <n v="2"/>
    <n v="1"/>
  </r>
  <r>
    <s v="2c04b28ce6fe4e4b0a1d1cf1c348a2eb336ae550"/>
    <x v="107"/>
    <x v="0"/>
    <n v="2"/>
    <n v="0"/>
  </r>
  <r>
    <s v="4797b7f0368e43f218cffd7ba95f99a5a3f63ab9"/>
    <x v="108"/>
    <x v="0"/>
    <n v="2"/>
    <n v="1"/>
  </r>
  <r>
    <s v="2066157dc37ad494e3d44dcdfca268f29520d030"/>
    <x v="109"/>
    <x v="0"/>
    <n v="2"/>
    <n v="0"/>
  </r>
  <r>
    <s v="36ddba6bfbf2f563dbd4cb1254f273a5f499bb06"/>
    <x v="110"/>
    <x v="0"/>
    <n v="2"/>
    <n v="1"/>
  </r>
  <r>
    <s v="049c0ea473b87839741088c347bdfb102d84b56c"/>
    <x v="111"/>
    <x v="0"/>
    <n v="2"/>
    <n v="0"/>
  </r>
  <r>
    <s v="371993e9f75c4c208b989d309e3d331dbf8121c5"/>
    <x v="112"/>
    <x v="0"/>
    <n v="2"/>
    <n v="0"/>
  </r>
  <r>
    <s v="cabd3dbaa82a969804b2ca2c6d3f1f08ff48c2aa"/>
    <x v="113"/>
    <x v="0"/>
    <n v="2"/>
    <n v="1"/>
  </r>
  <r>
    <s v="fbec27bb875d367a47fd5d40a87a5857c1550b14"/>
    <x v="114"/>
    <x v="0"/>
    <n v="2"/>
    <n v="1"/>
  </r>
  <r>
    <s v="a1003269ce60c1b85d1e428a422f231148ad44a9"/>
    <x v="115"/>
    <x v="0"/>
    <n v="2"/>
    <n v="1"/>
  </r>
  <r>
    <s v="af04d72cf566aa0d4280fa98b6ad1243f1c1c53c"/>
    <x v="116"/>
    <x v="0"/>
    <n v="2"/>
    <n v="1"/>
  </r>
  <r>
    <s v="d02076c171ab346de81b4cd359b9d8728d3fb78b"/>
    <x v="117"/>
    <x v="0"/>
    <n v="2"/>
    <n v="0"/>
  </r>
  <r>
    <s v="2b9b4d032293d67aab6781beb9bf24fea35282d4"/>
    <x v="118"/>
    <x v="0"/>
    <n v="2"/>
    <n v="0"/>
  </r>
  <r>
    <s v="b5756b1af0cfda7aef6bc876721e957553e5baa2"/>
    <x v="119"/>
    <x v="0"/>
    <n v="2"/>
    <n v="1"/>
  </r>
  <r>
    <s v="05f36b4772bf554105ec79706ff326fc5873b5b6"/>
    <x v="120"/>
    <x v="0"/>
    <n v="2"/>
    <n v="0"/>
  </r>
  <r>
    <s v="9194d14cce5944ccd91795699b7967b34df0e49b"/>
    <x v="121"/>
    <x v="0"/>
    <n v="2"/>
    <n v="0"/>
  </r>
  <r>
    <s v="260f8f28cccbac47e60fca7070313213371a9738"/>
    <x v="122"/>
    <x v="0"/>
    <n v="2"/>
    <n v="1"/>
  </r>
  <r>
    <s v="821bf00757728a703ace5e2aa79c417028920711"/>
    <x v="123"/>
    <x v="0"/>
    <n v="2"/>
    <n v="0"/>
  </r>
  <r>
    <s v="afa9e5b3b1f4198a5fcaaa60401963b6732bc42e"/>
    <x v="124"/>
    <x v="0"/>
    <n v="2"/>
    <n v="1"/>
  </r>
  <r>
    <s v="2bd1f1b3f263e7876f5590ffa4d2d5ce63db3bd8"/>
    <x v="125"/>
    <x v="0"/>
    <n v="2"/>
    <n v="1"/>
  </r>
  <r>
    <s v="782f7f7236a98bfb8f3fff56992088a0d42222c3"/>
    <x v="126"/>
    <x v="0"/>
    <n v="2"/>
    <n v="1"/>
  </r>
  <r>
    <s v="31cd6033a1dc98dc5de6c2fa86d8344eb1aef7dc"/>
    <x v="127"/>
    <x v="0"/>
    <n v="2"/>
    <n v="1"/>
  </r>
  <r>
    <s v="5067a4cea559e11eb4b148723dfc8d1440daba4c"/>
    <x v="128"/>
    <x v="0"/>
    <n v="2"/>
    <n v="1"/>
  </r>
  <r>
    <s v="5bbc78f6d8fc04fd6ffdb34f25ef942d71ef356c"/>
    <x v="129"/>
    <x v="0"/>
    <n v="2"/>
    <n v="0"/>
  </r>
  <r>
    <s v="427a8aba4a55c36de971814eb7c1660cc76d0d3e"/>
    <x v="130"/>
    <x v="0"/>
    <n v="2"/>
    <n v="1"/>
  </r>
  <r>
    <s v="edcde6d14aac4a6320519013826d96b991fa1977"/>
    <x v="131"/>
    <x v="0"/>
    <n v="2"/>
    <n v="1"/>
  </r>
  <r>
    <s v="6b3b55579a96e39b5de3853c14f25b0f76bb1bb1"/>
    <x v="132"/>
    <x v="0"/>
    <n v="2"/>
    <n v="0"/>
  </r>
  <r>
    <s v="54d98401a04184228f00f7ee91bcb9e3eac42135"/>
    <x v="132"/>
    <x v="0"/>
    <n v="2"/>
    <n v="1"/>
  </r>
  <r>
    <s v="5cfc4baa52c8f3646d31eeba4ef5936b51d31d08"/>
    <x v="133"/>
    <x v="0"/>
    <n v="2"/>
    <n v="1"/>
  </r>
  <r>
    <s v="3abc2d5b1ce50b15c3cac1bf821dbc1aeab88601"/>
    <x v="134"/>
    <x v="0"/>
    <n v="2"/>
    <n v="1"/>
  </r>
  <r>
    <s v="3c718664e323d5758645f383072cf9bdec6ea28c"/>
    <x v="135"/>
    <x v="0"/>
    <n v="2"/>
    <n v="0"/>
  </r>
  <r>
    <s v="62697b6c3cafcd6ad85e8c4c478b98a664d6f788"/>
    <x v="136"/>
    <x v="0"/>
    <n v="2"/>
    <n v="0"/>
  </r>
  <r>
    <s v="350ab552b590c6079dcff2a640a460fdd7898f15"/>
    <x v="137"/>
    <x v="0"/>
    <n v="2"/>
    <n v="0"/>
  </r>
  <r>
    <s v="c54c7e5c49a099a236313bb98fa723fcb48e73d0"/>
    <x v="138"/>
    <x v="0"/>
    <n v="2"/>
    <n v="1"/>
  </r>
  <r>
    <s v="70613748db877ac4500454207984704afa890c8f"/>
    <x v="139"/>
    <x v="0"/>
    <n v="2"/>
    <n v="1"/>
  </r>
  <r>
    <s v="6a2dad3134cecc50fa343ec184dfcdc9273fa06f"/>
    <x v="140"/>
    <x v="0"/>
    <n v="2"/>
    <n v="1"/>
  </r>
  <r>
    <s v="156d7040a9b54e1c227129ab330883962e1131a6"/>
    <x v="141"/>
    <x v="0"/>
    <n v="2"/>
    <n v="0"/>
  </r>
  <r>
    <s v="56a1d03fab23b8f42d3f3cd5b0c92999a4f67780"/>
    <x v="142"/>
    <x v="0"/>
    <n v="2"/>
    <n v="1"/>
  </r>
  <r>
    <s v="58a58aaa397206a1095b51fa07a67c95a291cf30"/>
    <x v="143"/>
    <x v="0"/>
    <n v="2"/>
    <n v="1"/>
  </r>
  <r>
    <s v="ce551284bb2f8dcf8bebecc0c3f7bc2a2049fc0e"/>
    <x v="144"/>
    <x v="0"/>
    <n v="2"/>
    <n v="1"/>
  </r>
  <r>
    <s v="4bf8f09bae4bad1aaf2f946b4126de91cb999080"/>
    <x v="145"/>
    <x v="0"/>
    <n v="2"/>
    <n v="0"/>
  </r>
  <r>
    <s v="0aba9f97e7e2e2dd1e7a421287407b77c893e493"/>
    <x v="146"/>
    <x v="0"/>
    <n v="2"/>
    <n v="1"/>
  </r>
  <r>
    <s v="0ecb07bd36f334e906c0e0a71da38fd62f9ce5d4"/>
    <x v="147"/>
    <x v="0"/>
    <n v="2"/>
    <n v="0"/>
  </r>
  <r>
    <s v="0f143271345d6d9c989135492bd5d05c74ab0ac4"/>
    <x v="148"/>
    <x v="0"/>
    <n v="2"/>
    <n v="1"/>
  </r>
  <r>
    <s v="e039f38f3934cc3b3a658e00bab6678315b75f34"/>
    <x v="149"/>
    <x v="0"/>
    <n v="2"/>
    <n v="2"/>
  </r>
  <r>
    <s v="bd0c937394e40bb836058e79f7718387655f9f21"/>
    <x v="150"/>
    <x v="0"/>
    <n v="2"/>
    <n v="1"/>
  </r>
  <r>
    <s v="831e746182f4f8fbdf0211c6596102fb058b3981"/>
    <x v="151"/>
    <x v="0"/>
    <n v="2"/>
    <n v="0"/>
  </r>
  <r>
    <s v="36148686942ae0455a63973113df9bfdd73bf216"/>
    <x v="152"/>
    <x v="0"/>
    <n v="2"/>
    <n v="1"/>
  </r>
  <r>
    <s v="41ef51a2dba021b9c5628178b2300d6779c62603"/>
    <x v="153"/>
    <x v="0"/>
    <n v="2"/>
    <n v="1"/>
  </r>
  <r>
    <s v="817b5dba3bc19899fdedcc35679f9239a80bc02b"/>
    <x v="154"/>
    <x v="0"/>
    <n v="2"/>
    <n v="1"/>
  </r>
  <r>
    <s v="d77e7f21a39e3b177c0cab32853d000a509d8430"/>
    <x v="155"/>
    <x v="0"/>
    <n v="2"/>
    <n v="2"/>
  </r>
  <r>
    <s v="017afea22533089b05e1f1b0fd1d76aaf9a28d99"/>
    <x v="156"/>
    <x v="0"/>
    <n v="2"/>
    <n v="1"/>
  </r>
  <r>
    <s v="fdf96b3a2cd1ab46307a78cd92dee58e1e645ddf"/>
    <x v="157"/>
    <x v="0"/>
    <n v="2"/>
    <n v="1"/>
  </r>
  <r>
    <s v="92606d7c843b3816d971430df398d19fdaa183c9"/>
    <x v="158"/>
    <x v="0"/>
    <n v="2"/>
    <n v="0"/>
  </r>
  <r>
    <s v="39d738f2a3fcbb98271fbc6724059afc2366185f"/>
    <x v="159"/>
    <x v="0"/>
    <n v="2"/>
    <n v="0"/>
  </r>
  <r>
    <s v="e2283a51325caafad53fc5dca88886fe7aaa9895"/>
    <x v="160"/>
    <x v="0"/>
    <n v="2"/>
    <n v="0"/>
  </r>
  <r>
    <s v="c267d498d44090975ef301331b75b79a8e47f3e1"/>
    <x v="161"/>
    <x v="0"/>
    <n v="2"/>
    <n v="2"/>
  </r>
  <r>
    <s v="3e01ab2458aa93ea8af133383a4cc4ae230af833"/>
    <x v="162"/>
    <x v="0"/>
    <n v="2"/>
    <n v="0"/>
  </r>
  <r>
    <s v="7149903f081e1722a38df3b4b8e43953d8f8d1a5"/>
    <x v="163"/>
    <x v="0"/>
    <n v="2"/>
    <n v="0"/>
  </r>
  <r>
    <s v="ba414842c442e2f4fde4ff7da3f6567c17c2cabe"/>
    <x v="164"/>
    <x v="0"/>
    <n v="2"/>
    <n v="0"/>
  </r>
  <r>
    <s v="0cc7fda64934eeb3eecef6fe903bfbed5606f370"/>
    <x v="165"/>
    <x v="0"/>
    <n v="2"/>
    <n v="0"/>
  </r>
  <r>
    <s v="b2e09c5f9f62fec4d72b16bbffdc4040cb80bc91"/>
    <x v="166"/>
    <x v="0"/>
    <n v="2"/>
    <n v="0"/>
  </r>
  <r>
    <s v="69cdef29118d14cc8e619adb6fe0c144af9c0724"/>
    <x v="167"/>
    <x v="0"/>
    <n v="2"/>
    <n v="0"/>
  </r>
  <r>
    <s v="cf31426daaa6e19f30bea0ee98ab270a2bf1c407"/>
    <x v="168"/>
    <x v="0"/>
    <n v="2"/>
    <n v="1"/>
  </r>
  <r>
    <s v="f91247565ad30a5ba5eb4166d9f704fd7e75d631"/>
    <x v="169"/>
    <x v="0"/>
    <n v="2"/>
    <n v="0"/>
  </r>
  <r>
    <s v="a3f6bb7fc030cf9521bd0c511d1793bd105ce6a9"/>
    <x v="170"/>
    <x v="0"/>
    <n v="2"/>
    <n v="0"/>
  </r>
  <r>
    <s v="f0bdf8668081edd55cc32d3ebade738c717ed4a0"/>
    <x v="171"/>
    <x v="0"/>
    <n v="2"/>
    <n v="0"/>
  </r>
  <r>
    <s v="fe9d526e4dfec8d6ea2dba827ef5b7c7106a25c7"/>
    <x v="172"/>
    <x v="0"/>
    <n v="2"/>
    <n v="0"/>
  </r>
  <r>
    <s v="5894c53da8e7072a39d581922d95214f0caa3f71"/>
    <x v="173"/>
    <x v="0"/>
    <n v="2"/>
    <n v="1"/>
  </r>
  <r>
    <s v="92aa65da2ebaeff58f4d33b8f0a067510043a20f"/>
    <x v="174"/>
    <x v="0"/>
    <n v="2"/>
    <n v="0"/>
  </r>
  <r>
    <s v="20c6fd4ddb0d295c62ce21fe47059e847f02a19c"/>
    <x v="175"/>
    <x v="0"/>
    <n v="2"/>
    <n v="0"/>
  </r>
  <r>
    <s v="b27cc46805ec9e9d2da1fd732c8bebc091d8c1ec"/>
    <x v="176"/>
    <x v="0"/>
    <n v="2"/>
    <n v="0"/>
  </r>
  <r>
    <s v="68f4bd5dcfa5cf186065697d17dc76ade211846b"/>
    <x v="177"/>
    <x v="0"/>
    <n v="2"/>
    <n v="0"/>
  </r>
  <r>
    <s v="31d36201705d3c86e377a2fbf3dd1890ce015ca5"/>
    <x v="178"/>
    <x v="0"/>
    <n v="2"/>
    <n v="0"/>
  </r>
  <r>
    <s v="e76b021d958359faa9caa4df6dc1822d4789e977"/>
    <x v="179"/>
    <x v="0"/>
    <n v="2"/>
    <n v="1"/>
  </r>
  <r>
    <s v="11b96b748cbb1fccb50470bb4c238f3be2881867"/>
    <x v="180"/>
    <x v="0"/>
    <n v="2"/>
    <n v="0"/>
  </r>
  <r>
    <s v="a7bbf52b77acfb563f7ce6fdb8a521c979bc0db9"/>
    <x v="181"/>
    <x v="0"/>
    <n v="2"/>
    <n v="0"/>
  </r>
  <r>
    <s v="1fbf02aed964328f3e9243bfbffcd4687e2683d1"/>
    <x v="182"/>
    <x v="0"/>
    <n v="2"/>
    <n v="1"/>
  </r>
  <r>
    <s v="d18d77570bd1d79f2c5dd11ca65ab0a42e4b26f3"/>
    <x v="183"/>
    <x v="0"/>
    <n v="2"/>
    <n v="0"/>
  </r>
  <r>
    <s v="0667a43f5811def6de8087363065c7fb367f544d"/>
    <x v="184"/>
    <x v="0"/>
    <n v="2"/>
    <n v="0"/>
  </r>
  <r>
    <s v="ee8de0f903506a5a658a0229f1d2d9488ef51073"/>
    <x v="185"/>
    <x v="0"/>
    <n v="2"/>
    <n v="0"/>
  </r>
  <r>
    <s v="450b76ca8b14a0870218c13f8143f4d0273c4fb1"/>
    <x v="186"/>
    <x v="0"/>
    <n v="2"/>
    <n v="0"/>
  </r>
  <r>
    <s v="1e9720dc55738471e84fbbdcda7aeaad7f6f0dca"/>
    <x v="187"/>
    <x v="0"/>
    <n v="2"/>
    <n v="0"/>
  </r>
  <r>
    <s v="27974bb6bc05991273f4505111bc78d475b8c86b"/>
    <x v="188"/>
    <x v="0"/>
    <n v="2"/>
    <n v="0"/>
  </r>
  <r>
    <s v="87143520ae7be030d0b5e4f102f8e984908b7259"/>
    <x v="189"/>
    <x v="0"/>
    <n v="2"/>
    <n v="1"/>
  </r>
  <r>
    <s v="018b75e662b6c1c97f7768d112c93c6e5a1d240b"/>
    <x v="190"/>
    <x v="0"/>
    <n v="2"/>
    <n v="0"/>
  </r>
  <r>
    <s v="452479f6219f85178f1da5b009a88dde310cd60a"/>
    <x v="191"/>
    <x v="0"/>
    <n v="2"/>
    <n v="1"/>
  </r>
  <r>
    <s v="0bc46556cd1b5cf7fe946aae2948e2d84312e8c8"/>
    <x v="192"/>
    <x v="0"/>
    <n v="2"/>
    <n v="0"/>
  </r>
  <r>
    <s v="a36572795146f0bd3c7c399a2ee4a9e1b63cc77f"/>
    <x v="193"/>
    <x v="0"/>
    <n v="2"/>
    <n v="0"/>
  </r>
  <r>
    <s v="c5d1b428812259d13f81703bf14fcbe6d5d7cf47"/>
    <x v="194"/>
    <x v="0"/>
    <n v="2"/>
    <n v="0"/>
  </r>
  <r>
    <s v="5aa72298366aa748fc65ae645c61e6c16cde5ee5"/>
    <x v="195"/>
    <x v="0"/>
    <n v="2"/>
    <n v="0"/>
  </r>
  <r>
    <s v="620401683fab6bf369e94f1eb5566a2f8c49c370"/>
    <x v="196"/>
    <x v="0"/>
    <n v="2"/>
    <n v="1"/>
  </r>
  <r>
    <s v="ed51d4d68ce8977dc31224622c8ec786fbf1eec5"/>
    <x v="197"/>
    <x v="0"/>
    <n v="2"/>
    <n v="1"/>
  </r>
  <r>
    <s v="1a7001b7e43b5aaacd7a7a355a5ebbaa5a10474d"/>
    <x v="198"/>
    <x v="0"/>
    <n v="2"/>
    <n v="0"/>
  </r>
  <r>
    <s v="e004d2ece4f946fcba8e937a1065a1cbef2da738"/>
    <x v="199"/>
    <x v="0"/>
    <n v="2"/>
    <n v="0"/>
  </r>
  <r>
    <s v="db0dcf0d257fcc6c47d116e7958fcbd107312c93"/>
    <x v="200"/>
    <x v="0"/>
    <n v="2"/>
    <n v="1"/>
  </r>
  <r>
    <s v="c3eef5b5430763aee8cec18a2aaa242b3cb40ba8"/>
    <x v="201"/>
    <x v="0"/>
    <n v="2"/>
    <n v="0"/>
  </r>
  <r>
    <s v="3f13f6da74f9773aa0734dcebaf63d52c7721e0b"/>
    <x v="201"/>
    <x v="0"/>
    <n v="2"/>
    <n v="1"/>
  </r>
  <r>
    <s v="005b75d6383a21bc1fa12a017a299ec179dc50b7"/>
    <x v="202"/>
    <x v="0"/>
    <n v="2"/>
    <n v="0"/>
  </r>
  <r>
    <s v="a5f8484b9ad41c49b85baa8a310fd9831397674b"/>
    <x v="203"/>
    <x v="0"/>
    <n v="2"/>
    <n v="0"/>
  </r>
  <r>
    <s v="514b5fdf51d93a24bfbca991ae263e0fd8136dd7"/>
    <x v="204"/>
    <x v="0"/>
    <n v="2"/>
    <n v="0"/>
  </r>
  <r>
    <s v="bfab817b956dc0c59245e6c293bbebe05637254e"/>
    <x v="205"/>
    <x v="0"/>
    <n v="2"/>
    <n v="0"/>
  </r>
  <r>
    <s v="5020077c0099fea3c61b69c3915674316491b20c"/>
    <x v="206"/>
    <x v="0"/>
    <n v="2"/>
    <n v="0"/>
  </r>
  <r>
    <s v="d9e6602194916fc3328a9533ff03d18b6026c489"/>
    <x v="207"/>
    <x v="0"/>
    <n v="2"/>
    <n v="0"/>
  </r>
  <r>
    <s v="2adef6719ab50a2b54c3fda8a5cadfd37174b22e"/>
    <x v="208"/>
    <x v="0"/>
    <n v="2"/>
    <n v="1"/>
  </r>
  <r>
    <s v="5abc651ceeab92833791f7c0922aabe42eb78930"/>
    <x v="209"/>
    <x v="0"/>
    <n v="2"/>
    <n v="2"/>
  </r>
  <r>
    <s v="dbe586ce9260b113caab7ac115a2f8382b88eaa8"/>
    <x v="210"/>
    <x v="0"/>
    <n v="2"/>
    <n v="1"/>
  </r>
  <r>
    <s v="d5c24703706b5afc6f62664251d1bfb1b0e0668f"/>
    <x v="211"/>
    <x v="0"/>
    <n v="2"/>
    <n v="1"/>
  </r>
  <r>
    <s v="b668a23c9d93907c21c55b7c2a16d80443b313f7"/>
    <x v="212"/>
    <x v="0"/>
    <n v="2"/>
    <n v="0"/>
  </r>
  <r>
    <s v="285741a5240f3658c6e5191edc9ba65fe7d5793c"/>
    <x v="213"/>
    <x v="0"/>
    <n v="2"/>
    <n v="1"/>
  </r>
  <r>
    <s v="04ca8b61ae413ac63a5af1b65bd3df4f7f5ec9d5"/>
    <x v="213"/>
    <x v="0"/>
    <n v="2"/>
    <n v="1"/>
  </r>
  <r>
    <s v="4f103ee6a88109649dd4cfc9df8797de6c3ab616"/>
    <x v="214"/>
    <x v="0"/>
    <n v="2"/>
    <n v="1"/>
  </r>
  <r>
    <s v="8007d83fc95794ecdb65efa299fe50313bef76d3"/>
    <x v="215"/>
    <x v="0"/>
    <n v="2"/>
    <n v="0"/>
  </r>
  <r>
    <s v="ef05e4ccfbad590ad3ab4f099a9d35fabf46dac0"/>
    <x v="216"/>
    <x v="0"/>
    <n v="2"/>
    <n v="0"/>
  </r>
  <r>
    <s v="d644c08f1c297a5ed47dc8d3f033e2e6b001ca55"/>
    <x v="217"/>
    <x v="0"/>
    <n v="2"/>
    <n v="1"/>
  </r>
  <r>
    <s v="305987215cb48096fb7926671e2815ed5c38009d"/>
    <x v="218"/>
    <x v="0"/>
    <n v="2"/>
    <n v="0"/>
  </r>
  <r>
    <s v="848c7e8350dbdaf9e441e7cf36c754208e1ab258"/>
    <x v="219"/>
    <x v="0"/>
    <n v="2"/>
    <n v="1"/>
  </r>
  <r>
    <s v="2b14fe3de5812ecd6b0cf4e69bdc44f229aa8aef"/>
    <x v="220"/>
    <x v="0"/>
    <n v="2"/>
    <n v="0"/>
  </r>
  <r>
    <s v="20c43e51eb01dff7f48faf1c23ab34b9ba124965"/>
    <x v="221"/>
    <x v="0"/>
    <n v="2"/>
    <n v="0"/>
  </r>
  <r>
    <s v="7839da21b3904073b2446b0f65ff8de098d66b9c"/>
    <x v="222"/>
    <x v="0"/>
    <n v="2"/>
    <n v="0"/>
  </r>
  <r>
    <s v="cce1364f0b52f1b1f90d8350ef64f0a0c365de21"/>
    <x v="223"/>
    <x v="0"/>
    <n v="2"/>
    <n v="1"/>
  </r>
  <r>
    <s v="40ffd566a2bad3fd28e30a87355ddb121e209317"/>
    <x v="224"/>
    <x v="0"/>
    <n v="2"/>
    <n v="1"/>
  </r>
  <r>
    <s v="cf3104d8e05e29444b114423625ab3817e3aaa2f"/>
    <x v="225"/>
    <x v="0"/>
    <n v="2"/>
    <n v="0"/>
  </r>
  <r>
    <s v="06b1009b09888c89b8180316aac7040c376376b2"/>
    <x v="226"/>
    <x v="0"/>
    <n v="2"/>
    <n v="0"/>
  </r>
  <r>
    <s v="5b858c695d7f0a152f51f8b6fa85ee572f05dfde"/>
    <x v="227"/>
    <x v="0"/>
    <n v="2"/>
    <n v="0"/>
  </r>
  <r>
    <s v="3ff20f4436bca904da2c9daad94139aef543ff9a"/>
    <x v="228"/>
    <x v="0"/>
    <n v="2"/>
    <n v="0"/>
  </r>
  <r>
    <s v="44cdde5b58b145fd6c03ed89987dd2246dfc6661"/>
    <x v="229"/>
    <x v="0"/>
    <n v="2"/>
    <n v="0"/>
  </r>
  <r>
    <s v="405f9134ec89bdaf77587ba83327ecd5e91f6ba2"/>
    <x v="230"/>
    <x v="0"/>
    <n v="2"/>
    <n v="1"/>
  </r>
  <r>
    <s v="98698e3d53ccae738da93c24d9e58a640cb6bf31"/>
    <x v="231"/>
    <x v="0"/>
    <n v="2"/>
    <n v="1"/>
  </r>
  <r>
    <s v="5f9a586d13b45a44b20669036fd13902b0d0517c"/>
    <x v="232"/>
    <x v="0"/>
    <n v="2"/>
    <n v="0"/>
  </r>
  <r>
    <s v="8cce884841e22abb83a28db9ed0cbcc187070c25"/>
    <x v="233"/>
    <x v="0"/>
    <n v="2"/>
    <n v="0"/>
  </r>
  <r>
    <s v="2109e28d7ed8f00a97c952ac2d7191a93069e4fa"/>
    <x v="234"/>
    <x v="0"/>
    <n v="2"/>
    <n v="0"/>
  </r>
  <r>
    <s v="e4cf6d9529a9dcf960c150c15a122ae77ae93173"/>
    <x v="235"/>
    <x v="0"/>
    <n v="2"/>
    <n v="1"/>
  </r>
  <r>
    <s v="ffd73a2e72abf67f1b93bad26032638daa7b0806"/>
    <x v="236"/>
    <x v="0"/>
    <n v="2"/>
    <n v="1"/>
  </r>
  <r>
    <s v="7fad4e6fcca9d2fb77872c6bb1064eaf0b903947"/>
    <x v="237"/>
    <x v="0"/>
    <n v="2"/>
    <n v="0"/>
  </r>
  <r>
    <s v="fe3f951e37bea2b50eb1a015b2dc3b352563b1ca"/>
    <x v="238"/>
    <x v="0"/>
    <n v="2"/>
    <n v="0"/>
  </r>
  <r>
    <s v="05131ef1b311f625bcfa836372479b4a7f7a2a49"/>
    <x v="239"/>
    <x v="0"/>
    <n v="2"/>
    <n v="1"/>
  </r>
  <r>
    <s v="592e444f6a2b4b4a2e2f92bd3459293e3c6424df"/>
    <x v="240"/>
    <x v="0"/>
    <n v="2"/>
    <n v="0"/>
  </r>
  <r>
    <s v="217d8d016483c53d9f522077ef5d26114be8027e"/>
    <x v="241"/>
    <x v="0"/>
    <n v="2"/>
    <n v="0"/>
  </r>
  <r>
    <s v="c505ad2ea199e013469c708930f1c30a7ab5b095"/>
    <x v="242"/>
    <x v="0"/>
    <n v="2"/>
    <n v="0"/>
  </r>
  <r>
    <s v="fcd1a794b7680b5b0dccbd4915ddc0ed273b5cef"/>
    <x v="243"/>
    <x v="0"/>
    <n v="2"/>
    <n v="0"/>
  </r>
  <r>
    <s v="039e43cf488dc5ce22f2da7f2aa6f088aa816e82"/>
    <x v="244"/>
    <x v="0"/>
    <n v="2"/>
    <n v="1"/>
  </r>
  <r>
    <s v="4c580ebdfeb7677687ff0735162349f661abc22e"/>
    <x v="245"/>
    <x v="0"/>
    <n v="2"/>
    <n v="1"/>
  </r>
  <r>
    <s v="2b65cdac9e73ea995e6eb4d191b3df1ffcb4f4cc"/>
    <x v="246"/>
    <x v="0"/>
    <n v="2"/>
    <n v="0"/>
  </r>
  <r>
    <s v="047382c71ccb9ef376faca6d0ed7216702d9142a"/>
    <x v="247"/>
    <x v="0"/>
    <n v="2"/>
    <n v="0"/>
  </r>
  <r>
    <s v="adefdfb978cece3f4d63ef602ed8a9848f3e2475"/>
    <x v="248"/>
    <x v="0"/>
    <n v="2"/>
    <n v="0"/>
  </r>
  <r>
    <s v="9d0153fc5f38666cd03eaab781b1d33a0ca2b366"/>
    <x v="249"/>
    <x v="0"/>
    <n v="2"/>
    <n v="1"/>
  </r>
  <r>
    <s v="39a20e7aca7eb1c5f7ad0b0a6dc2f50bfc450667"/>
    <x v="250"/>
    <x v="0"/>
    <n v="2"/>
    <n v="1"/>
  </r>
  <r>
    <s v="229fc4eccaeeb5d07f238dceb9e389d3f7509921"/>
    <x v="251"/>
    <x v="0"/>
    <n v="2"/>
    <n v="0"/>
  </r>
  <r>
    <s v="bf08281f579ba3a4eae003e6ff225aed66c344d2"/>
    <x v="252"/>
    <x v="0"/>
    <n v="2"/>
    <n v="1"/>
  </r>
  <r>
    <s v="7228d6f0cb0af8eacbc3bb05dee0aa01010d3300"/>
    <x v="253"/>
    <x v="0"/>
    <n v="2"/>
    <n v="0"/>
  </r>
  <r>
    <s v="c5cb67be9d3f8c21de744ba67c9df2df01a33502"/>
    <x v="254"/>
    <x v="0"/>
    <n v="2"/>
    <n v="0"/>
  </r>
  <r>
    <s v="f217327db0ed74698c5c483f385a7e160a2f80c4"/>
    <x v="255"/>
    <x v="0"/>
    <n v="2"/>
    <n v="0"/>
  </r>
  <r>
    <s v="731863610a2fd799e33b94b540c5203de3bb341c"/>
    <x v="256"/>
    <x v="0"/>
    <n v="2"/>
    <n v="0"/>
  </r>
  <r>
    <s v="68ae55c934967bd8bf9222cbd8f10bfccc0b1506"/>
    <x v="257"/>
    <x v="0"/>
    <n v="2"/>
    <n v="0"/>
  </r>
  <r>
    <s v="bc390f762dccf40d9d2d6d52794a5f0430f9c772"/>
    <x v="258"/>
    <x v="0"/>
    <n v="2"/>
    <n v="0"/>
  </r>
  <r>
    <s v="f6373f7ada14a7914f4ae08b6af4c1b27d343c21"/>
    <x v="259"/>
    <x v="0"/>
    <n v="2"/>
    <n v="1"/>
  </r>
  <r>
    <s v="47e82f1a4fd29de3d7a102da227b616f4f3543b7"/>
    <x v="260"/>
    <x v="0"/>
    <n v="2"/>
    <n v="0"/>
  </r>
  <r>
    <s v="39d15d9ed5898769049e00fe10d13253ae7bec8a"/>
    <x v="261"/>
    <x v="0"/>
    <n v="2"/>
    <n v="0"/>
  </r>
  <r>
    <s v="2503f8c0acab31571f243757c4c476b2f925802b"/>
    <x v="262"/>
    <x v="0"/>
    <n v="2"/>
    <n v="0"/>
  </r>
  <r>
    <s v="825dc4b19e2a2236e633d4e3a9c3ffbf87964c65"/>
    <x v="263"/>
    <x v="0"/>
    <n v="2"/>
    <n v="0"/>
  </r>
  <r>
    <s v="4cefed93170a706b6fcd9cac56ea1b92c800538e"/>
    <x v="264"/>
    <x v="0"/>
    <n v="2"/>
    <n v="0"/>
  </r>
  <r>
    <s v="df3192a44b4c23b2c30af5d069c2e9aaba530561"/>
    <x v="265"/>
    <x v="0"/>
    <n v="2"/>
    <n v="2"/>
  </r>
  <r>
    <s v="9144caad2a18fc5ec3a6d0bacb588f492e9188c2"/>
    <x v="266"/>
    <x v="0"/>
    <n v="2"/>
    <n v="0"/>
  </r>
  <r>
    <s v="50a82775e183d5f4291958d8a36583c238342931"/>
    <x v="267"/>
    <x v="0"/>
    <n v="2"/>
    <n v="0"/>
  </r>
  <r>
    <s v="91fafb4e9e98c43ccf48ef813969855c2cb2435c"/>
    <x v="268"/>
    <x v="0"/>
    <n v="2"/>
    <n v="0"/>
  </r>
  <r>
    <s v="244ff567cc002b002014c25ce160fd50294a4b1d"/>
    <x v="269"/>
    <x v="0"/>
    <n v="2"/>
    <n v="0"/>
  </r>
  <r>
    <s v="211231d12b2d5e998421ab7a332f955800d5b601"/>
    <x v="270"/>
    <x v="0"/>
    <n v="2"/>
    <n v="1"/>
  </r>
  <r>
    <s v="2de6b59e85bbbb4c75a9d27469448af9505acca0"/>
    <x v="271"/>
    <x v="0"/>
    <n v="2"/>
    <n v="0"/>
  </r>
  <r>
    <s v="9a48907ab03b7ee308a6d9793e4437f481734f34"/>
    <x v="272"/>
    <x v="0"/>
    <n v="2"/>
    <n v="0"/>
  </r>
  <r>
    <s v="39b19fb61e653de60aa7ea034cfe23c2074fd206"/>
    <x v="273"/>
    <x v="0"/>
    <n v="2"/>
    <n v="0"/>
  </r>
  <r>
    <s v="9015b0bd0a40602eac35c55abc7c3829848752ce"/>
    <x v="274"/>
    <x v="0"/>
    <n v="2"/>
    <n v="0"/>
  </r>
  <r>
    <s v="17ab5d59a2a1ddd3a985088e86f361cf3ea1c349"/>
    <x v="275"/>
    <x v="0"/>
    <n v="2"/>
    <n v="0"/>
  </r>
  <r>
    <s v="93493707839132febc47da116fd106452ccd2c99"/>
    <x v="276"/>
    <x v="0"/>
    <n v="2"/>
    <n v="0"/>
  </r>
  <r>
    <s v="58503ade3a54bd293bc05d32b0c4b0d3d75e5107"/>
    <x v="277"/>
    <x v="0"/>
    <n v="2"/>
    <n v="0"/>
  </r>
  <r>
    <s v="62cbe7b3377819b5a7a60388f2307a6027c09201"/>
    <x v="278"/>
    <x v="0"/>
    <n v="2"/>
    <n v="0"/>
  </r>
  <r>
    <s v="c4acebffdb59a60ca8c670abc94854ba5852ae7d"/>
    <x v="279"/>
    <x v="0"/>
    <n v="2"/>
    <n v="0"/>
  </r>
  <r>
    <s v="afc0c2231b2ad631670364e8c130e7a5df7d9df3"/>
    <x v="280"/>
    <x v="0"/>
    <n v="2"/>
    <n v="1"/>
  </r>
  <r>
    <s v="8baa4f3974b7130e6b300ed8ab29d3093c64ceb9"/>
    <x v="281"/>
    <x v="0"/>
    <n v="2"/>
    <n v="1"/>
  </r>
  <r>
    <s v="d386f03adc31a0613fa2662cd5a3f5e2396f5072"/>
    <x v="282"/>
    <x v="0"/>
    <n v="2"/>
    <n v="0"/>
  </r>
  <r>
    <s v="97b934206977421ec0d045dfb472da0198264f26"/>
    <x v="283"/>
    <x v="0"/>
    <n v="2"/>
    <n v="0"/>
  </r>
  <r>
    <s v="61b572e4a444f282dffe774312309830acd64814"/>
    <x v="284"/>
    <x v="0"/>
    <n v="2"/>
    <n v="1"/>
  </r>
  <r>
    <s v="9ce4d7c3a1aedbc686de9dda029ca94ba2d9d44b"/>
    <x v="285"/>
    <x v="0"/>
    <n v="2"/>
    <n v="0"/>
  </r>
  <r>
    <s v="e17760256e0c4cd48ce68f372d5f631cb507ddc9"/>
    <x v="286"/>
    <x v="0"/>
    <n v="2"/>
    <n v="1"/>
  </r>
  <r>
    <s v="968442b844863df2cee83d19f1d22af4d2a0ede2"/>
    <x v="287"/>
    <x v="0"/>
    <n v="2"/>
    <n v="0"/>
  </r>
  <r>
    <s v="1f0ed962b22d0b24cdfca44d62197a7ee3317180"/>
    <x v="288"/>
    <x v="0"/>
    <n v="2"/>
    <n v="0"/>
  </r>
  <r>
    <s v="74358e70861af449a95e157802441e5ec5a16686"/>
    <x v="289"/>
    <x v="0"/>
    <n v="2"/>
    <n v="0"/>
  </r>
  <r>
    <s v="013daf67722a2bea743cc82aa040f4d8a1b2705e"/>
    <x v="290"/>
    <x v="0"/>
    <n v="2"/>
    <n v="0"/>
  </r>
  <r>
    <s v="4386a8aa31d2dd1a0b3bf229477348d71b031a65"/>
    <x v="291"/>
    <x v="0"/>
    <n v="2"/>
    <n v="0"/>
  </r>
  <r>
    <s v="28deae772e92a11b6ee423ab02169ea6e2ace384"/>
    <x v="292"/>
    <x v="0"/>
    <n v="2"/>
    <n v="0"/>
  </r>
  <r>
    <s v="d6ef42005070f23276e7fcbda2ca4828c796c271"/>
    <x v="293"/>
    <x v="0"/>
    <n v="2"/>
    <n v="0"/>
  </r>
  <r>
    <s v="09bc78aec7e1e114949ca926d9907f7067a3015c"/>
    <x v="294"/>
    <x v="0"/>
    <n v="2"/>
    <n v="0"/>
  </r>
  <r>
    <s v="4266fc62ddbb1202d9f24df19a1be511e868225e"/>
    <x v="295"/>
    <x v="0"/>
    <n v="2"/>
    <n v="1"/>
  </r>
  <r>
    <s v="35b357f62a87ccbdfb07aad88073ee089a639052"/>
    <x v="296"/>
    <x v="0"/>
    <n v="2"/>
    <n v="0"/>
  </r>
  <r>
    <s v="334ec7e43263250cefbe53f490c1cfe4b3d0db4f"/>
    <x v="297"/>
    <x v="0"/>
    <n v="2"/>
    <n v="1"/>
  </r>
  <r>
    <s v="2ec651eae2b73d5c61b4d7757de09826bb1a65e8"/>
    <x v="298"/>
    <x v="0"/>
    <n v="2"/>
    <n v="0"/>
  </r>
  <r>
    <s v="c7b673ff0f5db92c49f363bde19cafba853b581b"/>
    <x v="299"/>
    <x v="0"/>
    <n v="2"/>
    <n v="0"/>
  </r>
  <r>
    <s v="e8e9ac008160c6127a2f43dd8877d2560d959553"/>
    <x v="300"/>
    <x v="0"/>
    <n v="2"/>
    <n v="0"/>
  </r>
  <r>
    <s v="004d50a25970425b9c777b4a3265765b2e5f4c86"/>
    <x v="301"/>
    <x v="0"/>
    <n v="2"/>
    <n v="0"/>
  </r>
  <r>
    <s v="2bd40df44439ae04ecc2db306de70230f520c1a7"/>
    <x v="302"/>
    <x v="0"/>
    <n v="2"/>
    <n v="0"/>
  </r>
  <r>
    <s v="ca7e9d7964c696b2de7a59e671b7143ddd02ef03"/>
    <x v="303"/>
    <x v="0"/>
    <n v="2"/>
    <n v="0"/>
  </r>
  <r>
    <s v="cb0a95e98510210d211a468f453c1c56eadd6f4d"/>
    <x v="304"/>
    <x v="0"/>
    <n v="2"/>
    <n v="0"/>
  </r>
  <r>
    <s v="56f2492359bc7927d5d2ba1af06891534c1d0aa0"/>
    <x v="305"/>
    <x v="0"/>
    <n v="2"/>
    <n v="1"/>
  </r>
  <r>
    <s v="08b6855f362b7a13960e7e96d343a4cfeb75754f"/>
    <x v="306"/>
    <x v="0"/>
    <n v="2"/>
    <n v="0"/>
  </r>
  <r>
    <s v="0cfb33c4731beba733ff5ee52badf4ff16b07497"/>
    <x v="307"/>
    <x v="0"/>
    <n v="2"/>
    <n v="0"/>
  </r>
  <r>
    <s v="8ab8682c5ef51d53a7afbf1fb0328db67e4826e6"/>
    <x v="308"/>
    <x v="0"/>
    <n v="2"/>
    <n v="1"/>
  </r>
  <r>
    <s v="829ccf0f641686cf014f6d79d1aa48982f6b2d53"/>
    <x v="309"/>
    <x v="0"/>
    <n v="2"/>
    <n v="0"/>
  </r>
  <r>
    <s v="5470411a6a490510a9bdaa891c809dcdc6c35dc4"/>
    <x v="310"/>
    <x v="0"/>
    <n v="2"/>
    <n v="0"/>
  </r>
  <r>
    <s v="14dee6e52c197f45f0a4775ac26cf62d92b0ac36"/>
    <x v="311"/>
    <x v="0"/>
    <n v="2"/>
    <n v="1"/>
  </r>
  <r>
    <s v="951d169d93bbc5b59bfd71d85be24ea085fa09bd"/>
    <x v="312"/>
    <x v="0"/>
    <n v="2"/>
    <n v="2"/>
  </r>
  <r>
    <s v="737a7dfe79405d0affaccbf0a6430b83de57ea9e"/>
    <x v="313"/>
    <x v="0"/>
    <n v="2"/>
    <n v="0"/>
  </r>
  <r>
    <s v="1d9f16848ee1381873ea77a4f6b59f8667e2942f"/>
    <x v="314"/>
    <x v="0"/>
    <n v="2"/>
    <n v="0"/>
  </r>
  <r>
    <s v="87f18ecdd169682af033a976f3594174226cb3bf"/>
    <x v="315"/>
    <x v="0"/>
    <n v="2"/>
    <n v="1"/>
  </r>
  <r>
    <s v="d5fb8a34a4050692dd9323365a0bb7e2e15f235d"/>
    <x v="316"/>
    <x v="0"/>
    <n v="2"/>
    <n v="0"/>
  </r>
  <r>
    <s v="38bdaba3b5ca2319eff7ccea6ef1c6846db790c6"/>
    <x v="317"/>
    <x v="0"/>
    <n v="2"/>
    <n v="1"/>
  </r>
  <r>
    <s v="c24a2b1ec93064eb2e085ba6d07ca4c85b2c7675"/>
    <x v="318"/>
    <x v="0"/>
    <n v="2"/>
    <n v="0"/>
  </r>
  <r>
    <s v="c236f9d18e2c90fd9706476a0ec4e768a68ae914"/>
    <x v="319"/>
    <x v="0"/>
    <n v="2"/>
    <n v="0"/>
  </r>
  <r>
    <s v="52471787c6c5c9474e46cc396bf3b91e20036255"/>
    <x v="320"/>
    <x v="0"/>
    <n v="2"/>
    <n v="2"/>
  </r>
  <r>
    <s v="cd024812929b7ac6902a1958466fde3d74054c47"/>
    <x v="321"/>
    <x v="0"/>
    <n v="2"/>
    <n v="0"/>
  </r>
  <r>
    <s v="de1ab1e629fe0ebb6b24e6fe0afadf0ae5e18f24"/>
    <x v="322"/>
    <x v="0"/>
    <n v="2"/>
    <n v="0"/>
  </r>
  <r>
    <s v="00740fb6522685d59f44010a5f5bdfa397f2c8c8"/>
    <x v="323"/>
    <x v="0"/>
    <n v="2"/>
    <n v="0"/>
  </r>
  <r>
    <s v="4dd48c5d3906a62c1b1056ce62e4fb39eb6dd0ef"/>
    <x v="324"/>
    <x v="0"/>
    <n v="2"/>
    <n v="0"/>
  </r>
  <r>
    <s v="c17285967adb789410c33e812dbfb8261326f151"/>
    <x v="325"/>
    <x v="0"/>
    <n v="2"/>
    <n v="0"/>
  </r>
  <r>
    <s v="e5f9cfda140428097fbc955eaeff5fc445d135fe"/>
    <x v="326"/>
    <x v="0"/>
    <n v="2"/>
    <n v="0"/>
  </r>
  <r>
    <s v="c8cb887f9a2ae31a9789e4cccd04dc7029e209b3"/>
    <x v="327"/>
    <x v="0"/>
    <n v="2"/>
    <n v="1"/>
  </r>
  <r>
    <s v="da13c76057af1add3f0e2671cad07030c2e4d1c3"/>
    <x v="328"/>
    <x v="0"/>
    <n v="2"/>
    <n v="0"/>
  </r>
  <r>
    <s v="153c989bfb24732c9cf68966fe51dc159212d2e2"/>
    <x v="329"/>
    <x v="0"/>
    <n v="2"/>
    <n v="1"/>
  </r>
  <r>
    <s v="f5a449af5f5bcaa8cdd77cc95e8d51870b01ed63"/>
    <x v="330"/>
    <x v="0"/>
    <n v="2"/>
    <n v="0"/>
  </r>
  <r>
    <s v="17554fa1368ee26a6623fe5895b524480e46d223"/>
    <x v="331"/>
    <x v="0"/>
    <n v="2"/>
    <n v="0"/>
  </r>
  <r>
    <s v="e0bccdde29fbf1bc292e923519c655030d8d4b75"/>
    <x v="332"/>
    <x v="0"/>
    <n v="2"/>
    <n v="0"/>
  </r>
  <r>
    <s v="8cbbc209f04067c018aef074880e6b11041f0e27"/>
    <x v="333"/>
    <x v="0"/>
    <n v="2"/>
    <n v="0"/>
  </r>
  <r>
    <s v="8f413024770f95d5e62ca19dcde4662c395cfbd9"/>
    <x v="334"/>
    <x v="0"/>
    <n v="2"/>
    <n v="0"/>
  </r>
  <r>
    <s v="2b461b190cb8c5e82b1d9d28bd06b6fbbcb809d3"/>
    <x v="335"/>
    <x v="0"/>
    <n v="2"/>
    <n v="0"/>
  </r>
  <r>
    <s v="afff123cc5cb46e80215c6ff3dd48332d265d8e5"/>
    <x v="336"/>
    <x v="0"/>
    <n v="2"/>
    <n v="1"/>
  </r>
  <r>
    <s v="dfda1dfe16baff05cf7d016f57559a5682d9557c"/>
    <x v="337"/>
    <x v="0"/>
    <n v="2"/>
    <n v="0"/>
  </r>
  <r>
    <s v="be1bc456090b0904c07316dccd23e57629234dbf"/>
    <x v="338"/>
    <x v="0"/>
    <n v="2"/>
    <n v="0"/>
  </r>
  <r>
    <s v="39eb2522165ab190d82cacfe692360471cf38dec"/>
    <x v="339"/>
    <x v="0"/>
    <n v="2"/>
    <n v="0"/>
  </r>
  <r>
    <s v="454e93764bd56d475bcf7bed0b9019542893ad32"/>
    <x v="340"/>
    <x v="0"/>
    <n v="2"/>
    <n v="0"/>
  </r>
  <r>
    <s v="dacce5febe85b7132ea1c967d04ce6e88ac20726"/>
    <x v="341"/>
    <x v="0"/>
    <n v="2"/>
    <n v="0"/>
  </r>
  <r>
    <s v="6424a80c98e64acc25a8a9252995475a15eed4c6"/>
    <x v="342"/>
    <x v="0"/>
    <n v="2"/>
    <n v="0"/>
  </r>
  <r>
    <s v="f675eade6b333e4a6a25603b064e1b9929e57925"/>
    <x v="343"/>
    <x v="0"/>
    <n v="2"/>
    <n v="0"/>
  </r>
  <r>
    <s v="2acc9a83c637176b7d1f53345cdcb05a1b2cea91"/>
    <x v="344"/>
    <x v="0"/>
    <n v="2"/>
    <n v="0"/>
  </r>
  <r>
    <s v="27bd5c9b549083469bf8aa94dbe5784c65c2effb"/>
    <x v="345"/>
    <x v="0"/>
    <n v="2"/>
    <n v="0"/>
  </r>
  <r>
    <s v="334ff7c921287f9dcf3f632453d406d8ecdd5c87"/>
    <x v="346"/>
    <x v="0"/>
    <n v="2"/>
    <n v="1"/>
  </r>
  <r>
    <s v="4150d11fa468ce24188732b6ebe73bc5d0eac326"/>
    <x v="347"/>
    <x v="0"/>
    <n v="2"/>
    <n v="0"/>
  </r>
  <r>
    <s v="bfa7d1e26499c0b4624e2fcdd5e3b4d5a3a65923"/>
    <x v="348"/>
    <x v="0"/>
    <n v="2"/>
    <n v="0"/>
  </r>
  <r>
    <s v="2dc52c155c953bd8a56d728e97a0b865bdee4074"/>
    <x v="349"/>
    <x v="0"/>
    <n v="2"/>
    <n v="1"/>
  </r>
  <r>
    <s v="1fe71dd8c407ccf84ef4942546433a8f920a166e"/>
    <x v="350"/>
    <x v="0"/>
    <n v="2"/>
    <n v="1"/>
  </r>
  <r>
    <s v="5e9713d71f5ca58cf4681e17c2c514a8283fdf20"/>
    <x v="351"/>
    <x v="0"/>
    <n v="2"/>
    <n v="0"/>
  </r>
  <r>
    <s v="5f0492de19dad55509c187eb8f594c3c1c25e21d"/>
    <x v="352"/>
    <x v="0"/>
    <n v="2"/>
    <n v="0"/>
  </r>
  <r>
    <s v="75b4cc50b563114a11f16349845bd4a2f72bfe02"/>
    <x v="353"/>
    <x v="0"/>
    <n v="2"/>
    <n v="0"/>
  </r>
  <r>
    <s v="e77305cfe951e8cafbd754399e17318a8df5e8e0"/>
    <x v="354"/>
    <x v="0"/>
    <n v="2"/>
    <n v="0"/>
  </r>
  <r>
    <s v="4756d58747eccb12b89f42ac5c2098fc72fa0d6c"/>
    <x v="355"/>
    <x v="0"/>
    <n v="2"/>
    <n v="0"/>
  </r>
  <r>
    <s v="bfdfe527c6c1667c3632b2bd54b7b217469faa2e"/>
    <x v="356"/>
    <x v="0"/>
    <n v="2"/>
    <n v="1"/>
  </r>
  <r>
    <s v="86ce56c40156111d5a4c002932087d92de192400"/>
    <x v="357"/>
    <x v="0"/>
    <n v="2"/>
    <n v="2"/>
  </r>
  <r>
    <s v="13668d3fce020b893eaa9f9f84fff372afba21b2"/>
    <x v="358"/>
    <x v="0"/>
    <n v="2"/>
    <n v="0"/>
  </r>
  <r>
    <s v="9b033f412c09b189881d576f3bad82f828d09642"/>
    <x v="359"/>
    <x v="0"/>
    <n v="2"/>
    <n v="0"/>
  </r>
  <r>
    <s v="8fe3f1f028d16f56e2f20fa3b68290e9f7493293"/>
    <x v="360"/>
    <x v="0"/>
    <n v="2"/>
    <n v="0"/>
  </r>
  <r>
    <s v="9d3fc6d930d214882142382363ee19ebd7a009bf"/>
    <x v="361"/>
    <x v="0"/>
    <n v="2"/>
    <n v="1"/>
  </r>
  <r>
    <s v="f4966f7cd3fafc0b7937be44b4dcdb79f414d2bc"/>
    <x v="362"/>
    <x v="0"/>
    <n v="2"/>
    <n v="0"/>
  </r>
  <r>
    <s v="acaf41aaee57cb730de8692da890f1ed4f5f273a"/>
    <x v="363"/>
    <x v="0"/>
    <n v="2"/>
    <n v="0"/>
  </r>
  <r>
    <s v="38e155e38899b86dbcf4705cc0fabc59d1d1f77e"/>
    <x v="364"/>
    <x v="0"/>
    <n v="2"/>
    <n v="0"/>
  </r>
  <r>
    <s v="922b2c7f2174b6e6c3dec9c83ec8c800b2b58307"/>
    <x v="365"/>
    <x v="0"/>
    <n v="2"/>
    <n v="1"/>
  </r>
  <r>
    <s v="e295fdf1d706b32a070ae5b68d9387f9342f142a"/>
    <x v="366"/>
    <x v="0"/>
    <n v="2"/>
    <n v="0"/>
  </r>
  <r>
    <s v="917b3dff6ca74d88bc22e419f5839cbc3cc26524"/>
    <x v="367"/>
    <x v="0"/>
    <n v="2"/>
    <n v="0"/>
  </r>
  <r>
    <s v="2ac1df4b91ea5bf0ee94d4d89e135d8a355bd8c8"/>
    <x v="368"/>
    <x v="0"/>
    <n v="2"/>
    <n v="0"/>
  </r>
  <r>
    <s v="b5973a4a1da2285d4a814dd88b1f48f48376fc8d"/>
    <x v="369"/>
    <x v="0"/>
    <n v="2"/>
    <n v="0"/>
  </r>
  <r>
    <s v="dd8cdda6eeb4a29d991a61d58e06167b51ffa20f"/>
    <x v="370"/>
    <x v="0"/>
    <n v="2"/>
    <n v="0"/>
  </r>
  <r>
    <s v="75d8cbb8b3b21f6f90f6b429546a56a1550f7487"/>
    <x v="371"/>
    <x v="0"/>
    <n v="2"/>
    <n v="1"/>
  </r>
  <r>
    <s v="eae53ce7467a97d749616f0954056e22494c165a"/>
    <x v="372"/>
    <x v="0"/>
    <n v="2"/>
    <n v="0"/>
  </r>
  <r>
    <s v="c937126b314a3a7d7b102a57a98ac7e8305ea805"/>
    <x v="373"/>
    <x v="0"/>
    <n v="2"/>
    <n v="0"/>
  </r>
  <r>
    <s v="cc571a3a2cef5a5bb68384088158e9977e34db42"/>
    <x v="374"/>
    <x v="0"/>
    <n v="2"/>
    <n v="1"/>
  </r>
  <r>
    <s v="8c412ca033ff32f46fd9bf7935524b2f058c2c94"/>
    <x v="375"/>
    <x v="0"/>
    <n v="2"/>
    <n v="0"/>
  </r>
  <r>
    <s v="652df3338f92d380d23f4c95a344d49f4249cd64"/>
    <x v="376"/>
    <x v="0"/>
    <n v="2"/>
    <n v="0"/>
  </r>
  <r>
    <s v="cd897a6a7697f6436eb5e6b7c66c8f84260815e6"/>
    <x v="377"/>
    <x v="0"/>
    <n v="2"/>
    <n v="0"/>
  </r>
  <r>
    <s v="57a4e6c37b43167630618e105d9a2cc85dc79b4e"/>
    <x v="378"/>
    <x v="0"/>
    <n v="2"/>
    <n v="0"/>
  </r>
  <r>
    <s v="d6286026a3161057e8730541e5d41592a8c51fb4"/>
    <x v="379"/>
    <x v="0"/>
    <n v="2"/>
    <n v="0"/>
  </r>
  <r>
    <s v="dc6f8b996df6576f4883b66faf1066be7fb14a9d"/>
    <x v="380"/>
    <x v="0"/>
    <n v="2"/>
    <n v="0"/>
  </r>
  <r>
    <s v="dfc7cc08d6e0b3f534dd5f7269f322c191e1f9c8"/>
    <x v="381"/>
    <x v="0"/>
    <n v="2"/>
    <n v="0"/>
  </r>
  <r>
    <s v="a73d15b70e29fc6a14195f4160c0626663b688ee"/>
    <x v="382"/>
    <x v="0"/>
    <n v="2"/>
    <n v="0"/>
  </r>
  <r>
    <s v="8580f732e1ad38d2484d7e84fd5f5e8db64315bf"/>
    <x v="383"/>
    <x v="0"/>
    <n v="2"/>
    <n v="1"/>
  </r>
  <r>
    <s v="b6e38cceef6a6e9ed68462e8a0a98c135872caa8"/>
    <x v="384"/>
    <x v="0"/>
    <n v="2"/>
    <n v="0"/>
  </r>
  <r>
    <s v="bc3766f41f379fe517d0a4931690698e3110dfdf"/>
    <x v="385"/>
    <x v="0"/>
    <n v="2"/>
    <n v="0"/>
  </r>
  <r>
    <s v="95d49f547ace51cabbc6316feb265e18e495d87d"/>
    <x v="386"/>
    <x v="0"/>
    <n v="2"/>
    <n v="0"/>
  </r>
  <r>
    <s v="991785054ddb2a01864196e96bf861d287073ddc"/>
    <x v="387"/>
    <x v="0"/>
    <n v="2"/>
    <n v="0"/>
  </r>
  <r>
    <s v="acad637198f585c75fb7accd768f29a0d0d0a2f0"/>
    <x v="388"/>
    <x v="0"/>
    <n v="2"/>
    <n v="2"/>
  </r>
  <r>
    <s v="f461f5609b37e76c159594e314bc96dc57cd06bb"/>
    <x v="389"/>
    <x v="0"/>
    <n v="2"/>
    <n v="0"/>
  </r>
  <r>
    <s v="6f0a7b4d5bb0e141cd56c319752978a1237004c0"/>
    <x v="390"/>
    <x v="0"/>
    <n v="2"/>
    <n v="1"/>
  </r>
  <r>
    <s v="e00729ea4bbe7316058534fd0b96289375bb1250"/>
    <x v="391"/>
    <x v="0"/>
    <n v="2"/>
    <n v="0"/>
  </r>
  <r>
    <s v="bbcf2867f0f017dd574a762681314375bd927882"/>
    <x v="392"/>
    <x v="0"/>
    <n v="2"/>
    <n v="0"/>
  </r>
  <r>
    <s v="a885a2391378bab20ee431f6296f6768a4b3a083"/>
    <x v="393"/>
    <x v="0"/>
    <n v="2"/>
    <n v="0"/>
  </r>
  <r>
    <s v="48661984c9b31675fa5857a298df6c958e1bfc31"/>
    <x v="394"/>
    <x v="0"/>
    <n v="2"/>
    <n v="0"/>
  </r>
  <r>
    <s v="30c229f2245ff850909b318d0a18e348d32102ab"/>
    <x v="395"/>
    <x v="0"/>
    <n v="2"/>
    <n v="0"/>
  </r>
  <r>
    <s v="3a753c56fe92382bfc627e04a636c1e1377f04d0"/>
    <x v="396"/>
    <x v="0"/>
    <n v="2"/>
    <n v="0"/>
  </r>
  <r>
    <s v="20572e4ad19f7e226f00d09b4daf027adcf21117"/>
    <x v="397"/>
    <x v="0"/>
    <n v="2"/>
    <n v="1"/>
  </r>
  <r>
    <s v="a1b4f795ca8cf810697fccc805d41fc3cff2107f"/>
    <x v="398"/>
    <x v="0"/>
    <n v="2"/>
    <n v="0"/>
  </r>
  <r>
    <s v="6baefcccb6648913303cf4e005952ce2910cb5a4"/>
    <x v="399"/>
    <x v="0"/>
    <n v="2"/>
    <n v="0"/>
  </r>
  <r>
    <s v="1ba1a0f59bf0e969aa13a046526fa1eaea053f97"/>
    <x v="400"/>
    <x v="0"/>
    <n v="2"/>
    <n v="1"/>
  </r>
  <r>
    <s v="667f9cb199bf9ff3f7c40d99fa1f7a75ac5e74c9"/>
    <x v="401"/>
    <x v="0"/>
    <n v="2"/>
    <n v="0"/>
  </r>
  <r>
    <s v="44a20e7d0269e48f750ad5e67931fd65c5036fab"/>
    <x v="402"/>
    <x v="0"/>
    <n v="2"/>
    <n v="0"/>
  </r>
  <r>
    <s v="7bf8e8e894e0358401de4be1aa15986627efad11"/>
    <x v="403"/>
    <x v="0"/>
    <n v="2"/>
    <n v="0"/>
  </r>
  <r>
    <s v="511b42a073230dde6a0f587b24886ba81f0515e8"/>
    <x v="404"/>
    <x v="0"/>
    <n v="2"/>
    <n v="0"/>
  </r>
  <r>
    <s v="e1ea7ddb967bfac6556c025a4074450c5cea3425"/>
    <x v="405"/>
    <x v="0"/>
    <n v="2"/>
    <n v="1"/>
  </r>
  <r>
    <s v="156e6348317247276b43a314c6a2794f313458c1"/>
    <x v="406"/>
    <x v="0"/>
    <n v="2"/>
    <n v="0"/>
  </r>
  <r>
    <s v="c1ed25640325df79ea16c5657ce02b88e88b7710"/>
    <x v="407"/>
    <x v="0"/>
    <n v="2"/>
    <n v="0"/>
  </r>
  <r>
    <s v="cbcdce36647123fc3c65f07fbcbd5147412d35a1"/>
    <x v="408"/>
    <x v="0"/>
    <n v="2"/>
    <n v="0"/>
  </r>
  <r>
    <s v="2b7bb6c6a413d14d575dbac69b3b9209ab3a8b46"/>
    <x v="409"/>
    <x v="0"/>
    <n v="2"/>
    <n v="1"/>
  </r>
  <r>
    <s v="4fd8ce1cb10aa7d4876497d73c8217c979231eeb"/>
    <x v="410"/>
    <x v="0"/>
    <n v="2"/>
    <n v="0"/>
  </r>
  <r>
    <s v="bc0ae8e08debdbf6c156a56a966e7baa243dd452"/>
    <x v="411"/>
    <x v="0"/>
    <n v="2"/>
    <n v="1"/>
  </r>
  <r>
    <s v="6a029772a98f2d9a442a1c83293c5c247a9227e1"/>
    <x v="411"/>
    <x v="0"/>
    <n v="2"/>
    <n v="2"/>
  </r>
  <r>
    <s v="e76e458213e77b329110cbf976ea738a4c16c817"/>
    <x v="412"/>
    <x v="0"/>
    <n v="2"/>
    <n v="1"/>
  </r>
  <r>
    <s v="e708c4e2adb8ea67d421ea4ecba4ae2c0d50e8bf"/>
    <x v="413"/>
    <x v="0"/>
    <n v="2"/>
    <n v="0"/>
  </r>
  <r>
    <s v="0aba1bcdc12707cd1dbd238765592795d39010d5"/>
    <x v="414"/>
    <x v="0"/>
    <n v="2"/>
    <n v="1"/>
  </r>
  <r>
    <s v="9ffcbba5e96ea508419171c0ff1d18a5fdc88c4a"/>
    <x v="415"/>
    <x v="0"/>
    <n v="2"/>
    <n v="0"/>
  </r>
  <r>
    <s v="affd29160eb0b1556b69244cccadb10700cdaedb"/>
    <x v="416"/>
    <x v="0"/>
    <n v="2"/>
    <n v="0"/>
  </r>
  <r>
    <s v="55d6f460a2c886bd57770a81968bb60cfbee124f"/>
    <x v="417"/>
    <x v="0"/>
    <n v="2"/>
    <n v="0"/>
  </r>
  <r>
    <s v="951db7d589996fd6777a4468099b506e3828cb9c"/>
    <x v="418"/>
    <x v="0"/>
    <n v="2"/>
    <n v="0"/>
  </r>
  <r>
    <s v="8663cf01b600a8a2fa13554e2a5940699a22b8e8"/>
    <x v="419"/>
    <x v="0"/>
    <n v="2"/>
    <n v="0"/>
  </r>
  <r>
    <s v="0abe6e13a060ad15eaad840a04410eedbb81bf3a"/>
    <x v="420"/>
    <x v="0"/>
    <n v="2"/>
    <n v="0"/>
  </r>
  <r>
    <s v="bb258d95fa0c14229b6fc30ad003c402aa5631d4"/>
    <x v="421"/>
    <x v="0"/>
    <n v="2"/>
    <n v="1"/>
  </r>
  <r>
    <s v="51f1c0b72fbc6f9602df2d0332473fa05ea36f38"/>
    <x v="422"/>
    <x v="0"/>
    <n v="2"/>
    <n v="1"/>
  </r>
  <r>
    <s v="e4abef20fbdb71971085e7507d7fff4b92676368"/>
    <x v="423"/>
    <x v="0"/>
    <n v="2"/>
    <n v="1"/>
  </r>
  <r>
    <s v="860cc9eb61a6a3212e4b8589ac11a74b59b1fcf7"/>
    <x v="424"/>
    <x v="0"/>
    <n v="2"/>
    <n v="0"/>
  </r>
  <r>
    <s v="f495a6edfe3c312dc0a48253c4a828da346372d5"/>
    <x v="425"/>
    <x v="0"/>
    <n v="2"/>
    <n v="0"/>
  </r>
  <r>
    <s v="9c197b2421a6c2d0b34849859cd260c359060896"/>
    <x v="426"/>
    <x v="0"/>
    <n v="2"/>
    <n v="1"/>
  </r>
  <r>
    <s v="3dc282f3f7b7a9e7b67aa781712889370ae8e4dd"/>
    <x v="427"/>
    <x v="0"/>
    <n v="2"/>
    <n v="0"/>
  </r>
  <r>
    <s v="2afdf3db7d4ed4e3839edae3f2704221087446c9"/>
    <x v="428"/>
    <x v="0"/>
    <n v="2"/>
    <n v="0"/>
  </r>
  <r>
    <s v="e330af12e6903fdcd166276e6e21b902dc9fb2f3"/>
    <x v="429"/>
    <x v="0"/>
    <n v="2"/>
    <n v="0"/>
  </r>
  <r>
    <s v="e4244cc8b71aad69f028be19836439dd7a5e5fdd"/>
    <x v="430"/>
    <x v="0"/>
    <n v="2"/>
    <n v="0"/>
  </r>
  <r>
    <s v="9b641b1518c7ef710aa00ad77c97b6feac443435"/>
    <x v="431"/>
    <x v="0"/>
    <n v="2"/>
    <n v="1"/>
  </r>
  <r>
    <s v="97e00ae4855dc7dbaf759c5b947126a0849a79ec"/>
    <x v="432"/>
    <x v="0"/>
    <n v="2"/>
    <n v="0"/>
  </r>
  <r>
    <s v="8fac8d263f0bccdea1f1cffbbb995899f8e2169d"/>
    <x v="433"/>
    <x v="0"/>
    <n v="2"/>
    <n v="1"/>
  </r>
  <r>
    <s v="f0130bf1b2410807fccf4f0c9af259201151228a"/>
    <x v="434"/>
    <x v="0"/>
    <n v="2"/>
    <n v="0"/>
  </r>
  <r>
    <s v="c94ee12669a41743897f97d08a0c9fbeaa8cb209"/>
    <x v="435"/>
    <x v="0"/>
    <n v="2"/>
    <n v="0"/>
  </r>
  <r>
    <s v="37fbcf4da2926f95098044f3abf5fff7707a806c"/>
    <x v="436"/>
    <x v="0"/>
    <n v="2"/>
    <n v="0"/>
  </r>
  <r>
    <s v="ca3ad78017f64c6f3fec10dd9ba335ff770b57f3"/>
    <x v="437"/>
    <x v="0"/>
    <n v="2"/>
    <n v="0"/>
  </r>
  <r>
    <s v="b96bbd6c0c966d8497acb79eb20b73fa43d98b41"/>
    <x v="438"/>
    <x v="0"/>
    <n v="2"/>
    <n v="0"/>
  </r>
  <r>
    <s v="246be7caeb79ca3d276852e88887bee5aff4abb5"/>
    <x v="439"/>
    <x v="0"/>
    <n v="2"/>
    <n v="0"/>
  </r>
  <r>
    <s v="32e798df40f61afebf173cd1e9f6023ffb81e4b5"/>
    <x v="440"/>
    <x v="0"/>
    <n v="2"/>
    <n v="0"/>
  </r>
  <r>
    <s v="0235a5aeffecf428dd790ce32fa328c42afde9de"/>
    <x v="441"/>
    <x v="0"/>
    <n v="2"/>
    <n v="0"/>
  </r>
  <r>
    <s v="f338e21b4f00d66f14b83af3f0c91a9ac15d8513"/>
    <x v="442"/>
    <x v="0"/>
    <n v="2"/>
    <n v="0"/>
  </r>
  <r>
    <s v="8060a13e57aeb4d15cfe8578c01ca3cc47dae03a"/>
    <x v="443"/>
    <x v="0"/>
    <n v="2"/>
    <n v="0"/>
  </r>
  <r>
    <s v="e5463e3d53fdf74e917d63dc44ec60bab60a24d4"/>
    <x v="444"/>
    <x v="0"/>
    <n v="2"/>
    <n v="0"/>
  </r>
  <r>
    <s v="3c349c0cd460bea2f017b52e92550bab0f91247e"/>
    <x v="445"/>
    <x v="0"/>
    <n v="2"/>
    <n v="0"/>
  </r>
  <r>
    <s v="d9b2681894bb245406b0c8185fe82b74b64e1fdb"/>
    <x v="446"/>
    <x v="0"/>
    <n v="2"/>
    <n v="0"/>
  </r>
  <r>
    <s v="078ccd37a8e410c60c0481a1f1698df948d63781"/>
    <x v="447"/>
    <x v="0"/>
    <n v="2"/>
    <n v="0"/>
  </r>
  <r>
    <s v="749f4ffadff0afa4dfedd583da0a1eb6d38ef635"/>
    <x v="448"/>
    <x v="0"/>
    <n v="2"/>
    <n v="0"/>
  </r>
  <r>
    <s v="22583135300e45b1c3d4b6256215e5d3282f7c2f"/>
    <x v="449"/>
    <x v="0"/>
    <n v="2"/>
    <n v="1"/>
  </r>
  <r>
    <s v="57c788a5c47393baf358fdd934e6214ac9623e86"/>
    <x v="450"/>
    <x v="0"/>
    <n v="2"/>
    <n v="0"/>
  </r>
  <r>
    <s v="bb7cfd940dfdd8d0517c81083c14d67236a98287"/>
    <x v="451"/>
    <x v="0"/>
    <n v="2"/>
    <n v="1"/>
  </r>
  <r>
    <s v="708b609ccce2ca8334acb9f5399a7d199a33880a"/>
    <x v="452"/>
    <x v="0"/>
    <n v="2"/>
    <n v="0"/>
  </r>
  <r>
    <s v="d621c0009700b657aec15519750b0dc6cd7d3e89"/>
    <x v="453"/>
    <x v="0"/>
    <n v="2"/>
    <n v="0"/>
  </r>
  <r>
    <s v="b9eda264e0cad3df549c2c53fafa7e5ecda57dbc"/>
    <x v="454"/>
    <x v="0"/>
    <n v="2"/>
    <n v="0"/>
  </r>
  <r>
    <s v="bb5d8814e8226e7117cf8d02d74a1c27c35c8930"/>
    <x v="455"/>
    <x v="0"/>
    <n v="2"/>
    <n v="0"/>
  </r>
  <r>
    <s v="a4ddfa7eaa9d109d2a9a6e26594e48289484f5c6"/>
    <x v="456"/>
    <x v="0"/>
    <n v="2"/>
    <n v="0"/>
  </r>
  <r>
    <s v="d8aa2225491d003743069f1dcff5217a38c7f71a"/>
    <x v="457"/>
    <x v="0"/>
    <n v="2"/>
    <n v="0"/>
  </r>
  <r>
    <s v="aa7bfd9bbec0e2ee17569070fe2484fe731ced1c"/>
    <x v="458"/>
    <x v="0"/>
    <n v="2"/>
    <n v="0"/>
  </r>
  <r>
    <s v="7b8bbb7e8d6df79f2dc94fc17bc522de243be14c"/>
    <x v="459"/>
    <x v="0"/>
    <n v="2"/>
    <n v="0"/>
  </r>
  <r>
    <s v="005effe68ed63b42a5d4ad7b6a8e695f00df3741"/>
    <x v="460"/>
    <x v="0"/>
    <n v="2"/>
    <n v="0"/>
  </r>
  <r>
    <s v="e87967c4fa90e143c195f2437a10063265ce7051"/>
    <x v="461"/>
    <x v="0"/>
    <n v="2"/>
    <n v="1"/>
  </r>
  <r>
    <s v="f19ee8309262786c6dc141fecc1ecd42c53d3268"/>
    <x v="462"/>
    <x v="0"/>
    <n v="2"/>
    <n v="0"/>
  </r>
  <r>
    <s v="1166ba01cf947c34bdf4023b3cb5e96cd2d1a5f9"/>
    <x v="463"/>
    <x v="0"/>
    <n v="2"/>
    <n v="0"/>
  </r>
  <r>
    <s v="425633442d34b004ac6be25ec89fca5d12b4bb66"/>
    <x v="464"/>
    <x v="0"/>
    <n v="2"/>
    <n v="0"/>
  </r>
  <r>
    <s v="7be3d2d2a40a404d58f2102b524380ea574d1bfe"/>
    <x v="465"/>
    <x v="0"/>
    <n v="2"/>
    <n v="1"/>
  </r>
  <r>
    <s v="905a3c9ea668fe8c465443208f2d284ad4c130d3"/>
    <x v="466"/>
    <x v="0"/>
    <n v="2"/>
    <n v="0"/>
  </r>
  <r>
    <s v="bbad34bf3ef210b3ec8b54830742c2768181571f"/>
    <x v="467"/>
    <x v="0"/>
    <n v="2"/>
    <n v="0"/>
  </r>
  <r>
    <s v="7c8eea715768d754a1c2a19fdad97fa09ff3179c"/>
    <x v="468"/>
    <x v="0"/>
    <n v="2"/>
    <n v="1"/>
  </r>
  <r>
    <s v="6e58e07cb3ff9260426d5426fafc4e2d091c2834"/>
    <x v="469"/>
    <x v="0"/>
    <n v="2"/>
    <n v="0"/>
  </r>
  <r>
    <s v="ec9d403c63131206d9ca4a77c4c90ffb190129d8"/>
    <x v="470"/>
    <x v="0"/>
    <n v="2"/>
    <n v="0"/>
  </r>
  <r>
    <s v="fa68f24292a492b3299467200fbb5339bf258f70"/>
    <x v="471"/>
    <x v="0"/>
    <n v="2"/>
    <n v="0"/>
  </r>
  <r>
    <s v="f945f9139999ae7990e736a1afa178a01194b71e"/>
    <x v="472"/>
    <x v="0"/>
    <n v="2"/>
    <n v="0"/>
  </r>
  <r>
    <s v="7c51287f83140307262a9409c2157df32f59f932"/>
    <x v="473"/>
    <x v="0"/>
    <n v="2"/>
    <n v="0"/>
  </r>
  <r>
    <s v="0a8fb9bf6773ed33b7797b2a7c320ffc5468e951"/>
    <x v="474"/>
    <x v="0"/>
    <n v="2"/>
    <n v="0"/>
  </r>
  <r>
    <s v="7e82ecb64f949ec5174fd0424493d940e09447ca"/>
    <x v="475"/>
    <x v="0"/>
    <n v="2"/>
    <n v="0"/>
  </r>
  <r>
    <s v="4aa2d39aaad93ade84cf125cf1e28a7917bbb99e"/>
    <x v="476"/>
    <x v="0"/>
    <n v="2"/>
    <n v="0"/>
  </r>
  <r>
    <s v="4cd8478f7e6f66bb5361b3f1317b2764a5a70ecc"/>
    <x v="477"/>
    <x v="0"/>
    <n v="2"/>
    <n v="0"/>
  </r>
  <r>
    <s v="52b9e14aad9f77b3915a311b5ed952ead10daaad"/>
    <x v="478"/>
    <x v="0"/>
    <n v="2"/>
    <n v="0"/>
  </r>
  <r>
    <s v="de14777e599fb00ced12ce8cde6a47f173b68de4"/>
    <x v="479"/>
    <x v="0"/>
    <n v="2"/>
    <n v="0"/>
  </r>
  <r>
    <s v="91b3d3c544932c29e50d278e7782ff5c720df0af"/>
    <x v="480"/>
    <x v="0"/>
    <n v="2"/>
    <n v="0"/>
  </r>
  <r>
    <s v="0dfb3ee83c139929ae72c8d70c0f018bfcd5d4d7"/>
    <x v="481"/>
    <x v="0"/>
    <n v="2"/>
    <n v="1"/>
  </r>
  <r>
    <s v="6da5894f49aba524443fda11702fea33de43733d"/>
    <x v="482"/>
    <x v="0"/>
    <n v="2"/>
    <n v="0"/>
  </r>
  <r>
    <s v="0032c5053ff4d59e450a10135792045ecc623180"/>
    <x v="483"/>
    <x v="0"/>
    <n v="2"/>
    <n v="1"/>
  </r>
  <r>
    <s v="a68d644773dc75b69b2086eda1a85c31945e3427"/>
    <x v="484"/>
    <x v="0"/>
    <n v="2"/>
    <n v="0"/>
  </r>
  <r>
    <s v="d3f233ddf4faf64e2726ecb4a452aa85e85beea6"/>
    <x v="485"/>
    <x v="0"/>
    <n v="2"/>
    <n v="0"/>
  </r>
  <r>
    <s v="6ab4691effdd8bf750418d0222edc081cf765b7b"/>
    <x v="486"/>
    <x v="0"/>
    <n v="2"/>
    <n v="0"/>
  </r>
  <r>
    <s v="bacba61f4b63d79393c93bc622d6f12260bdfc12"/>
    <x v="487"/>
    <x v="0"/>
    <n v="2"/>
    <n v="1"/>
  </r>
  <r>
    <s v="5d78f3c958394c645d7c65c6b7f8f01d7ccd66fb"/>
    <x v="488"/>
    <x v="0"/>
    <n v="2"/>
    <n v="0"/>
  </r>
  <r>
    <s v="bc0b850510e149f1e2adafb864d045cbb46a7dea"/>
    <x v="489"/>
    <x v="0"/>
    <n v="2"/>
    <n v="0"/>
  </r>
  <r>
    <s v="368bd249b7cb7f349b0fc1b2864b7d8798783a21"/>
    <x v="490"/>
    <x v="0"/>
    <n v="2"/>
    <n v="2"/>
  </r>
  <r>
    <s v="8b9b5d6ade24e900b249ecd36f97cb670bb3ea95"/>
    <x v="490"/>
    <x v="0"/>
    <n v="2"/>
    <n v="1"/>
  </r>
  <r>
    <s v="bdaf5eadc276804e249fdcdebed110cf6329d0f6"/>
    <x v="491"/>
    <x v="0"/>
    <n v="2"/>
    <n v="0"/>
  </r>
  <r>
    <s v="5379a8100cb6dfe5cae99cdf26afdcdd6c3ade50"/>
    <x v="492"/>
    <x v="0"/>
    <n v="2"/>
    <n v="0"/>
  </r>
  <r>
    <s v="7d40b9f00b9a4d5f8e3152d7baf84fae7a8a7f35"/>
    <x v="493"/>
    <x v="0"/>
    <n v="2"/>
    <n v="1"/>
  </r>
  <r>
    <s v="e14a9a91deffbd8dc1d4dd0144e558e9e804f41d"/>
    <x v="494"/>
    <x v="0"/>
    <n v="2"/>
    <n v="1"/>
  </r>
  <r>
    <s v="f52c7f7da2f73b56eb2f4e9191a281acb9bea5e9"/>
    <x v="495"/>
    <x v="0"/>
    <n v="2"/>
    <n v="0"/>
  </r>
  <r>
    <s v="edd7feae7de862140560fde2a97f9065bef1ee32"/>
    <x v="496"/>
    <x v="0"/>
    <n v="2"/>
    <n v="0"/>
  </r>
  <r>
    <s v="32a95fc57caed0658eda9906833e26d879142957"/>
    <x v="497"/>
    <x v="0"/>
    <n v="2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able7" cacheId="9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U16:V59" firstHeaderRow="2" firstDataRow="2" firstDataCol="1"/>
  <pivotFields count="6">
    <pivotField axis="axisRow" showAll="0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showAll="0"/>
    <pivotField numFmtId="164" showAll="0"/>
    <pivotField dataField="1" showAll="0"/>
    <pivotField showAll="0"/>
    <pivotField showAll="0"/>
  </pivotFields>
  <rowFields count="1">
    <field x="0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Items count="1">
    <i/>
  </colItems>
  <dataFields count="1">
    <dataField name="Count of 45dbab7" fld="3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9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Y25:Z68" firstHeaderRow="2" firstDataRow="2" firstDataCol="1"/>
  <pivotFields count="5">
    <pivotField axis="axisRow" showAll="0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numFmtId="164" showAll="0"/>
    <pivotField dataField="1" showAll="0"/>
    <pivotField showAll="0"/>
    <pivotField showAll="0"/>
  </pivotFields>
  <rowFields count="1">
    <field x="0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Items count="1">
    <i/>
  </colItems>
  <dataFields count="1">
    <dataField name="Count of Id" fld="2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9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B22" firstHeaderRow="2" firstDataRow="2" firstDataCol="1"/>
  <pivotFields count="6">
    <pivotField axis="axisRow" numFmtId="164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axis="axisRow" showAll="0" defaultSubtotal="0">
      <items count="6">
        <item x="0"/>
        <item x="1"/>
        <item x="2"/>
        <item x="3"/>
        <item x="4"/>
        <item x="5"/>
      </items>
    </pivotField>
  </pivotFields>
  <rowFields count="2">
    <field x="5"/>
    <field x="0"/>
  </rowFields>
  <rowItems count="18">
    <i>
      <x v="1"/>
    </i>
    <i r="1">
      <x v="1"/>
    </i>
    <i r="1">
      <x v="2"/>
    </i>
    <i r="1">
      <x v="4"/>
    </i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r="1">
      <x v="4"/>
    </i>
    <i>
      <x v="4"/>
    </i>
    <i r="1">
      <x v="1"/>
    </i>
    <i r="1">
      <x v="2"/>
    </i>
    <i t="grand">
      <x/>
    </i>
  </rowItems>
  <colItems count="1">
    <i/>
  </colItems>
  <dataFields count="1">
    <dataField name="Sum of Conflicts" fld="4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7" cacheId="9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S20:T30" firstHeaderRow="2" firstDataRow="2" firstDataCol="1"/>
  <pivotFields count="4"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164" showAll="0"/>
    <pivotField dataField="1" showAll="0"/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Id" fld="2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9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T11:U21" firstHeaderRow="2" firstDataRow="2" firstDataCol="1"/>
  <pivotFields count="4"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numFmtId="164" showAll="0"/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Id" fld="3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5" cacheId="9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T11:U21" firstHeaderRow="2" firstDataRow="2" firstDataCol="1"/>
  <pivotFields count="4"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numFmtId="164" showAll="0"/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Id" fld="3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9" cacheId="9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T23:U49" firstHeaderRow="2" firstDataRow="2" firstDataCol="1"/>
  <pivotFields count="5">
    <pivotField showAll="0"/>
    <pivotField axis="axisRow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numFmtId="164" showAll="0"/>
    <pivotField dataField="1" showAll="0"/>
    <pivotField showAll="0"/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Count of Id" fld="3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0" cacheId="9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S20:T38" firstHeaderRow="2" firstDataRow="2" firstDataCol="1"/>
  <pivotFields count="4">
    <pivotField showAll="0"/>
    <pivotField axis="axisRow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numFmtId="164" showAll="0"/>
    <pivotField dataField="1"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Count of Id" fld="3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2" cacheId="9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S18:T58" firstHeaderRow="2" firstDataRow="2" firstDataCol="1"/>
  <pivotFields count="4">
    <pivotField showAll="0"/>
    <pivotField axis="axisRow" showAl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numFmtId="164" showAll="0"/>
    <pivotField dataField="1" showAll="0"/>
  </pivotFields>
  <rowFields count="1">
    <field x="1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Count of Id" fld="3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13" cacheId="10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S13:T27" firstHeaderRow="2" firstDataRow="2" firstDataCol="1"/>
  <pivotFields count="4">
    <pivotField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164" showAll="0"/>
    <pivotField dataField="1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unt of Id" fld="3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ivotTable14" cacheId="10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S15:T76" firstHeaderRow="2" firstDataRow="2" firstDataCol="1"/>
  <pivotFields count="3">
    <pivotField axis="axisRow" showAll="0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t="default"/>
      </items>
    </pivotField>
    <pivotField numFmtId="164" showAll="0"/>
    <pivotField dataField="1" showAll="0"/>
  </pivotFields>
  <rowFields count="1">
    <field x="0"/>
  </rowFields>
  <rowItems count="6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 t="grand">
      <x/>
    </i>
  </rowItems>
  <colItems count="1">
    <i/>
  </colItems>
  <dataFields count="1">
    <dataField name="Count of Id" fld="2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2.xml><?xml version="1.0" encoding="utf-8"?>
<pivotTableDefinition xmlns="http://schemas.openxmlformats.org/spreadsheetml/2006/main" name="PivotTable15" cacheId="10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S23:T73" firstHeaderRow="2" firstDataRow="2" firstDataCol="1"/>
  <pivotFields count="3">
    <pivotField axis="axisRow" showAl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numFmtId="164" showAll="0"/>
    <pivotField dataField="1" showAll="0"/>
  </pivotFields>
  <rowFields count="1">
    <field x="0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Items count="1">
    <i/>
  </colItems>
  <dataFields count="1">
    <dataField name="Count of Id" fld="2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3.xml><?xml version="1.0" encoding="utf-8"?>
<pivotTableDefinition xmlns="http://schemas.openxmlformats.org/spreadsheetml/2006/main" name="PivotTable12" cacheId="10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I13:K47" firstHeaderRow="1" firstDataRow="2" firstDataCol="1"/>
  <pivotFields count="6">
    <pivotField showAll="0"/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2">
        <item x="0"/>
        <item t="default"/>
      </items>
    </pivotField>
    <pivotField dataField="1" showAll="0"/>
    <pivotField dataField="1" showAll="0"/>
    <pivotField axis="axisRow" showAll="0" defaultSubtotal="0">
      <items count="6">
        <item x="0"/>
        <item x="1"/>
        <item x="2"/>
        <item x="3"/>
        <item x="4"/>
        <item x="5"/>
      </items>
    </pivotField>
  </pivotFields>
  <rowFields count="2">
    <field x="5"/>
    <field x="1"/>
  </rowFields>
  <rowItems count="33">
    <i>
      <x v="1"/>
    </i>
    <i r="1">
      <x v="3"/>
    </i>
    <i r="1">
      <x v="4"/>
    </i>
    <i r="1">
      <x v="5"/>
    </i>
    <i r="1">
      <x v="10"/>
    </i>
    <i>
      <x v="2"/>
    </i>
    <i r="1">
      <x v="2"/>
    </i>
    <i r="1">
      <x v="4"/>
    </i>
    <i r="1">
      <x v="5"/>
    </i>
    <i r="1">
      <x v="9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oofchang" fld="3" baseField="0" baseItem="0"/>
    <dataField name="Sum of Conf's" fld="4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4.xml><?xml version="1.0" encoding="utf-8"?>
<pivotTableDefinition xmlns="http://schemas.openxmlformats.org/spreadsheetml/2006/main" name="PivotTable6" cacheId="10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C22" firstHeaderRow="1" firstDataRow="2" firstDataCol="1"/>
  <pivotFields count="8">
    <pivotField dataField="1" showAll="0"/>
    <pivotField showAll="0"/>
    <pivotField axis="axisRow" numFmtId="164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axis="axisRow" showAll="0" defaultSubtotal="0">
      <items count="6">
        <item x="0"/>
        <item x="1"/>
        <item x="2"/>
        <item x="3"/>
        <item x="4"/>
        <item x="5"/>
      </items>
    </pivotField>
  </pivotFields>
  <rowFields count="2">
    <field x="7"/>
    <field x="2"/>
  </rowFields>
  <rowItems count="18">
    <i>
      <x v="1"/>
    </i>
    <i r="1">
      <x v="2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r="1">
      <x v="4"/>
    </i>
    <i>
      <x v="4"/>
    </i>
    <i r="1">
      <x v="1"/>
    </i>
    <i r="1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Second" fld="0" subtotal="count" baseField="0" baseItem="0"/>
    <dataField name="Sum of TotalC" fld="6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5.xml><?xml version="1.0" encoding="utf-8"?>
<pivotTableDefinition xmlns="http://schemas.openxmlformats.org/spreadsheetml/2006/main" name="PivotTable5" cacheId="10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A3:C21" firstHeaderRow="1" firstDataRow="2" firstDataCol="1"/>
  <pivotFields count="8">
    <pivotField dataField="1" showAll="0"/>
    <pivotField showAll="0">
      <items count="46">
        <item x="10"/>
        <item x="24"/>
        <item x="14"/>
        <item x="8"/>
        <item x="39"/>
        <item x="36"/>
        <item x="38"/>
        <item x="0"/>
        <item x="16"/>
        <item x="30"/>
        <item x="41"/>
        <item x="23"/>
        <item x="31"/>
        <item x="43"/>
        <item x="17"/>
        <item x="15"/>
        <item x="6"/>
        <item x="11"/>
        <item x="9"/>
        <item x="1"/>
        <item x="26"/>
        <item x="37"/>
        <item x="32"/>
        <item x="44"/>
        <item x="21"/>
        <item x="27"/>
        <item x="40"/>
        <item x="2"/>
        <item x="29"/>
        <item x="12"/>
        <item x="3"/>
        <item x="33"/>
        <item x="5"/>
        <item x="22"/>
        <item x="7"/>
        <item x="34"/>
        <item x="13"/>
        <item x="4"/>
        <item x="25"/>
        <item x="19"/>
        <item x="28"/>
        <item x="35"/>
        <item x="42"/>
        <item x="20"/>
        <item x="18"/>
        <item t="default"/>
      </items>
    </pivotField>
    <pivotField axis="axisRow" numFmtId="164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</pivotFields>
  <rowFields count="2">
    <field x="7"/>
    <field x="2"/>
  </rowFields>
  <rowItems count="17">
    <i>
      <x v="1"/>
    </i>
    <i r="1">
      <x v="2"/>
    </i>
    <i r="1">
      <x v="3"/>
    </i>
    <i r="1">
      <x v="4"/>
    </i>
    <i>
      <x v="2"/>
    </i>
    <i r="1">
      <x v="1"/>
    </i>
    <i r="1">
      <x v="2"/>
    </i>
    <i>
      <x v="7"/>
    </i>
    <i r="1">
      <x v="4"/>
    </i>
    <i>
      <x v="8"/>
    </i>
    <i r="1">
      <x v="1"/>
    </i>
    <i r="1">
      <x v="2"/>
    </i>
    <i r="1">
      <x v="3"/>
    </i>
    <i r="1">
      <x v="4"/>
    </i>
    <i>
      <x v="9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Second" fld="0" subtotal="count" baseField="0" baseItem="0"/>
    <dataField name="Sum of TotalC" fld="6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6.xml><?xml version="1.0" encoding="utf-8"?>
<pivotTableDefinition xmlns="http://schemas.openxmlformats.org/spreadsheetml/2006/main" name="PivotTable10" cacheId="10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gridDropZones="1" multipleFieldFilters="0">
  <location ref="A3:H40" firstHeaderRow="1" firstDataRow="2" firstDataCol="3"/>
  <pivotFields count="8">
    <pivotField dataField="1" compact="0" outline="0" showAll="0"/>
    <pivotField axis="axisRow" compact="0" outline="0" showAll="0">
      <items count="8">
        <item x="5"/>
        <item x="4"/>
        <item x="0"/>
        <item x="2"/>
        <item x="3"/>
        <item x="1"/>
        <item x="6"/>
        <item t="default"/>
      </items>
    </pivotField>
    <pivotField axis="axisRow" compact="0" numFmtId="16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Row" compact="0" outline="0" showAll="0" defaultSubtotal="0">
      <items count="4">
        <item x="0"/>
        <item x="1"/>
        <item x="2"/>
        <item x="3"/>
      </items>
    </pivotField>
  </pivotFields>
  <rowFields count="3">
    <field x="7"/>
    <field x="2"/>
    <field x="1"/>
  </rowFields>
  <rowItems count="36">
    <i>
      <x v="1"/>
      <x v="9"/>
      <x v="2"/>
    </i>
    <i r="2">
      <x v="5"/>
    </i>
    <i t="default" r="1">
      <x v="9"/>
    </i>
    <i r="1">
      <x v="10"/>
      <x v="2"/>
    </i>
    <i r="2">
      <x v="3"/>
    </i>
    <i t="default" r="1">
      <x v="10"/>
    </i>
    <i r="1">
      <x v="11"/>
      <x v="2"/>
    </i>
    <i r="2">
      <x v="3"/>
    </i>
    <i t="default" r="1">
      <x v="11"/>
    </i>
    <i r="1">
      <x v="12"/>
      <x v="2"/>
    </i>
    <i t="default" r="1">
      <x v="12"/>
    </i>
    <i>
      <x v="2"/>
      <x v="1"/>
      <x v="2"/>
    </i>
    <i r="2">
      <x v="3"/>
    </i>
    <i r="2">
      <x v="4"/>
    </i>
    <i t="default" r="1">
      <x v="1"/>
    </i>
    <i r="1">
      <x v="2"/>
      <x v="2"/>
    </i>
    <i r="2">
      <x v="3"/>
    </i>
    <i t="default" r="1">
      <x v="2"/>
    </i>
    <i r="1">
      <x v="3"/>
      <x v="1"/>
    </i>
    <i r="2">
      <x v="2"/>
    </i>
    <i r="2">
      <x v="3"/>
    </i>
    <i t="default" r="1">
      <x v="3"/>
    </i>
    <i r="1">
      <x v="4"/>
      <x/>
    </i>
    <i r="2">
      <x v="2"/>
    </i>
    <i r="2">
      <x v="3"/>
    </i>
    <i r="2">
      <x v="6"/>
    </i>
    <i t="default" r="1">
      <x v="4"/>
    </i>
    <i r="1">
      <x v="5"/>
      <x/>
    </i>
    <i r="2">
      <x v="2"/>
    </i>
    <i r="2">
      <x v="3"/>
    </i>
    <i t="default" r="1">
      <x v="5"/>
    </i>
    <i r="1">
      <x v="6"/>
      <x/>
    </i>
    <i r="2">
      <x v="2"/>
    </i>
    <i r="2">
      <x v="3"/>
    </i>
    <i t="default" r="1"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Second" fld="0" subtotal="count" baseField="0" baseItem="0"/>
    <dataField name="Count of merge" fld="3" subtotal="count" baseField="0" baseItem="0"/>
    <dataField name="Count of bF" fld="4" subtotal="count" baseField="0" baseItem="0"/>
    <dataField name="Count of TF" fld="5" subtotal="count" baseField="0" baseItem="0"/>
    <dataField name="Count of TotalC" fld="6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7.xml><?xml version="1.0" encoding="utf-8"?>
<pivotTableDefinition xmlns="http://schemas.openxmlformats.org/spreadsheetml/2006/main" name="PivotTable5" cacheId="9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T11:U21" firstHeaderRow="2" firstDataRow="2" firstDataCol="1"/>
  <pivotFields count="4"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numFmtId="164" showAll="0"/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Id" fld="3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8.xml><?xml version="1.0" encoding="utf-8"?>
<pivotTableDefinition xmlns="http://schemas.openxmlformats.org/spreadsheetml/2006/main" name="PivotTable5" cacheId="9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T11:U21" firstHeaderRow="2" firstDataRow="2" firstDataCol="1"/>
  <pivotFields count="4"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numFmtId="164" showAll="0"/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Id" fld="3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9.xml><?xml version="1.0" encoding="utf-8"?>
<pivotTableDefinition xmlns="http://schemas.openxmlformats.org/spreadsheetml/2006/main" name="PivotTable5" cacheId="9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gridDropZones="1" multipleFieldFilters="0">
  <location ref="T11:U21" firstHeaderRow="2" firstDataRow="2" firstDataCol="1"/>
  <pivotFields count="4"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numFmtId="164" showAll="0"/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Id" fld="3" subtotal="count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Relationship Id="rId2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Relationship Id="rId2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C1:X396"/>
  <sheetViews>
    <sheetView zoomScale="80" zoomScaleNormal="80" zoomScalePageLayoutView="80" workbookViewId="0">
      <selection activeCell="K2" sqref="K2"/>
    </sheetView>
  </sheetViews>
  <sheetFormatPr baseColWidth="10" defaultColWidth="11" defaultRowHeight="15" x14ac:dyDescent="0"/>
  <cols>
    <col min="3" max="3" width="16.1640625" bestFit="1" customWidth="1"/>
    <col min="5" max="5" width="7.5" customWidth="1"/>
    <col min="6" max="6" width="11" style="12"/>
    <col min="7" max="7" width="18.1640625" style="4" bestFit="1" customWidth="1"/>
    <col min="8" max="8" width="8.6640625" style="4" customWidth="1"/>
    <col min="9" max="9" width="18.5" style="9" bestFit="1" customWidth="1"/>
    <col min="10" max="10" width="11" style="8"/>
    <col min="11" max="11" width="7.33203125" style="4" bestFit="1" customWidth="1"/>
    <col min="12" max="12" width="4.5" style="4" customWidth="1"/>
    <col min="13" max="13" width="13.33203125" style="4" customWidth="1"/>
    <col min="14" max="14" width="18.1640625" bestFit="1" customWidth="1"/>
    <col min="19" max="19" width="16.5" style="2" customWidth="1"/>
    <col min="21" max="21" width="17.83203125" customWidth="1"/>
    <col min="22" max="22" width="5.6640625" customWidth="1"/>
    <col min="23" max="23" width="16.1640625" bestFit="1" customWidth="1"/>
  </cols>
  <sheetData>
    <row r="1" spans="3:21" s="18" customFormat="1" ht="20">
      <c r="G1" s="19" t="s">
        <v>329</v>
      </c>
      <c r="H1" s="19" t="s">
        <v>334</v>
      </c>
      <c r="I1" s="20" t="s">
        <v>333</v>
      </c>
      <c r="J1" s="21" t="s">
        <v>332</v>
      </c>
      <c r="K1" s="19" t="s">
        <v>331</v>
      </c>
      <c r="L1" s="19" t="s">
        <v>1867</v>
      </c>
      <c r="M1" s="19" t="s">
        <v>1863</v>
      </c>
      <c r="N1" s="18" t="s">
        <v>329</v>
      </c>
      <c r="O1" s="18" t="s">
        <v>330</v>
      </c>
      <c r="S1" s="22"/>
    </row>
    <row r="2" spans="3:21">
      <c r="C2" s="3"/>
      <c r="F2" s="12">
        <v>1</v>
      </c>
      <c r="G2" s="6" t="s">
        <v>840</v>
      </c>
      <c r="H2" s="7">
        <f t="shared" ref="H2:H33" si="0">LOOKUP(G2,$N$2:$N$43,$O$2:$O$43)</f>
        <v>1</v>
      </c>
      <c r="I2" s="3">
        <v>40808.816863425927</v>
      </c>
      <c r="J2" s="8" t="s">
        <v>839</v>
      </c>
      <c r="L2" s="4">
        <v>2</v>
      </c>
      <c r="M2" s="4">
        <v>1</v>
      </c>
      <c r="N2" s="6" t="s">
        <v>840</v>
      </c>
      <c r="O2">
        <v>1</v>
      </c>
      <c r="Q2">
        <v>1</v>
      </c>
      <c r="S2" s="8"/>
      <c r="T2" s="10"/>
    </row>
    <row r="3" spans="3:21">
      <c r="C3" s="3"/>
      <c r="F3" s="12">
        <v>2</v>
      </c>
      <c r="G3" s="5" t="s">
        <v>1274</v>
      </c>
      <c r="H3" s="7">
        <f t="shared" si="0"/>
        <v>2</v>
      </c>
      <c r="I3" s="3">
        <v>40786.827418981484</v>
      </c>
      <c r="J3" s="8" t="s">
        <v>1275</v>
      </c>
      <c r="K3" s="4">
        <f t="shared" ref="K3:K26" si="1">IF(Q3&gt;Q2,1,K2+1)</f>
        <v>1</v>
      </c>
      <c r="L3" s="4">
        <v>2</v>
      </c>
      <c r="M3" s="4">
        <v>1</v>
      </c>
      <c r="N3" s="5" t="s">
        <v>1274</v>
      </c>
      <c r="O3">
        <v>2</v>
      </c>
      <c r="Q3">
        <v>2</v>
      </c>
      <c r="S3" s="8"/>
      <c r="T3" s="10"/>
    </row>
    <row r="4" spans="3:21">
      <c r="C4" s="3"/>
      <c r="F4" s="12">
        <v>3</v>
      </c>
      <c r="G4" s="23" t="s">
        <v>293</v>
      </c>
      <c r="H4" s="7">
        <f t="shared" si="0"/>
        <v>3</v>
      </c>
      <c r="I4" s="3">
        <v>40792.850046296298</v>
      </c>
      <c r="J4" s="8" t="s">
        <v>984</v>
      </c>
      <c r="K4" s="4">
        <f t="shared" si="1"/>
        <v>1</v>
      </c>
      <c r="L4" s="4">
        <v>3</v>
      </c>
      <c r="M4" s="4">
        <v>1</v>
      </c>
      <c r="N4" s="23" t="s">
        <v>293</v>
      </c>
      <c r="O4">
        <v>3</v>
      </c>
      <c r="Q4">
        <v>3</v>
      </c>
      <c r="S4" s="8"/>
      <c r="T4" s="10"/>
    </row>
    <row r="5" spans="3:21">
      <c r="C5" s="3"/>
      <c r="F5" s="12">
        <v>4</v>
      </c>
      <c r="G5" s="24" t="s">
        <v>293</v>
      </c>
      <c r="H5" s="7">
        <f t="shared" si="0"/>
        <v>3</v>
      </c>
      <c r="I5" s="3">
        <v>40811.916875000003</v>
      </c>
      <c r="J5" s="8" t="s">
        <v>1117</v>
      </c>
      <c r="K5" s="4">
        <f t="shared" si="1"/>
        <v>2</v>
      </c>
      <c r="L5" s="4">
        <v>2</v>
      </c>
      <c r="M5" s="4">
        <v>2</v>
      </c>
      <c r="N5" s="6" t="s">
        <v>1082</v>
      </c>
      <c r="O5">
        <v>4</v>
      </c>
      <c r="Q5">
        <v>3</v>
      </c>
      <c r="S5" s="8"/>
      <c r="T5" s="10"/>
    </row>
    <row r="6" spans="3:21">
      <c r="C6" s="3"/>
      <c r="F6" s="12">
        <v>5</v>
      </c>
      <c r="G6" s="24" t="s">
        <v>293</v>
      </c>
      <c r="H6" s="7">
        <f t="shared" si="0"/>
        <v>3</v>
      </c>
      <c r="I6" s="3">
        <v>40820.428935185184</v>
      </c>
      <c r="J6" s="8" t="s">
        <v>1234</v>
      </c>
      <c r="K6" s="4">
        <f t="shared" si="1"/>
        <v>3</v>
      </c>
      <c r="L6" s="4">
        <v>2</v>
      </c>
      <c r="M6" s="4">
        <v>3</v>
      </c>
      <c r="N6" s="5" t="s">
        <v>1097</v>
      </c>
      <c r="O6">
        <v>5</v>
      </c>
      <c r="Q6">
        <v>3</v>
      </c>
      <c r="S6" s="8"/>
      <c r="T6" s="10"/>
    </row>
    <row r="7" spans="3:21">
      <c r="C7" s="3"/>
      <c r="F7" s="12">
        <v>6</v>
      </c>
      <c r="G7" s="24" t="s">
        <v>293</v>
      </c>
      <c r="H7" s="7">
        <f t="shared" si="0"/>
        <v>3</v>
      </c>
      <c r="I7" s="3">
        <v>40839.490682870368</v>
      </c>
      <c r="J7" s="8" t="s">
        <v>773</v>
      </c>
      <c r="K7" s="4">
        <f t="shared" si="1"/>
        <v>4</v>
      </c>
      <c r="L7" s="4">
        <v>2</v>
      </c>
      <c r="M7" s="4">
        <v>4</v>
      </c>
      <c r="N7" s="6" t="s">
        <v>1398</v>
      </c>
      <c r="O7">
        <v>6</v>
      </c>
      <c r="Q7">
        <v>3</v>
      </c>
      <c r="S7" s="8"/>
      <c r="T7" s="10"/>
    </row>
    <row r="8" spans="3:21">
      <c r="C8" s="3"/>
      <c r="F8" s="12">
        <v>7</v>
      </c>
      <c r="G8" s="23" t="s">
        <v>293</v>
      </c>
      <c r="H8" s="7">
        <f t="shared" si="0"/>
        <v>3</v>
      </c>
      <c r="I8" s="3">
        <v>40842.98878472222</v>
      </c>
      <c r="J8" s="8" t="s">
        <v>1441</v>
      </c>
      <c r="K8" s="4">
        <f t="shared" si="1"/>
        <v>5</v>
      </c>
      <c r="L8" s="4">
        <v>3</v>
      </c>
      <c r="M8" s="4">
        <v>5</v>
      </c>
      <c r="N8" s="24" t="s">
        <v>379</v>
      </c>
      <c r="O8">
        <v>7</v>
      </c>
      <c r="Q8">
        <v>3</v>
      </c>
      <c r="S8" s="8"/>
      <c r="T8" s="10"/>
    </row>
    <row r="9" spans="3:21">
      <c r="C9" s="3"/>
      <c r="F9" s="12">
        <v>8</v>
      </c>
      <c r="G9" s="23" t="s">
        <v>293</v>
      </c>
      <c r="H9" s="7">
        <f t="shared" si="0"/>
        <v>3</v>
      </c>
      <c r="I9" s="3">
        <v>40846.495497685188</v>
      </c>
      <c r="J9" s="8" t="s">
        <v>987</v>
      </c>
      <c r="K9" s="4">
        <f t="shared" si="1"/>
        <v>6</v>
      </c>
      <c r="L9" s="4">
        <v>2</v>
      </c>
      <c r="M9" s="4">
        <v>6</v>
      </c>
      <c r="N9" s="24" t="s">
        <v>768</v>
      </c>
      <c r="O9">
        <v>8</v>
      </c>
      <c r="Q9">
        <v>3</v>
      </c>
      <c r="S9" s="8"/>
      <c r="T9" s="10"/>
    </row>
    <row r="10" spans="3:21">
      <c r="C10" s="3"/>
      <c r="D10" s="1"/>
      <c r="F10" s="12">
        <v>9</v>
      </c>
      <c r="G10" s="23" t="s">
        <v>293</v>
      </c>
      <c r="H10" s="7">
        <f t="shared" si="0"/>
        <v>3</v>
      </c>
      <c r="I10" s="3">
        <v>40859.727800925924</v>
      </c>
      <c r="J10" s="8" t="s">
        <v>660</v>
      </c>
      <c r="K10" s="4">
        <f t="shared" si="1"/>
        <v>7</v>
      </c>
      <c r="L10" s="4">
        <v>2</v>
      </c>
      <c r="M10" s="4">
        <v>7</v>
      </c>
      <c r="N10" s="5" t="s">
        <v>1420</v>
      </c>
      <c r="O10">
        <v>9</v>
      </c>
      <c r="Q10">
        <v>3</v>
      </c>
      <c r="S10" s="8"/>
      <c r="T10" s="10"/>
    </row>
    <row r="11" spans="3:21">
      <c r="C11" s="3"/>
      <c r="F11" s="12">
        <v>10</v>
      </c>
      <c r="G11" s="23" t="s">
        <v>293</v>
      </c>
      <c r="H11" s="7">
        <f t="shared" si="0"/>
        <v>3</v>
      </c>
      <c r="I11" s="3">
        <v>40861.742268518516</v>
      </c>
      <c r="J11" s="8" t="s">
        <v>1189</v>
      </c>
      <c r="K11" s="4">
        <f t="shared" si="1"/>
        <v>8</v>
      </c>
      <c r="L11" s="4">
        <v>2</v>
      </c>
      <c r="M11" s="4">
        <v>8</v>
      </c>
      <c r="N11" s="6" t="s">
        <v>869</v>
      </c>
      <c r="O11">
        <v>10</v>
      </c>
      <c r="Q11">
        <v>3</v>
      </c>
      <c r="S11" s="8"/>
      <c r="T11" s="10"/>
    </row>
    <row r="12" spans="3:21">
      <c r="C12" s="3"/>
      <c r="F12" s="12">
        <v>11</v>
      </c>
      <c r="G12" s="24" t="s">
        <v>293</v>
      </c>
      <c r="H12" s="7">
        <f t="shared" si="0"/>
        <v>3</v>
      </c>
      <c r="I12" s="3">
        <v>40864.548275462963</v>
      </c>
      <c r="J12" s="8" t="s">
        <v>1462</v>
      </c>
      <c r="K12" s="4">
        <f t="shared" si="1"/>
        <v>9</v>
      </c>
      <c r="L12" s="4">
        <v>2</v>
      </c>
      <c r="M12" s="4">
        <v>9</v>
      </c>
      <c r="N12" s="5" t="s">
        <v>523</v>
      </c>
      <c r="O12">
        <v>11</v>
      </c>
      <c r="Q12">
        <v>3</v>
      </c>
      <c r="S12" s="8"/>
      <c r="T12" s="10"/>
    </row>
    <row r="13" spans="3:21">
      <c r="C13" s="3"/>
      <c r="F13" s="12">
        <v>12</v>
      </c>
      <c r="G13" s="24" t="s">
        <v>293</v>
      </c>
      <c r="H13" s="7">
        <f t="shared" si="0"/>
        <v>3</v>
      </c>
      <c r="I13" s="3">
        <v>40865.643194444441</v>
      </c>
      <c r="J13" s="8" t="s">
        <v>980</v>
      </c>
      <c r="K13" s="4">
        <f t="shared" si="1"/>
        <v>10</v>
      </c>
      <c r="L13" s="4">
        <v>2</v>
      </c>
      <c r="M13" s="4">
        <v>10</v>
      </c>
      <c r="N13" s="23" t="s">
        <v>294</v>
      </c>
      <c r="O13">
        <v>12</v>
      </c>
      <c r="Q13">
        <v>3</v>
      </c>
      <c r="S13" s="8"/>
      <c r="T13" s="10"/>
    </row>
    <row r="14" spans="3:21">
      <c r="C14" s="3"/>
      <c r="D14" s="1"/>
      <c r="F14" s="12">
        <v>13</v>
      </c>
      <c r="G14" s="24" t="s">
        <v>293</v>
      </c>
      <c r="H14" s="7">
        <f t="shared" si="0"/>
        <v>3</v>
      </c>
      <c r="I14" s="3">
        <v>40874.487650462965</v>
      </c>
      <c r="J14" s="8" t="s">
        <v>1094</v>
      </c>
      <c r="K14" s="4">
        <f t="shared" si="1"/>
        <v>11</v>
      </c>
      <c r="L14" s="4">
        <v>2</v>
      </c>
      <c r="M14" s="4">
        <v>11</v>
      </c>
      <c r="N14" s="23" t="s">
        <v>588</v>
      </c>
      <c r="O14">
        <v>13</v>
      </c>
      <c r="Q14">
        <v>3</v>
      </c>
      <c r="S14" s="8"/>
      <c r="T14" s="10"/>
    </row>
    <row r="15" spans="3:21">
      <c r="C15" s="3"/>
      <c r="F15" s="12">
        <v>14</v>
      </c>
      <c r="G15" s="24" t="s">
        <v>293</v>
      </c>
      <c r="H15" s="7">
        <f t="shared" si="0"/>
        <v>3</v>
      </c>
      <c r="I15" s="3">
        <v>40881.543194444443</v>
      </c>
      <c r="J15" s="8" t="s">
        <v>930</v>
      </c>
      <c r="K15" s="4">
        <f t="shared" si="1"/>
        <v>12</v>
      </c>
      <c r="L15" s="4">
        <v>2</v>
      </c>
      <c r="M15" s="4">
        <v>12</v>
      </c>
      <c r="N15" s="5" t="s">
        <v>467</v>
      </c>
      <c r="O15">
        <v>14</v>
      </c>
      <c r="Q15">
        <v>3</v>
      </c>
      <c r="S15" s="8"/>
      <c r="T15" s="10"/>
    </row>
    <row r="16" spans="3:21">
      <c r="C16" s="3"/>
      <c r="F16" s="12">
        <v>15</v>
      </c>
      <c r="G16" s="24" t="s">
        <v>293</v>
      </c>
      <c r="H16" s="7">
        <f t="shared" si="0"/>
        <v>3</v>
      </c>
      <c r="I16" s="3">
        <v>40907.701909722222</v>
      </c>
      <c r="J16" s="8" t="s">
        <v>667</v>
      </c>
      <c r="K16" s="4">
        <f t="shared" si="1"/>
        <v>13</v>
      </c>
      <c r="L16" s="4">
        <v>2</v>
      </c>
      <c r="M16" s="4">
        <v>13</v>
      </c>
      <c r="N16" s="24" t="s">
        <v>314</v>
      </c>
      <c r="O16">
        <v>15</v>
      </c>
      <c r="Q16">
        <v>3</v>
      </c>
      <c r="S16" s="8"/>
      <c r="T16" s="10"/>
      <c r="U16" s="25" t="s">
        <v>1880</v>
      </c>
    </row>
    <row r="17" spans="3:22">
      <c r="C17" s="3"/>
      <c r="F17" s="12">
        <v>16</v>
      </c>
      <c r="G17" s="24" t="s">
        <v>293</v>
      </c>
      <c r="H17" s="7">
        <f t="shared" si="0"/>
        <v>3</v>
      </c>
      <c r="I17" s="3">
        <v>40907.802847222221</v>
      </c>
      <c r="J17" s="8" t="s">
        <v>490</v>
      </c>
      <c r="K17" s="4">
        <f t="shared" si="1"/>
        <v>14</v>
      </c>
      <c r="L17" s="4">
        <v>3</v>
      </c>
      <c r="M17" s="4">
        <v>14</v>
      </c>
      <c r="N17" s="6" t="s">
        <v>1579</v>
      </c>
      <c r="O17">
        <v>16</v>
      </c>
      <c r="Q17">
        <v>3</v>
      </c>
      <c r="S17" s="8"/>
      <c r="T17" s="10"/>
      <c r="U17" s="25" t="s">
        <v>1870</v>
      </c>
      <c r="V17" t="s">
        <v>1869</v>
      </c>
    </row>
    <row r="18" spans="3:22">
      <c r="C18" s="3"/>
      <c r="F18" s="12">
        <v>17</v>
      </c>
      <c r="G18" s="6" t="s">
        <v>1082</v>
      </c>
      <c r="H18" s="7">
        <f t="shared" si="0"/>
        <v>4</v>
      </c>
      <c r="I18" s="3">
        <v>40797.675104166665</v>
      </c>
      <c r="J18" s="8" t="s">
        <v>1547</v>
      </c>
      <c r="K18" s="4">
        <f t="shared" si="1"/>
        <v>1</v>
      </c>
      <c r="L18" s="4">
        <v>2</v>
      </c>
      <c r="M18" s="4">
        <v>1</v>
      </c>
      <c r="N18" s="5" t="s">
        <v>627</v>
      </c>
      <c r="O18">
        <v>17</v>
      </c>
      <c r="Q18">
        <v>4</v>
      </c>
      <c r="S18" s="8"/>
      <c r="T18" s="10"/>
      <c r="U18" s="26" t="s">
        <v>1274</v>
      </c>
      <c r="V18" s="4">
        <v>1</v>
      </c>
    </row>
    <row r="19" spans="3:22">
      <c r="C19" s="3"/>
      <c r="D19" s="1"/>
      <c r="F19" s="12">
        <v>18</v>
      </c>
      <c r="G19" s="5" t="s">
        <v>1097</v>
      </c>
      <c r="H19" s="7">
        <f t="shared" si="0"/>
        <v>5</v>
      </c>
      <c r="I19" s="3">
        <v>40814.131412037037</v>
      </c>
      <c r="J19" s="8" t="s">
        <v>1098</v>
      </c>
      <c r="K19" s="4">
        <f t="shared" si="1"/>
        <v>1</v>
      </c>
      <c r="L19" s="4">
        <v>2</v>
      </c>
      <c r="M19" s="4">
        <v>1</v>
      </c>
      <c r="N19" s="23" t="s">
        <v>309</v>
      </c>
      <c r="O19">
        <v>18</v>
      </c>
      <c r="Q19">
        <v>5</v>
      </c>
      <c r="S19" s="8"/>
      <c r="T19" s="10"/>
      <c r="U19" s="26" t="s">
        <v>293</v>
      </c>
      <c r="V19" s="4">
        <v>14</v>
      </c>
    </row>
    <row r="20" spans="3:22">
      <c r="C20" s="3"/>
      <c r="F20" s="12">
        <v>19</v>
      </c>
      <c r="G20" s="6" t="s">
        <v>1398</v>
      </c>
      <c r="H20" s="7">
        <f t="shared" si="0"/>
        <v>6</v>
      </c>
      <c r="I20" s="3">
        <v>40907.644143518519</v>
      </c>
      <c r="J20" s="8" t="s">
        <v>1397</v>
      </c>
      <c r="K20" s="4">
        <f t="shared" si="1"/>
        <v>1</v>
      </c>
      <c r="L20" s="4">
        <v>2</v>
      </c>
      <c r="M20" s="4">
        <v>1</v>
      </c>
      <c r="N20" s="24" t="s">
        <v>325</v>
      </c>
      <c r="O20">
        <v>19</v>
      </c>
      <c r="Q20">
        <v>6</v>
      </c>
      <c r="S20" s="8"/>
      <c r="T20" s="10"/>
      <c r="U20" s="26" t="s">
        <v>1082</v>
      </c>
      <c r="V20" s="4">
        <v>1</v>
      </c>
    </row>
    <row r="21" spans="3:22">
      <c r="C21" s="3"/>
      <c r="F21" s="12">
        <v>20</v>
      </c>
      <c r="G21" s="24" t="s">
        <v>379</v>
      </c>
      <c r="H21" s="7">
        <f t="shared" si="0"/>
        <v>7</v>
      </c>
      <c r="I21" s="3">
        <v>40842.872199074074</v>
      </c>
      <c r="J21" s="8" t="s">
        <v>1440</v>
      </c>
      <c r="K21" s="4">
        <f t="shared" si="1"/>
        <v>1</v>
      </c>
      <c r="L21" s="4">
        <v>2</v>
      </c>
      <c r="M21" s="4">
        <v>1</v>
      </c>
      <c r="N21" s="23" t="s">
        <v>771</v>
      </c>
      <c r="O21">
        <v>20</v>
      </c>
      <c r="Q21">
        <v>7</v>
      </c>
      <c r="S21" s="8"/>
      <c r="T21" s="10"/>
      <c r="U21" s="26" t="s">
        <v>1097</v>
      </c>
      <c r="V21" s="4">
        <v>1</v>
      </c>
    </row>
    <row r="22" spans="3:22">
      <c r="C22" s="3"/>
      <c r="F22" s="12">
        <v>21</v>
      </c>
      <c r="G22" s="24" t="s">
        <v>379</v>
      </c>
      <c r="H22" s="7">
        <f t="shared" si="0"/>
        <v>7</v>
      </c>
      <c r="I22" s="3">
        <v>40880.813460648147</v>
      </c>
      <c r="J22" s="8" t="s">
        <v>378</v>
      </c>
      <c r="K22" s="4">
        <f t="shared" si="1"/>
        <v>2</v>
      </c>
      <c r="L22" s="4">
        <v>2</v>
      </c>
      <c r="M22" s="4">
        <v>2</v>
      </c>
      <c r="N22" s="6" t="s">
        <v>1068</v>
      </c>
      <c r="O22">
        <v>21</v>
      </c>
      <c r="Q22">
        <v>7</v>
      </c>
      <c r="S22" s="8"/>
      <c r="T22" s="10"/>
      <c r="U22" s="26" t="s">
        <v>1398</v>
      </c>
      <c r="V22" s="4">
        <v>1</v>
      </c>
    </row>
    <row r="23" spans="3:22">
      <c r="C23" s="3"/>
      <c r="F23" s="12">
        <v>22</v>
      </c>
      <c r="G23" s="24" t="s">
        <v>768</v>
      </c>
      <c r="H23" s="7">
        <f t="shared" si="0"/>
        <v>8</v>
      </c>
      <c r="I23" s="3">
        <v>40816.404965277776</v>
      </c>
      <c r="J23" s="8" t="s">
        <v>769</v>
      </c>
      <c r="K23" s="4">
        <f t="shared" si="1"/>
        <v>1</v>
      </c>
      <c r="L23" s="4">
        <v>2</v>
      </c>
      <c r="M23" s="4">
        <v>1</v>
      </c>
      <c r="N23" s="6" t="s">
        <v>1169</v>
      </c>
      <c r="O23">
        <v>22</v>
      </c>
      <c r="Q23">
        <v>8</v>
      </c>
      <c r="S23" s="8"/>
      <c r="T23" s="10"/>
      <c r="U23" s="26" t="s">
        <v>379</v>
      </c>
      <c r="V23" s="4">
        <v>2</v>
      </c>
    </row>
    <row r="24" spans="3:22">
      <c r="C24" s="3"/>
      <c r="F24" s="12">
        <v>23</v>
      </c>
      <c r="G24" s="23" t="s">
        <v>768</v>
      </c>
      <c r="H24" s="7">
        <f t="shared" si="0"/>
        <v>8</v>
      </c>
      <c r="I24" s="3">
        <v>40816.449270833335</v>
      </c>
      <c r="J24" s="8" t="s">
        <v>996</v>
      </c>
      <c r="K24" s="4">
        <f t="shared" si="1"/>
        <v>2</v>
      </c>
      <c r="L24" s="4">
        <v>2</v>
      </c>
      <c r="M24" s="4">
        <v>2</v>
      </c>
      <c r="N24" s="5" t="s">
        <v>1046</v>
      </c>
      <c r="O24">
        <v>23</v>
      </c>
      <c r="Q24">
        <v>8</v>
      </c>
      <c r="S24" s="8"/>
      <c r="T24" s="10"/>
      <c r="U24" s="26" t="s">
        <v>768</v>
      </c>
      <c r="V24" s="4">
        <v>2</v>
      </c>
    </row>
    <row r="25" spans="3:22">
      <c r="C25" s="3"/>
      <c r="F25" s="12">
        <v>24</v>
      </c>
      <c r="G25" s="5" t="s">
        <v>1420</v>
      </c>
      <c r="H25" s="7">
        <f t="shared" si="0"/>
        <v>9</v>
      </c>
      <c r="I25" s="3">
        <v>40790.742222222223</v>
      </c>
      <c r="J25" s="8" t="s">
        <v>1421</v>
      </c>
      <c r="K25" s="4">
        <f t="shared" si="1"/>
        <v>1</v>
      </c>
      <c r="L25" s="4">
        <v>4</v>
      </c>
      <c r="M25" s="4">
        <v>1</v>
      </c>
      <c r="N25" s="24" t="s">
        <v>336</v>
      </c>
      <c r="O25">
        <v>24</v>
      </c>
      <c r="Q25">
        <v>9</v>
      </c>
      <c r="S25" s="8"/>
      <c r="T25" s="10"/>
      <c r="U25" s="26" t="s">
        <v>1420</v>
      </c>
      <c r="V25" s="4">
        <v>1</v>
      </c>
    </row>
    <row r="26" spans="3:22">
      <c r="C26" s="3"/>
      <c r="F26" s="12">
        <v>25</v>
      </c>
      <c r="G26" s="6" t="s">
        <v>869</v>
      </c>
      <c r="H26" s="7">
        <f t="shared" si="0"/>
        <v>10</v>
      </c>
      <c r="I26" s="3">
        <v>40818.913854166669</v>
      </c>
      <c r="J26" s="8" t="s">
        <v>868</v>
      </c>
      <c r="K26" s="4">
        <f t="shared" si="1"/>
        <v>1</v>
      </c>
      <c r="L26" s="4">
        <v>2</v>
      </c>
      <c r="M26" s="4">
        <v>1</v>
      </c>
      <c r="N26" s="24" t="s">
        <v>288</v>
      </c>
      <c r="O26">
        <v>25</v>
      </c>
      <c r="Q26">
        <v>10</v>
      </c>
      <c r="S26" s="8"/>
      <c r="T26" s="10"/>
      <c r="U26" s="26" t="s">
        <v>869</v>
      </c>
      <c r="V26" s="4">
        <v>1</v>
      </c>
    </row>
    <row r="27" spans="3:22">
      <c r="C27" s="3"/>
      <c r="F27" s="12">
        <v>26</v>
      </c>
      <c r="G27" s="5" t="s">
        <v>523</v>
      </c>
      <c r="H27" s="7">
        <f t="shared" si="0"/>
        <v>11</v>
      </c>
      <c r="I27" s="3">
        <v>40799.748761574076</v>
      </c>
      <c r="J27" s="8" t="s">
        <v>524</v>
      </c>
      <c r="K27" s="4">
        <v>1</v>
      </c>
      <c r="L27" s="4">
        <v>2</v>
      </c>
      <c r="M27" s="4">
        <v>1</v>
      </c>
      <c r="N27" s="23" t="s">
        <v>630</v>
      </c>
      <c r="O27">
        <v>26</v>
      </c>
      <c r="Q27">
        <v>11</v>
      </c>
      <c r="S27" s="8"/>
      <c r="T27" s="10"/>
      <c r="U27" s="26" t="s">
        <v>523</v>
      </c>
      <c r="V27" s="4">
        <v>1</v>
      </c>
    </row>
    <row r="28" spans="3:22">
      <c r="C28" s="3"/>
      <c r="F28" s="12">
        <v>27</v>
      </c>
      <c r="G28" s="23" t="s">
        <v>294</v>
      </c>
      <c r="H28" s="7">
        <f t="shared" si="0"/>
        <v>12</v>
      </c>
      <c r="I28" s="3">
        <v>40806.044537037036</v>
      </c>
      <c r="J28" s="8" t="s">
        <v>1491</v>
      </c>
      <c r="K28" s="4">
        <f t="shared" ref="K28:K59" si="2">IF(Q28&gt;Q27,1,K27+1)</f>
        <v>1</v>
      </c>
      <c r="L28" s="4">
        <v>3</v>
      </c>
      <c r="M28" s="4">
        <v>1</v>
      </c>
      <c r="N28" s="5" t="s">
        <v>1217</v>
      </c>
      <c r="O28">
        <v>27</v>
      </c>
      <c r="Q28">
        <v>12</v>
      </c>
      <c r="S28" s="8"/>
      <c r="T28" s="10"/>
      <c r="U28" s="26" t="s">
        <v>294</v>
      </c>
      <c r="V28" s="4">
        <v>3</v>
      </c>
    </row>
    <row r="29" spans="3:22">
      <c r="C29" s="3"/>
      <c r="F29" s="12">
        <v>28</v>
      </c>
      <c r="G29" s="23" t="s">
        <v>294</v>
      </c>
      <c r="H29" s="7">
        <f t="shared" si="0"/>
        <v>12</v>
      </c>
      <c r="I29" s="3">
        <v>40832.972951388889</v>
      </c>
      <c r="J29" s="8" t="s">
        <v>1571</v>
      </c>
      <c r="K29" s="4">
        <f t="shared" si="2"/>
        <v>2</v>
      </c>
      <c r="L29" s="4">
        <v>2</v>
      </c>
      <c r="M29" s="4">
        <v>2</v>
      </c>
      <c r="N29" s="5" t="s">
        <v>354</v>
      </c>
      <c r="O29">
        <v>28</v>
      </c>
      <c r="Q29">
        <v>12</v>
      </c>
      <c r="S29" s="8"/>
      <c r="T29" s="10"/>
      <c r="U29" s="26" t="s">
        <v>588</v>
      </c>
      <c r="V29" s="4">
        <v>2</v>
      </c>
    </row>
    <row r="30" spans="3:22">
      <c r="C30" s="3"/>
      <c r="F30" s="12">
        <v>29</v>
      </c>
      <c r="G30" s="24" t="s">
        <v>294</v>
      </c>
      <c r="H30" s="7">
        <f t="shared" si="0"/>
        <v>12</v>
      </c>
      <c r="I30" s="3">
        <v>40897.137361111112</v>
      </c>
      <c r="J30" s="8" t="s">
        <v>864</v>
      </c>
      <c r="K30" s="4">
        <f t="shared" si="2"/>
        <v>3</v>
      </c>
      <c r="L30" s="4">
        <v>3</v>
      </c>
      <c r="M30" s="4">
        <v>3</v>
      </c>
      <c r="N30" s="6" t="s">
        <v>479</v>
      </c>
      <c r="O30">
        <v>29</v>
      </c>
      <c r="Q30">
        <v>12</v>
      </c>
      <c r="S30" s="8"/>
      <c r="T30" s="10"/>
      <c r="U30" s="26" t="s">
        <v>467</v>
      </c>
      <c r="V30" s="4">
        <v>1</v>
      </c>
    </row>
    <row r="31" spans="3:22">
      <c r="C31" s="3"/>
      <c r="F31" s="12">
        <v>30</v>
      </c>
      <c r="G31" s="23" t="s">
        <v>588</v>
      </c>
      <c r="H31" s="7">
        <f t="shared" si="0"/>
        <v>13</v>
      </c>
      <c r="I31" s="3">
        <v>40881.081689814811</v>
      </c>
      <c r="J31" s="8" t="s">
        <v>1224</v>
      </c>
      <c r="K31" s="4">
        <f t="shared" si="2"/>
        <v>1</v>
      </c>
      <c r="L31" s="4">
        <v>3</v>
      </c>
      <c r="M31" s="4">
        <v>1</v>
      </c>
      <c r="N31" s="24" t="s">
        <v>1578</v>
      </c>
      <c r="O31">
        <v>30</v>
      </c>
      <c r="Q31">
        <v>13</v>
      </c>
      <c r="S31" s="8"/>
      <c r="T31" s="10"/>
      <c r="U31" s="26" t="s">
        <v>314</v>
      </c>
      <c r="V31" s="4">
        <v>4</v>
      </c>
    </row>
    <row r="32" spans="3:22">
      <c r="C32" s="3"/>
      <c r="F32" s="12">
        <v>31</v>
      </c>
      <c r="G32" s="24" t="s">
        <v>588</v>
      </c>
      <c r="H32" s="7">
        <f t="shared" si="0"/>
        <v>13</v>
      </c>
      <c r="I32" s="3">
        <v>40881.10491898148</v>
      </c>
      <c r="J32" s="8" t="s">
        <v>589</v>
      </c>
      <c r="K32" s="4">
        <f t="shared" si="2"/>
        <v>2</v>
      </c>
      <c r="L32" s="4">
        <v>3</v>
      </c>
      <c r="M32" s="4">
        <v>2</v>
      </c>
      <c r="N32" s="23" t="s">
        <v>302</v>
      </c>
      <c r="O32">
        <v>31</v>
      </c>
      <c r="Q32">
        <v>13</v>
      </c>
      <c r="S32" s="8"/>
      <c r="T32" s="10"/>
      <c r="U32" s="26" t="s">
        <v>1579</v>
      </c>
      <c r="V32" s="4">
        <v>1</v>
      </c>
    </row>
    <row r="33" spans="3:24">
      <c r="C33" s="3"/>
      <c r="F33" s="12">
        <v>32</v>
      </c>
      <c r="G33" s="5" t="s">
        <v>467</v>
      </c>
      <c r="H33" s="7">
        <f t="shared" si="0"/>
        <v>14</v>
      </c>
      <c r="I33" s="3">
        <v>40897.733182870368</v>
      </c>
      <c r="J33" s="8" t="s">
        <v>468</v>
      </c>
      <c r="K33" s="4">
        <f t="shared" si="2"/>
        <v>1</v>
      </c>
      <c r="L33" s="4">
        <v>2</v>
      </c>
      <c r="M33" s="4">
        <v>1</v>
      </c>
      <c r="N33" s="24" t="s">
        <v>301</v>
      </c>
      <c r="O33">
        <v>32</v>
      </c>
      <c r="Q33">
        <v>14</v>
      </c>
      <c r="S33" s="8"/>
      <c r="T33" s="10"/>
      <c r="U33" s="26" t="s">
        <v>627</v>
      </c>
      <c r="V33" s="4">
        <v>1</v>
      </c>
    </row>
    <row r="34" spans="3:24">
      <c r="C34" s="3"/>
      <c r="F34" s="12">
        <v>33</v>
      </c>
      <c r="G34" s="24" t="s">
        <v>314</v>
      </c>
      <c r="H34" s="7">
        <f t="shared" ref="H34:H65" si="3">LOOKUP(G34,$N$2:$N$43,$O$2:$O$43)</f>
        <v>15</v>
      </c>
      <c r="I34" s="3">
        <v>40841.594814814816</v>
      </c>
      <c r="J34" s="8" t="s">
        <v>546</v>
      </c>
      <c r="K34" s="4">
        <f t="shared" si="2"/>
        <v>1</v>
      </c>
      <c r="L34" s="4">
        <v>2</v>
      </c>
      <c r="M34" s="4">
        <v>1</v>
      </c>
      <c r="N34" s="23" t="s">
        <v>298</v>
      </c>
      <c r="O34">
        <v>33</v>
      </c>
      <c r="Q34">
        <v>15</v>
      </c>
      <c r="S34" s="8"/>
      <c r="T34" s="10"/>
      <c r="U34" s="26" t="s">
        <v>309</v>
      </c>
      <c r="V34" s="4">
        <v>2</v>
      </c>
    </row>
    <row r="35" spans="3:24">
      <c r="C35" s="3"/>
      <c r="F35" s="12">
        <v>34</v>
      </c>
      <c r="G35" s="24" t="s">
        <v>314</v>
      </c>
      <c r="H35" s="7">
        <f t="shared" si="3"/>
        <v>15</v>
      </c>
      <c r="I35" s="3">
        <v>40870.666180555556</v>
      </c>
      <c r="J35" s="8" t="s">
        <v>1111</v>
      </c>
      <c r="K35" s="4">
        <f t="shared" si="2"/>
        <v>2</v>
      </c>
      <c r="L35" s="4">
        <v>4</v>
      </c>
      <c r="M35" s="4">
        <v>2</v>
      </c>
      <c r="N35" s="24" t="s">
        <v>918</v>
      </c>
      <c r="O35">
        <v>34</v>
      </c>
      <c r="Q35">
        <v>15</v>
      </c>
      <c r="S35" s="8"/>
      <c r="T35" s="10"/>
      <c r="U35" s="26" t="s">
        <v>325</v>
      </c>
      <c r="V35" s="4">
        <v>4</v>
      </c>
    </row>
    <row r="36" spans="3:24">
      <c r="C36" s="3"/>
      <c r="F36" s="12">
        <v>35</v>
      </c>
      <c r="G36" s="24" t="s">
        <v>314</v>
      </c>
      <c r="H36" s="7">
        <f t="shared" si="3"/>
        <v>15</v>
      </c>
      <c r="I36" s="3">
        <v>40891.812210648146</v>
      </c>
      <c r="J36" s="8" t="s">
        <v>851</v>
      </c>
      <c r="K36" s="4">
        <f t="shared" si="2"/>
        <v>3</v>
      </c>
      <c r="L36" s="4">
        <v>3</v>
      </c>
      <c r="M36" s="4">
        <v>3</v>
      </c>
      <c r="N36" s="6" t="s">
        <v>1510</v>
      </c>
      <c r="O36">
        <v>35</v>
      </c>
      <c r="Q36">
        <v>15</v>
      </c>
      <c r="S36" s="8"/>
      <c r="T36" s="10"/>
      <c r="U36" s="26" t="s">
        <v>771</v>
      </c>
      <c r="V36" s="4">
        <v>2</v>
      </c>
    </row>
    <row r="37" spans="3:24">
      <c r="C37" s="3"/>
      <c r="F37" s="12">
        <v>36</v>
      </c>
      <c r="G37" s="24" t="s">
        <v>314</v>
      </c>
      <c r="H37" s="7">
        <f t="shared" si="3"/>
        <v>15</v>
      </c>
      <c r="I37" s="3">
        <v>40902.681701388887</v>
      </c>
      <c r="J37" s="8" t="s">
        <v>978</v>
      </c>
      <c r="K37" s="4">
        <f t="shared" si="2"/>
        <v>4</v>
      </c>
      <c r="L37" s="4">
        <v>3</v>
      </c>
      <c r="M37" s="4">
        <v>4</v>
      </c>
      <c r="N37" s="23" t="s">
        <v>723</v>
      </c>
      <c r="O37">
        <v>36</v>
      </c>
      <c r="Q37">
        <v>15</v>
      </c>
      <c r="S37" s="8"/>
      <c r="T37" s="10"/>
      <c r="U37" s="26" t="s">
        <v>1068</v>
      </c>
      <c r="V37" s="4">
        <v>1</v>
      </c>
    </row>
    <row r="38" spans="3:24">
      <c r="C38" s="3"/>
      <c r="F38" s="12">
        <v>37</v>
      </c>
      <c r="G38" s="6" t="s">
        <v>1579</v>
      </c>
      <c r="H38" s="7">
        <f t="shared" si="3"/>
        <v>16</v>
      </c>
      <c r="I38" s="3">
        <v>40870.666180555556</v>
      </c>
      <c r="J38" s="8" t="s">
        <v>1112</v>
      </c>
      <c r="K38" s="4">
        <f t="shared" si="2"/>
        <v>1</v>
      </c>
      <c r="L38" s="4">
        <v>4</v>
      </c>
      <c r="M38" s="4">
        <v>1</v>
      </c>
      <c r="N38" s="6" t="s">
        <v>290</v>
      </c>
      <c r="O38">
        <v>37</v>
      </c>
      <c r="Q38">
        <v>16</v>
      </c>
      <c r="S38" s="8"/>
      <c r="T38" s="10"/>
      <c r="U38" s="26" t="s">
        <v>1169</v>
      </c>
      <c r="V38" s="4">
        <v>1</v>
      </c>
    </row>
    <row r="39" spans="3:24">
      <c r="C39" s="3"/>
      <c r="F39" s="12">
        <v>38</v>
      </c>
      <c r="G39" s="5" t="s">
        <v>627</v>
      </c>
      <c r="H39" s="7">
        <f t="shared" si="3"/>
        <v>17</v>
      </c>
      <c r="I39" s="3">
        <v>40836.485312500001</v>
      </c>
      <c r="J39" s="8" t="s">
        <v>628</v>
      </c>
      <c r="K39" s="4">
        <f t="shared" si="2"/>
        <v>1</v>
      </c>
      <c r="L39" s="4">
        <v>2</v>
      </c>
      <c r="M39" s="4">
        <v>1</v>
      </c>
      <c r="N39" s="24" t="s">
        <v>621</v>
      </c>
      <c r="O39">
        <v>38</v>
      </c>
      <c r="Q39">
        <v>17</v>
      </c>
      <c r="S39" s="8"/>
      <c r="T39" s="10"/>
      <c r="U39" s="26" t="s">
        <v>1046</v>
      </c>
      <c r="V39" s="4">
        <v>1</v>
      </c>
    </row>
    <row r="40" spans="3:24">
      <c r="C40" s="3"/>
      <c r="F40" s="12">
        <v>39</v>
      </c>
      <c r="G40" s="23" t="s">
        <v>309</v>
      </c>
      <c r="H40" s="7">
        <f t="shared" si="3"/>
        <v>18</v>
      </c>
      <c r="I40" s="3">
        <v>40801.327928240738</v>
      </c>
      <c r="J40" s="8" t="s">
        <v>1017</v>
      </c>
      <c r="K40" s="4">
        <f t="shared" si="2"/>
        <v>1</v>
      </c>
      <c r="L40" s="4">
        <v>2</v>
      </c>
      <c r="M40" s="4">
        <v>1</v>
      </c>
      <c r="N40" s="24" t="s">
        <v>289</v>
      </c>
      <c r="O40">
        <v>39</v>
      </c>
      <c r="Q40">
        <v>18</v>
      </c>
      <c r="S40" s="8"/>
      <c r="T40" s="10"/>
      <c r="U40" s="26" t="s">
        <v>336</v>
      </c>
      <c r="V40" s="4">
        <v>17</v>
      </c>
    </row>
    <row r="41" spans="3:24">
      <c r="C41" s="3"/>
      <c r="F41" s="12">
        <v>40</v>
      </c>
      <c r="G41" s="24" t="s">
        <v>309</v>
      </c>
      <c r="H41" s="7">
        <f t="shared" si="3"/>
        <v>18</v>
      </c>
      <c r="I41" s="3">
        <v>40577.237384259257</v>
      </c>
      <c r="J41" s="8" t="s">
        <v>1574</v>
      </c>
      <c r="K41" s="4">
        <f t="shared" si="2"/>
        <v>2</v>
      </c>
      <c r="L41" s="4">
        <v>2</v>
      </c>
      <c r="M41" s="4">
        <v>2</v>
      </c>
      <c r="N41" s="24" t="s">
        <v>658</v>
      </c>
      <c r="O41">
        <v>40</v>
      </c>
      <c r="Q41">
        <v>18</v>
      </c>
      <c r="S41" s="8"/>
      <c r="T41" s="10"/>
      <c r="U41" s="26" t="s">
        <v>288</v>
      </c>
      <c r="V41" s="4">
        <v>54</v>
      </c>
    </row>
    <row r="42" spans="3:24">
      <c r="C42" s="3"/>
      <c r="F42" s="12">
        <v>41</v>
      </c>
      <c r="G42" s="24" t="s">
        <v>325</v>
      </c>
      <c r="H42" s="7">
        <f t="shared" si="3"/>
        <v>19</v>
      </c>
      <c r="I42" s="3">
        <v>40809.580011574071</v>
      </c>
      <c r="J42" s="8" t="s">
        <v>1283</v>
      </c>
      <c r="K42" s="4">
        <f t="shared" si="2"/>
        <v>1</v>
      </c>
      <c r="L42" s="4">
        <v>2</v>
      </c>
      <c r="M42" s="4">
        <v>1</v>
      </c>
      <c r="N42" s="24" t="s">
        <v>299</v>
      </c>
      <c r="O42">
        <v>41</v>
      </c>
      <c r="Q42">
        <v>19</v>
      </c>
      <c r="S42" s="8"/>
      <c r="T42" s="10"/>
      <c r="U42" s="26" t="s">
        <v>630</v>
      </c>
      <c r="V42" s="4">
        <v>3</v>
      </c>
      <c r="X42">
        <f>188/41</f>
        <v>4.5853658536585362</v>
      </c>
    </row>
    <row r="43" spans="3:24">
      <c r="C43" s="3"/>
      <c r="F43" s="12">
        <v>42</v>
      </c>
      <c r="G43" s="24" t="s">
        <v>325</v>
      </c>
      <c r="H43" s="7">
        <f t="shared" si="3"/>
        <v>19</v>
      </c>
      <c r="I43" s="3">
        <v>40812.874212962961</v>
      </c>
      <c r="J43" s="8" t="s">
        <v>1426</v>
      </c>
      <c r="K43" s="4">
        <f t="shared" si="2"/>
        <v>2</v>
      </c>
      <c r="L43" s="4">
        <v>2</v>
      </c>
      <c r="M43" s="4">
        <v>2</v>
      </c>
      <c r="N43" s="5" t="s">
        <v>1200</v>
      </c>
      <c r="O43">
        <v>42</v>
      </c>
      <c r="Q43">
        <v>19</v>
      </c>
      <c r="S43" s="8"/>
      <c r="T43" s="10"/>
      <c r="U43" s="26" t="s">
        <v>1217</v>
      </c>
      <c r="V43" s="4">
        <v>1</v>
      </c>
    </row>
    <row r="44" spans="3:24">
      <c r="C44" s="3"/>
      <c r="F44" s="12">
        <v>43</v>
      </c>
      <c r="G44" s="23" t="s">
        <v>325</v>
      </c>
      <c r="H44" s="7">
        <f t="shared" si="3"/>
        <v>19</v>
      </c>
      <c r="I44" s="3">
        <v>40859.546215219911</v>
      </c>
      <c r="J44" s="8" t="s">
        <v>828</v>
      </c>
      <c r="K44" s="4">
        <f t="shared" si="2"/>
        <v>3</v>
      </c>
      <c r="L44" s="4">
        <v>3</v>
      </c>
      <c r="M44" s="4">
        <v>3</v>
      </c>
      <c r="Q44">
        <v>19</v>
      </c>
      <c r="S44" s="8"/>
      <c r="T44" s="10"/>
      <c r="U44" s="26" t="s">
        <v>354</v>
      </c>
      <c r="V44" s="4">
        <v>1</v>
      </c>
    </row>
    <row r="45" spans="3:24">
      <c r="C45" s="3"/>
      <c r="F45" s="12">
        <v>44</v>
      </c>
      <c r="G45" s="23" t="s">
        <v>325</v>
      </c>
      <c r="H45" s="7">
        <f t="shared" si="3"/>
        <v>19</v>
      </c>
      <c r="I45" s="3">
        <v>40862.546215219911</v>
      </c>
      <c r="J45" s="8" t="s">
        <v>836</v>
      </c>
      <c r="K45" s="4">
        <f t="shared" si="2"/>
        <v>4</v>
      </c>
      <c r="L45" s="4">
        <v>3</v>
      </c>
      <c r="M45" s="4">
        <v>4</v>
      </c>
      <c r="Q45">
        <v>19</v>
      </c>
      <c r="S45" s="8"/>
      <c r="T45" s="10"/>
      <c r="U45" s="26" t="s">
        <v>479</v>
      </c>
      <c r="V45" s="4">
        <v>1</v>
      </c>
    </row>
    <row r="46" spans="3:24">
      <c r="C46" s="3"/>
      <c r="F46" s="12">
        <v>45</v>
      </c>
      <c r="G46" s="23" t="s">
        <v>771</v>
      </c>
      <c r="H46" s="7">
        <f t="shared" si="3"/>
        <v>20</v>
      </c>
      <c r="I46" s="3">
        <v>40816.391724537039</v>
      </c>
      <c r="J46" s="8" t="s">
        <v>786</v>
      </c>
      <c r="K46" s="4">
        <f t="shared" si="2"/>
        <v>1</v>
      </c>
      <c r="L46" s="4">
        <v>2</v>
      </c>
      <c r="M46" s="4">
        <v>1</v>
      </c>
      <c r="Q46">
        <v>20</v>
      </c>
      <c r="S46" s="8"/>
      <c r="T46" s="10"/>
      <c r="U46" s="26" t="s">
        <v>1578</v>
      </c>
      <c r="V46" s="4">
        <v>2</v>
      </c>
    </row>
    <row r="47" spans="3:24">
      <c r="C47" s="3"/>
      <c r="F47" s="12">
        <v>46</v>
      </c>
      <c r="G47" s="23" t="s">
        <v>771</v>
      </c>
      <c r="H47" s="7">
        <f t="shared" si="3"/>
        <v>20</v>
      </c>
      <c r="I47" s="3">
        <v>40816.426701388889</v>
      </c>
      <c r="J47" s="8" t="s">
        <v>770</v>
      </c>
      <c r="K47" s="4">
        <f t="shared" si="2"/>
        <v>2</v>
      </c>
      <c r="L47" s="4">
        <v>2</v>
      </c>
      <c r="M47" s="4">
        <v>2</v>
      </c>
      <c r="Q47">
        <v>20</v>
      </c>
      <c r="S47" s="8"/>
      <c r="T47" s="10"/>
      <c r="U47" s="26" t="s">
        <v>302</v>
      </c>
      <c r="V47" s="4">
        <v>11</v>
      </c>
    </row>
    <row r="48" spans="3:24">
      <c r="C48" s="3"/>
      <c r="F48" s="12">
        <v>47</v>
      </c>
      <c r="G48" s="6" t="s">
        <v>1068</v>
      </c>
      <c r="H48" s="7">
        <f t="shared" si="3"/>
        <v>21</v>
      </c>
      <c r="I48" s="3">
        <v>40814.639189814814</v>
      </c>
      <c r="J48" s="8">
        <v>1143736</v>
      </c>
      <c r="K48" s="4">
        <f t="shared" si="2"/>
        <v>1</v>
      </c>
      <c r="L48" s="4">
        <v>2</v>
      </c>
      <c r="M48" s="4">
        <v>1</v>
      </c>
      <c r="Q48">
        <v>21</v>
      </c>
      <c r="S48" s="8"/>
      <c r="T48" s="10"/>
      <c r="U48" s="26" t="s">
        <v>301</v>
      </c>
      <c r="V48" s="4">
        <v>9</v>
      </c>
    </row>
    <row r="49" spans="3:22">
      <c r="C49" s="3"/>
      <c r="F49" s="12">
        <v>48</v>
      </c>
      <c r="G49" s="6" t="s">
        <v>1169</v>
      </c>
      <c r="H49" s="7">
        <f t="shared" si="3"/>
        <v>22</v>
      </c>
      <c r="I49" s="3">
        <v>40812.681296296294</v>
      </c>
      <c r="J49" s="8" t="s">
        <v>1168</v>
      </c>
      <c r="K49" s="4">
        <f t="shared" si="2"/>
        <v>1</v>
      </c>
      <c r="L49" s="4">
        <v>2</v>
      </c>
      <c r="M49" s="4">
        <v>1</v>
      </c>
      <c r="Q49">
        <v>22</v>
      </c>
      <c r="S49" s="8"/>
      <c r="T49" s="10"/>
      <c r="U49" s="26" t="s">
        <v>298</v>
      </c>
      <c r="V49" s="4">
        <v>12</v>
      </c>
    </row>
    <row r="50" spans="3:22">
      <c r="C50" s="3"/>
      <c r="F50" s="12">
        <v>49</v>
      </c>
      <c r="G50" s="5" t="s">
        <v>1046</v>
      </c>
      <c r="H50" s="7">
        <f t="shared" si="3"/>
        <v>23</v>
      </c>
      <c r="I50" s="3">
        <v>40871.874768518515</v>
      </c>
      <c r="J50" s="8" t="s">
        <v>1047</v>
      </c>
      <c r="K50" s="4">
        <f t="shared" si="2"/>
        <v>1</v>
      </c>
      <c r="L50" s="4">
        <v>2</v>
      </c>
      <c r="M50" s="4">
        <v>1</v>
      </c>
      <c r="Q50">
        <v>23</v>
      </c>
      <c r="S50" s="8"/>
      <c r="T50" s="10"/>
      <c r="U50" s="26" t="s">
        <v>918</v>
      </c>
      <c r="V50" s="4">
        <v>3</v>
      </c>
    </row>
    <row r="51" spans="3:22">
      <c r="C51" s="3"/>
      <c r="F51" s="12">
        <v>50</v>
      </c>
      <c r="G51" s="24" t="s">
        <v>336</v>
      </c>
      <c r="H51" s="7">
        <f t="shared" si="3"/>
        <v>24</v>
      </c>
      <c r="I51" s="3">
        <v>40792.566412037035</v>
      </c>
      <c r="J51" s="8" t="s">
        <v>956</v>
      </c>
      <c r="K51" s="4">
        <f t="shared" si="2"/>
        <v>1</v>
      </c>
      <c r="L51" s="4">
        <v>9</v>
      </c>
      <c r="M51" s="4">
        <v>1</v>
      </c>
      <c r="Q51">
        <v>24</v>
      </c>
      <c r="S51" s="8"/>
      <c r="T51" s="10"/>
      <c r="U51" s="26" t="s">
        <v>1510</v>
      </c>
      <c r="V51" s="4">
        <v>1</v>
      </c>
    </row>
    <row r="52" spans="3:22">
      <c r="C52" s="3"/>
      <c r="F52" s="12">
        <v>51</v>
      </c>
      <c r="G52" s="24" t="s">
        <v>336</v>
      </c>
      <c r="H52" s="7">
        <f t="shared" si="3"/>
        <v>24</v>
      </c>
      <c r="I52" s="3">
        <v>40794.742708333331</v>
      </c>
      <c r="J52" s="8" t="s">
        <v>401</v>
      </c>
      <c r="K52" s="4">
        <f t="shared" si="2"/>
        <v>2</v>
      </c>
      <c r="L52" s="4">
        <v>3</v>
      </c>
      <c r="M52" s="4">
        <v>2</v>
      </c>
      <c r="Q52">
        <v>24</v>
      </c>
      <c r="S52" s="8"/>
      <c r="T52" s="10"/>
      <c r="U52" s="26" t="s">
        <v>723</v>
      </c>
      <c r="V52" s="4">
        <v>2</v>
      </c>
    </row>
    <row r="53" spans="3:22">
      <c r="C53" s="3"/>
      <c r="F53" s="12">
        <v>52</v>
      </c>
      <c r="G53" s="24" t="s">
        <v>336</v>
      </c>
      <c r="H53" s="7">
        <f t="shared" si="3"/>
        <v>24</v>
      </c>
      <c r="I53" s="3">
        <v>40797.823379629626</v>
      </c>
      <c r="J53" s="8" t="s">
        <v>556</v>
      </c>
      <c r="K53" s="4">
        <f t="shared" si="2"/>
        <v>3</v>
      </c>
      <c r="L53" s="4">
        <v>2</v>
      </c>
      <c r="M53" s="4">
        <v>3</v>
      </c>
      <c r="Q53">
        <v>24</v>
      </c>
      <c r="S53" s="8"/>
      <c r="T53" s="10"/>
      <c r="U53" s="26" t="s">
        <v>290</v>
      </c>
      <c r="V53" s="4">
        <v>1</v>
      </c>
    </row>
    <row r="54" spans="3:22">
      <c r="C54" s="3"/>
      <c r="F54" s="12">
        <v>53</v>
      </c>
      <c r="G54" s="24" t="s">
        <v>336</v>
      </c>
      <c r="H54" s="7">
        <f t="shared" si="3"/>
        <v>24</v>
      </c>
      <c r="I54" s="3">
        <v>40809.499386574076</v>
      </c>
      <c r="J54" s="8" t="s">
        <v>846</v>
      </c>
      <c r="K54" s="4">
        <f t="shared" si="2"/>
        <v>4</v>
      </c>
      <c r="L54" s="4">
        <v>4</v>
      </c>
      <c r="M54" s="4">
        <v>4</v>
      </c>
      <c r="Q54">
        <v>24</v>
      </c>
      <c r="S54" s="8"/>
      <c r="T54" s="10"/>
      <c r="U54" s="26" t="s">
        <v>621</v>
      </c>
      <c r="V54" s="4">
        <v>2</v>
      </c>
    </row>
    <row r="55" spans="3:22">
      <c r="C55" s="3"/>
      <c r="F55" s="12">
        <v>54</v>
      </c>
      <c r="G55" s="24" t="s">
        <v>336</v>
      </c>
      <c r="H55" s="7">
        <f t="shared" si="3"/>
        <v>24</v>
      </c>
      <c r="I55" s="3">
        <v>40809.983622685184</v>
      </c>
      <c r="J55" s="8" t="s">
        <v>663</v>
      </c>
      <c r="K55" s="4">
        <f t="shared" si="2"/>
        <v>5</v>
      </c>
      <c r="L55" s="4">
        <v>3</v>
      </c>
      <c r="M55" s="4">
        <v>5</v>
      </c>
      <c r="Q55">
        <v>24</v>
      </c>
      <c r="S55" s="8"/>
      <c r="T55" s="10"/>
      <c r="U55" s="26" t="s">
        <v>289</v>
      </c>
      <c r="V55" s="4">
        <v>14</v>
      </c>
    </row>
    <row r="56" spans="3:22">
      <c r="C56" s="3"/>
      <c r="D56" s="1"/>
      <c r="F56" s="12">
        <v>55</v>
      </c>
      <c r="G56" s="24" t="s">
        <v>336</v>
      </c>
      <c r="H56" s="7">
        <f t="shared" si="3"/>
        <v>24</v>
      </c>
      <c r="I56" s="3">
        <v>40826.270995370367</v>
      </c>
      <c r="J56" s="8" t="s">
        <v>398</v>
      </c>
      <c r="K56" s="4">
        <f t="shared" si="2"/>
        <v>6</v>
      </c>
      <c r="L56" s="4">
        <v>3</v>
      </c>
      <c r="M56" s="4">
        <v>6</v>
      </c>
      <c r="Q56">
        <v>24</v>
      </c>
      <c r="S56" s="8"/>
      <c r="T56" s="10"/>
      <c r="U56" s="26" t="s">
        <v>658</v>
      </c>
      <c r="V56" s="4">
        <v>2</v>
      </c>
    </row>
    <row r="57" spans="3:22">
      <c r="C57" s="3"/>
      <c r="F57" s="12">
        <v>56</v>
      </c>
      <c r="G57" s="24" t="s">
        <v>336</v>
      </c>
      <c r="H57" s="7">
        <f t="shared" si="3"/>
        <v>24</v>
      </c>
      <c r="I57" s="3">
        <v>40847.397650462961</v>
      </c>
      <c r="J57" s="8" t="s">
        <v>1293</v>
      </c>
      <c r="K57" s="4">
        <f t="shared" si="2"/>
        <v>7</v>
      </c>
      <c r="L57" s="4">
        <v>2</v>
      </c>
      <c r="M57" s="4">
        <v>7</v>
      </c>
      <c r="Q57">
        <v>24</v>
      </c>
      <c r="S57" s="8"/>
      <c r="T57" s="10"/>
      <c r="U57" s="26" t="s">
        <v>299</v>
      </c>
      <c r="V57" s="4">
        <v>3</v>
      </c>
    </row>
    <row r="58" spans="3:22">
      <c r="C58" s="3"/>
      <c r="F58" s="12">
        <v>57</v>
      </c>
      <c r="G58" s="24" t="s">
        <v>336</v>
      </c>
      <c r="H58" s="7">
        <f t="shared" si="3"/>
        <v>24</v>
      </c>
      <c r="I58" s="3">
        <v>40854.60633101852</v>
      </c>
      <c r="J58" s="8" t="s">
        <v>843</v>
      </c>
      <c r="K58" s="4">
        <f t="shared" si="2"/>
        <v>8</v>
      </c>
      <c r="L58" s="4">
        <v>2</v>
      </c>
      <c r="M58" s="4">
        <v>8</v>
      </c>
      <c r="Q58">
        <v>24</v>
      </c>
      <c r="S58" s="8"/>
      <c r="T58" s="10"/>
      <c r="U58" s="26" t="s">
        <v>1200</v>
      </c>
      <c r="V58" s="4">
        <v>1</v>
      </c>
    </row>
    <row r="59" spans="3:22">
      <c r="C59" s="3"/>
      <c r="F59" s="12">
        <v>58</v>
      </c>
      <c r="G59" s="24" t="s">
        <v>336</v>
      </c>
      <c r="H59" s="7">
        <f t="shared" si="3"/>
        <v>24</v>
      </c>
      <c r="I59" s="3">
        <v>40858.546215219911</v>
      </c>
      <c r="J59" s="8" t="s">
        <v>99</v>
      </c>
      <c r="K59" s="4">
        <f t="shared" si="2"/>
        <v>9</v>
      </c>
      <c r="L59" s="4">
        <v>2</v>
      </c>
      <c r="M59" s="4">
        <v>9</v>
      </c>
      <c r="Q59">
        <v>24</v>
      </c>
      <c r="S59" s="8"/>
      <c r="T59" s="10"/>
      <c r="U59" s="26" t="s">
        <v>1871</v>
      </c>
      <c r="V59" s="4">
        <v>188</v>
      </c>
    </row>
    <row r="60" spans="3:22">
      <c r="C60" s="3"/>
      <c r="F60" s="12">
        <v>59</v>
      </c>
      <c r="G60" s="24" t="s">
        <v>336</v>
      </c>
      <c r="H60" s="7">
        <f t="shared" si="3"/>
        <v>24</v>
      </c>
      <c r="I60" s="3">
        <v>40874.90320601852</v>
      </c>
      <c r="J60" s="8" t="s">
        <v>1879</v>
      </c>
      <c r="K60" s="4">
        <f t="shared" ref="K60:K91" si="4">IF(Q60&gt;Q59,1,K59+1)</f>
        <v>10</v>
      </c>
      <c r="L60" s="4">
        <v>2</v>
      </c>
      <c r="M60" s="4">
        <v>10</v>
      </c>
      <c r="Q60">
        <v>24</v>
      </c>
      <c r="S60" s="8"/>
      <c r="T60" s="10"/>
    </row>
    <row r="61" spans="3:22">
      <c r="C61" s="3"/>
      <c r="F61" s="12">
        <v>60</v>
      </c>
      <c r="G61" s="24" t="s">
        <v>336</v>
      </c>
      <c r="H61" s="7">
        <f t="shared" si="3"/>
        <v>24</v>
      </c>
      <c r="I61" s="3">
        <v>40875.709282407406</v>
      </c>
      <c r="J61" s="8" t="s">
        <v>367</v>
      </c>
      <c r="K61" s="4">
        <f t="shared" si="4"/>
        <v>11</v>
      </c>
      <c r="L61" s="4">
        <v>5</v>
      </c>
      <c r="M61" s="4">
        <v>11</v>
      </c>
      <c r="Q61">
        <v>24</v>
      </c>
      <c r="S61" s="8"/>
      <c r="T61" s="10"/>
    </row>
    <row r="62" spans="3:22">
      <c r="C62" s="3"/>
      <c r="F62" s="12">
        <v>61</v>
      </c>
      <c r="G62" s="24" t="s">
        <v>336</v>
      </c>
      <c r="H62" s="7">
        <f t="shared" si="3"/>
        <v>24</v>
      </c>
      <c r="I62" s="3">
        <v>40889.483101851853</v>
      </c>
      <c r="J62" s="8" t="s">
        <v>625</v>
      </c>
      <c r="K62" s="4">
        <f t="shared" si="4"/>
        <v>12</v>
      </c>
      <c r="L62" s="4">
        <v>2</v>
      </c>
      <c r="M62" s="4">
        <v>12</v>
      </c>
      <c r="Q62">
        <v>24</v>
      </c>
      <c r="S62" s="8"/>
      <c r="T62" s="10"/>
    </row>
    <row r="63" spans="3:22">
      <c r="C63" s="3"/>
      <c r="F63" s="12">
        <v>62</v>
      </c>
      <c r="G63" s="24" t="s">
        <v>336</v>
      </c>
      <c r="H63" s="7">
        <f t="shared" si="3"/>
        <v>24</v>
      </c>
      <c r="I63" s="3">
        <v>40892.633125</v>
      </c>
      <c r="J63" s="8" t="s">
        <v>514</v>
      </c>
      <c r="K63" s="4">
        <f t="shared" si="4"/>
        <v>13</v>
      </c>
      <c r="L63" s="4">
        <v>2</v>
      </c>
      <c r="M63" s="4">
        <v>13</v>
      </c>
      <c r="Q63">
        <v>24</v>
      </c>
      <c r="S63" s="8"/>
      <c r="T63" s="10"/>
    </row>
    <row r="64" spans="3:22">
      <c r="C64" s="3"/>
      <c r="F64" s="12">
        <v>63</v>
      </c>
      <c r="G64" s="24" t="s">
        <v>336</v>
      </c>
      <c r="H64" s="7">
        <f t="shared" si="3"/>
        <v>24</v>
      </c>
      <c r="I64" s="3">
        <v>40892.744039351855</v>
      </c>
      <c r="J64" s="8" t="s">
        <v>1444</v>
      </c>
      <c r="K64" s="4">
        <f t="shared" si="4"/>
        <v>14</v>
      </c>
      <c r="L64" s="4">
        <v>9</v>
      </c>
      <c r="M64" s="4">
        <v>14</v>
      </c>
      <c r="Q64">
        <v>24</v>
      </c>
      <c r="S64" s="8"/>
      <c r="T64" s="10"/>
    </row>
    <row r="65" spans="3:20">
      <c r="C65" s="3"/>
      <c r="F65" s="12">
        <v>64</v>
      </c>
      <c r="G65" s="24" t="s">
        <v>336</v>
      </c>
      <c r="H65" s="7">
        <f t="shared" si="3"/>
        <v>24</v>
      </c>
      <c r="I65" s="3">
        <v>40896.542500000003</v>
      </c>
      <c r="J65" s="8" t="s">
        <v>816</v>
      </c>
      <c r="K65" s="4">
        <f t="shared" si="4"/>
        <v>15</v>
      </c>
      <c r="L65" s="4">
        <v>2</v>
      </c>
      <c r="M65" s="4">
        <v>15</v>
      </c>
      <c r="Q65">
        <v>24</v>
      </c>
      <c r="S65" s="8"/>
      <c r="T65" s="10"/>
    </row>
    <row r="66" spans="3:20">
      <c r="C66" s="3"/>
      <c r="F66" s="12">
        <v>65</v>
      </c>
      <c r="G66" s="24" t="s">
        <v>336</v>
      </c>
      <c r="H66" s="7">
        <f t="shared" ref="H66:H97" si="5">LOOKUP(G66,$N$2:$N$43,$O$2:$O$43)</f>
        <v>24</v>
      </c>
      <c r="I66" s="3">
        <v>40905.500034722223</v>
      </c>
      <c r="J66" s="8" t="s">
        <v>1550</v>
      </c>
      <c r="K66" s="4">
        <f t="shared" si="4"/>
        <v>16</v>
      </c>
      <c r="L66" s="4">
        <v>2</v>
      </c>
      <c r="M66" s="4">
        <v>16</v>
      </c>
      <c r="Q66">
        <v>24</v>
      </c>
      <c r="S66" s="8"/>
      <c r="T66" s="10"/>
    </row>
    <row r="67" spans="3:20">
      <c r="C67" s="3"/>
      <c r="F67" s="12">
        <v>66</v>
      </c>
      <c r="G67" s="24" t="s">
        <v>336</v>
      </c>
      <c r="H67" s="7">
        <f t="shared" si="5"/>
        <v>24</v>
      </c>
      <c r="I67" s="3">
        <v>40907.801296296297</v>
      </c>
      <c r="J67" s="8" t="s">
        <v>668</v>
      </c>
      <c r="K67" s="4">
        <f t="shared" si="4"/>
        <v>17</v>
      </c>
      <c r="L67" s="4">
        <v>3</v>
      </c>
      <c r="M67" s="4">
        <v>17</v>
      </c>
      <c r="Q67">
        <v>24</v>
      </c>
      <c r="S67" s="8"/>
      <c r="T67" s="10"/>
    </row>
    <row r="68" spans="3:20">
      <c r="C68" s="3"/>
      <c r="F68" s="12">
        <v>67</v>
      </c>
      <c r="G68" s="24" t="s">
        <v>288</v>
      </c>
      <c r="H68" s="7">
        <f t="shared" si="5"/>
        <v>25</v>
      </c>
      <c r="I68" s="3">
        <v>40792.550451388888</v>
      </c>
      <c r="J68" s="8" t="s">
        <v>955</v>
      </c>
      <c r="K68" s="4">
        <f t="shared" si="4"/>
        <v>1</v>
      </c>
      <c r="L68" s="4">
        <v>2</v>
      </c>
      <c r="M68" s="4">
        <v>1</v>
      </c>
      <c r="Q68">
        <v>25</v>
      </c>
      <c r="S68" s="8"/>
      <c r="T68" s="10"/>
    </row>
    <row r="69" spans="3:20">
      <c r="C69" s="3"/>
      <c r="F69" s="12">
        <v>68</v>
      </c>
      <c r="G69" s="24" t="s">
        <v>288</v>
      </c>
      <c r="H69" s="7">
        <f t="shared" si="5"/>
        <v>25</v>
      </c>
      <c r="I69" s="3">
        <v>40792.506030092591</v>
      </c>
      <c r="J69" s="8" t="s">
        <v>983</v>
      </c>
      <c r="K69" s="4">
        <f t="shared" si="4"/>
        <v>2</v>
      </c>
      <c r="L69" s="4">
        <v>2</v>
      </c>
      <c r="M69" s="4">
        <v>2</v>
      </c>
      <c r="Q69">
        <v>25</v>
      </c>
      <c r="S69" s="8"/>
      <c r="T69" s="10"/>
    </row>
    <row r="70" spans="3:20">
      <c r="C70" s="3"/>
      <c r="F70" s="12">
        <v>69</v>
      </c>
      <c r="G70" s="24" t="s">
        <v>288</v>
      </c>
      <c r="H70" s="7">
        <f t="shared" si="5"/>
        <v>25</v>
      </c>
      <c r="I70" s="3">
        <v>40792.566932870373</v>
      </c>
      <c r="J70" s="8">
        <v>9349370</v>
      </c>
      <c r="K70" s="4">
        <f t="shared" si="4"/>
        <v>3</v>
      </c>
      <c r="L70" s="4">
        <v>9</v>
      </c>
      <c r="M70" s="4">
        <v>3</v>
      </c>
      <c r="Q70">
        <v>25</v>
      </c>
      <c r="S70" s="8"/>
      <c r="T70" s="10"/>
    </row>
    <row r="71" spans="3:20">
      <c r="C71" s="3"/>
      <c r="F71" s="12">
        <v>70</v>
      </c>
      <c r="G71" s="24" t="s">
        <v>288</v>
      </c>
      <c r="H71" s="7">
        <f t="shared" si="5"/>
        <v>25</v>
      </c>
      <c r="I71" s="3">
        <v>40786.731226851851</v>
      </c>
      <c r="J71" s="8" t="s">
        <v>461</v>
      </c>
      <c r="K71" s="4">
        <f t="shared" si="4"/>
        <v>4</v>
      </c>
      <c r="L71" s="4">
        <v>2</v>
      </c>
      <c r="M71" s="4">
        <v>4</v>
      </c>
      <c r="Q71">
        <v>25</v>
      </c>
      <c r="S71" s="8"/>
      <c r="T71" s="10"/>
    </row>
    <row r="72" spans="3:20">
      <c r="C72" s="3"/>
      <c r="F72" s="12">
        <v>71</v>
      </c>
      <c r="G72" s="24" t="s">
        <v>288</v>
      </c>
      <c r="H72" s="7">
        <f t="shared" si="5"/>
        <v>25</v>
      </c>
      <c r="I72" s="3">
        <v>40794.693182870367</v>
      </c>
      <c r="J72" s="8" t="s">
        <v>400</v>
      </c>
      <c r="K72" s="4">
        <f t="shared" si="4"/>
        <v>5</v>
      </c>
      <c r="L72" s="4">
        <v>2</v>
      </c>
      <c r="M72" s="4">
        <v>5</v>
      </c>
      <c r="Q72">
        <v>25</v>
      </c>
      <c r="S72" s="8"/>
      <c r="T72" s="10"/>
    </row>
    <row r="73" spans="3:20">
      <c r="C73" s="3"/>
      <c r="F73" s="12">
        <v>72</v>
      </c>
      <c r="G73" s="24" t="s">
        <v>288</v>
      </c>
      <c r="H73" s="7">
        <f t="shared" si="5"/>
        <v>25</v>
      </c>
      <c r="I73" s="3">
        <v>40795.389502314814</v>
      </c>
      <c r="J73" s="8" t="s">
        <v>1546</v>
      </c>
      <c r="K73" s="4">
        <f t="shared" si="4"/>
        <v>6</v>
      </c>
      <c r="L73" s="4">
        <v>2</v>
      </c>
      <c r="M73" s="4">
        <v>6</v>
      </c>
      <c r="Q73">
        <v>25</v>
      </c>
      <c r="S73" s="8"/>
      <c r="T73" s="10"/>
    </row>
    <row r="74" spans="3:20">
      <c r="C74" s="3"/>
      <c r="F74" s="12">
        <v>73</v>
      </c>
      <c r="G74" s="24" t="s">
        <v>288</v>
      </c>
      <c r="H74" s="7">
        <f t="shared" si="5"/>
        <v>25</v>
      </c>
      <c r="I74" s="3">
        <v>40797.820752314816</v>
      </c>
      <c r="J74" s="8" t="s">
        <v>555</v>
      </c>
      <c r="K74" s="4">
        <f t="shared" si="4"/>
        <v>7</v>
      </c>
      <c r="L74" s="4">
        <v>2</v>
      </c>
      <c r="M74" s="4">
        <v>7</v>
      </c>
      <c r="Q74">
        <v>25</v>
      </c>
      <c r="S74" s="8"/>
      <c r="T74" s="10"/>
    </row>
    <row r="75" spans="3:20">
      <c r="C75" s="3"/>
      <c r="F75" s="12">
        <v>74</v>
      </c>
      <c r="G75" s="24" t="s">
        <v>288</v>
      </c>
      <c r="H75" s="7">
        <f t="shared" si="5"/>
        <v>25</v>
      </c>
      <c r="I75" s="3">
        <v>40805.775694444441</v>
      </c>
      <c r="J75" s="8" t="s">
        <v>1490</v>
      </c>
      <c r="K75" s="4">
        <f t="shared" si="4"/>
        <v>8</v>
      </c>
      <c r="L75" s="4">
        <v>2</v>
      </c>
      <c r="M75" s="4">
        <v>8</v>
      </c>
      <c r="Q75">
        <v>25</v>
      </c>
      <c r="S75" s="8"/>
      <c r="T75" s="10"/>
    </row>
    <row r="76" spans="3:20">
      <c r="C76" s="3"/>
      <c r="F76" s="12">
        <v>75</v>
      </c>
      <c r="G76" s="24" t="s">
        <v>288</v>
      </c>
      <c r="H76" s="7">
        <f t="shared" si="5"/>
        <v>25</v>
      </c>
      <c r="I76" s="3">
        <v>40805.775393518517</v>
      </c>
      <c r="J76" s="8" t="s">
        <v>592</v>
      </c>
      <c r="K76" s="4">
        <f t="shared" si="4"/>
        <v>9</v>
      </c>
      <c r="L76" s="4">
        <v>2</v>
      </c>
      <c r="M76" s="4">
        <v>9</v>
      </c>
      <c r="Q76">
        <v>25</v>
      </c>
      <c r="S76" s="8"/>
      <c r="T76" s="10"/>
    </row>
    <row r="77" spans="3:20">
      <c r="C77" s="3"/>
      <c r="F77" s="12">
        <v>76</v>
      </c>
      <c r="G77" s="24" t="s">
        <v>288</v>
      </c>
      <c r="H77" s="7">
        <f t="shared" si="5"/>
        <v>25</v>
      </c>
      <c r="I77" s="3">
        <v>40524.97923611111</v>
      </c>
      <c r="J77" s="8" t="s">
        <v>776</v>
      </c>
      <c r="K77" s="4">
        <f t="shared" si="4"/>
        <v>10</v>
      </c>
      <c r="L77" s="4">
        <v>2</v>
      </c>
      <c r="M77" s="4">
        <v>10</v>
      </c>
      <c r="Q77">
        <v>25</v>
      </c>
      <c r="S77" s="8"/>
      <c r="T77" s="10"/>
    </row>
    <row r="78" spans="3:20">
      <c r="C78" s="3"/>
      <c r="F78" s="12">
        <v>77</v>
      </c>
      <c r="G78" s="23" t="s">
        <v>288</v>
      </c>
      <c r="H78" s="7">
        <f t="shared" si="5"/>
        <v>25</v>
      </c>
      <c r="I78" s="3">
        <v>40808.614560185182</v>
      </c>
      <c r="J78" s="8">
        <v>9127640</v>
      </c>
      <c r="K78" s="4">
        <f t="shared" si="4"/>
        <v>11</v>
      </c>
      <c r="L78" s="4">
        <v>3</v>
      </c>
      <c r="M78" s="4">
        <v>11</v>
      </c>
      <c r="Q78">
        <v>25</v>
      </c>
      <c r="S78" s="8"/>
      <c r="T78" s="10"/>
    </row>
    <row r="79" spans="3:20">
      <c r="C79" s="3"/>
      <c r="F79" s="12">
        <v>78</v>
      </c>
      <c r="G79" s="24" t="s">
        <v>288</v>
      </c>
      <c r="H79" s="7">
        <f t="shared" si="5"/>
        <v>25</v>
      </c>
      <c r="I79" s="3">
        <v>40809.309490740743</v>
      </c>
      <c r="J79" s="8" t="s">
        <v>845</v>
      </c>
      <c r="K79" s="4">
        <f t="shared" si="4"/>
        <v>12</v>
      </c>
      <c r="L79" s="4">
        <v>2</v>
      </c>
      <c r="M79" s="4">
        <v>12</v>
      </c>
      <c r="Q79">
        <v>25</v>
      </c>
      <c r="S79" s="8"/>
      <c r="T79" s="10"/>
    </row>
    <row r="80" spans="3:20">
      <c r="C80" s="3"/>
      <c r="F80" s="12">
        <v>79</v>
      </c>
      <c r="G80" s="23" t="s">
        <v>288</v>
      </c>
      <c r="H80" s="7">
        <f t="shared" si="5"/>
        <v>25</v>
      </c>
      <c r="I80" s="3">
        <v>40809.650543981479</v>
      </c>
      <c r="J80" s="8" t="s">
        <v>1284</v>
      </c>
      <c r="K80" s="4">
        <f t="shared" si="4"/>
        <v>13</v>
      </c>
      <c r="L80" s="4">
        <v>2</v>
      </c>
      <c r="M80" s="4">
        <v>13</v>
      </c>
      <c r="Q80">
        <v>25</v>
      </c>
      <c r="S80" s="8"/>
      <c r="T80" s="10"/>
    </row>
    <row r="81" spans="3:20">
      <c r="C81" s="3"/>
      <c r="F81" s="12">
        <v>80</v>
      </c>
      <c r="G81" s="24" t="s">
        <v>288</v>
      </c>
      <c r="H81" s="7">
        <f t="shared" si="5"/>
        <v>25</v>
      </c>
      <c r="I81" s="3">
        <v>40809.955243055556</v>
      </c>
      <c r="J81" s="8" t="s">
        <v>662</v>
      </c>
      <c r="K81" s="4">
        <f t="shared" si="4"/>
        <v>14</v>
      </c>
      <c r="L81" s="4">
        <v>2</v>
      </c>
      <c r="M81" s="4">
        <v>14</v>
      </c>
      <c r="Q81">
        <v>25</v>
      </c>
      <c r="S81" s="8"/>
      <c r="T81" s="10"/>
    </row>
    <row r="82" spans="3:20">
      <c r="C82" s="3"/>
      <c r="D82" s="1"/>
      <c r="F82" s="12">
        <v>81</v>
      </c>
      <c r="G82" s="23" t="s">
        <v>288</v>
      </c>
      <c r="H82" s="7">
        <f t="shared" si="5"/>
        <v>25</v>
      </c>
      <c r="I82" s="3">
        <v>40812.389594907407</v>
      </c>
      <c r="J82" s="8" t="s">
        <v>1352</v>
      </c>
      <c r="K82" s="4">
        <f t="shared" si="4"/>
        <v>15</v>
      </c>
      <c r="L82" s="4">
        <v>2</v>
      </c>
      <c r="M82" s="4">
        <v>15</v>
      </c>
      <c r="Q82">
        <v>25</v>
      </c>
      <c r="S82" s="8"/>
      <c r="T82" s="10"/>
    </row>
    <row r="83" spans="3:20">
      <c r="C83" s="3"/>
      <c r="F83" s="12">
        <v>82</v>
      </c>
      <c r="G83" s="24" t="s">
        <v>288</v>
      </c>
      <c r="H83" s="7">
        <f t="shared" si="5"/>
        <v>25</v>
      </c>
      <c r="I83" s="3">
        <v>40812.389641203707</v>
      </c>
      <c r="J83" s="8" t="s">
        <v>1167</v>
      </c>
      <c r="K83" s="4">
        <f t="shared" si="4"/>
        <v>16</v>
      </c>
      <c r="L83" s="4">
        <v>2</v>
      </c>
      <c r="M83" s="4">
        <v>16</v>
      </c>
      <c r="Q83">
        <v>25</v>
      </c>
      <c r="S83" s="8"/>
      <c r="T83" s="10"/>
    </row>
    <row r="84" spans="3:20">
      <c r="C84" s="3"/>
      <c r="F84" s="12">
        <v>83</v>
      </c>
      <c r="G84" s="23" t="s">
        <v>288</v>
      </c>
      <c r="H84" s="7">
        <f t="shared" si="5"/>
        <v>25</v>
      </c>
      <c r="I84" s="3">
        <v>40812.621030092596</v>
      </c>
      <c r="J84" s="8" t="s">
        <v>342</v>
      </c>
      <c r="K84" s="4">
        <f t="shared" si="4"/>
        <v>17</v>
      </c>
      <c r="L84" s="4">
        <v>9</v>
      </c>
      <c r="M84" s="4">
        <v>17</v>
      </c>
      <c r="Q84">
        <v>25</v>
      </c>
      <c r="S84" s="8"/>
      <c r="T84" s="10"/>
    </row>
    <row r="85" spans="3:20">
      <c r="C85" s="3"/>
      <c r="F85" s="12">
        <v>84</v>
      </c>
      <c r="G85" s="23" t="s">
        <v>288</v>
      </c>
      <c r="H85" s="7">
        <f t="shared" si="5"/>
        <v>25</v>
      </c>
      <c r="I85" s="3">
        <v>40814.726620370369</v>
      </c>
      <c r="J85" s="8" t="s">
        <v>1202</v>
      </c>
      <c r="K85" s="4">
        <f t="shared" si="4"/>
        <v>18</v>
      </c>
      <c r="L85" s="4">
        <v>3</v>
      </c>
      <c r="M85" s="4">
        <v>18</v>
      </c>
      <c r="Q85">
        <v>25</v>
      </c>
      <c r="S85" s="8"/>
      <c r="T85" s="10"/>
    </row>
    <row r="86" spans="3:20">
      <c r="C86" s="3"/>
      <c r="F86" s="12">
        <v>85</v>
      </c>
      <c r="G86" s="24" t="s">
        <v>288</v>
      </c>
      <c r="H86" s="7">
        <f t="shared" si="5"/>
        <v>25</v>
      </c>
      <c r="I86" s="3">
        <v>40814.876134259262</v>
      </c>
      <c r="J86" s="8" t="s">
        <v>494</v>
      </c>
      <c r="K86" s="4">
        <f t="shared" si="4"/>
        <v>19</v>
      </c>
      <c r="L86" s="4">
        <v>3</v>
      </c>
      <c r="M86" s="4">
        <v>19</v>
      </c>
      <c r="Q86">
        <v>25</v>
      </c>
      <c r="S86" s="8"/>
    </row>
    <row r="87" spans="3:20">
      <c r="C87" s="3"/>
      <c r="F87" s="12">
        <v>86</v>
      </c>
      <c r="G87" s="24" t="s">
        <v>288</v>
      </c>
      <c r="H87" s="7">
        <f t="shared" si="5"/>
        <v>25</v>
      </c>
      <c r="I87" s="3">
        <v>40814.703425925924</v>
      </c>
      <c r="J87" s="8">
        <v>2247444</v>
      </c>
      <c r="K87" s="4">
        <f t="shared" si="4"/>
        <v>20</v>
      </c>
      <c r="L87" s="4">
        <v>3</v>
      </c>
      <c r="M87" s="4">
        <v>20</v>
      </c>
      <c r="Q87">
        <v>25</v>
      </c>
      <c r="S87" s="8"/>
      <c r="T87" s="10"/>
    </row>
    <row r="88" spans="3:20">
      <c r="C88" s="3"/>
      <c r="F88" s="12">
        <v>87</v>
      </c>
      <c r="G88" s="24" t="s">
        <v>288</v>
      </c>
      <c r="H88" s="7">
        <f t="shared" si="5"/>
        <v>25</v>
      </c>
      <c r="I88" s="3">
        <v>40817.868773148148</v>
      </c>
      <c r="J88" s="8" t="s">
        <v>509</v>
      </c>
      <c r="K88" s="4">
        <f t="shared" si="4"/>
        <v>21</v>
      </c>
      <c r="L88" s="4">
        <v>2</v>
      </c>
      <c r="M88" s="4">
        <v>21</v>
      </c>
      <c r="Q88">
        <v>25</v>
      </c>
      <c r="S88" s="8"/>
      <c r="T88" s="10"/>
    </row>
    <row r="89" spans="3:20">
      <c r="C89" s="3"/>
      <c r="F89" s="12">
        <v>88</v>
      </c>
      <c r="G89" s="24" t="s">
        <v>288</v>
      </c>
      <c r="H89" s="7">
        <f t="shared" si="5"/>
        <v>25</v>
      </c>
      <c r="I89" s="3">
        <v>40817.920787037037</v>
      </c>
      <c r="J89" s="8" t="s">
        <v>867</v>
      </c>
      <c r="K89" s="4">
        <f t="shared" si="4"/>
        <v>22</v>
      </c>
      <c r="L89" s="4">
        <v>2</v>
      </c>
      <c r="M89" s="4">
        <v>22</v>
      </c>
      <c r="Q89">
        <v>25</v>
      </c>
      <c r="S89" s="8"/>
      <c r="T89" s="10"/>
    </row>
    <row r="90" spans="3:20">
      <c r="C90" s="3"/>
      <c r="F90" s="12">
        <v>89</v>
      </c>
      <c r="G90" s="24" t="s">
        <v>288</v>
      </c>
      <c r="H90" s="7">
        <f t="shared" si="5"/>
        <v>25</v>
      </c>
      <c r="I90" s="3">
        <v>40825.671736111108</v>
      </c>
      <c r="J90" s="8" t="s">
        <v>397</v>
      </c>
      <c r="K90" s="4">
        <f t="shared" si="4"/>
        <v>23</v>
      </c>
      <c r="L90" s="4">
        <v>2</v>
      </c>
      <c r="M90" s="4">
        <v>23</v>
      </c>
      <c r="Q90">
        <v>25</v>
      </c>
      <c r="S90" s="8"/>
      <c r="T90" s="10"/>
    </row>
    <row r="91" spans="3:20">
      <c r="C91" s="3"/>
      <c r="F91" s="12">
        <v>90</v>
      </c>
      <c r="G91" s="24" t="s">
        <v>288</v>
      </c>
      <c r="H91" s="7">
        <f t="shared" si="5"/>
        <v>25</v>
      </c>
      <c r="I91" s="3">
        <v>40827.376296296294</v>
      </c>
      <c r="J91" s="8" t="s">
        <v>573</v>
      </c>
      <c r="K91" s="4">
        <f t="shared" si="4"/>
        <v>24</v>
      </c>
      <c r="L91" s="4">
        <v>2</v>
      </c>
      <c r="M91" s="4">
        <v>24</v>
      </c>
      <c r="Q91">
        <v>25</v>
      </c>
      <c r="S91" s="8"/>
      <c r="T91" s="10"/>
    </row>
    <row r="92" spans="3:20">
      <c r="C92" s="3"/>
      <c r="F92" s="12">
        <v>91</v>
      </c>
      <c r="G92" s="23" t="s">
        <v>288</v>
      </c>
      <c r="H92" s="7">
        <f t="shared" si="5"/>
        <v>25</v>
      </c>
      <c r="I92" s="3">
        <v>40839.946168981478</v>
      </c>
      <c r="J92" s="8" t="s">
        <v>774</v>
      </c>
      <c r="K92" s="4">
        <f t="shared" ref="K92:K123" si="6">IF(Q92&gt;Q91,1,K91+1)</f>
        <v>25</v>
      </c>
      <c r="L92" s="4">
        <v>2</v>
      </c>
      <c r="M92" s="4">
        <v>25</v>
      </c>
      <c r="Q92">
        <v>25</v>
      </c>
      <c r="S92" s="8"/>
      <c r="T92" s="10"/>
    </row>
    <row r="93" spans="3:20">
      <c r="C93" s="3"/>
      <c r="F93" s="12">
        <v>92</v>
      </c>
      <c r="G93" s="24" t="s">
        <v>288</v>
      </c>
      <c r="H93" s="7">
        <f t="shared" si="5"/>
        <v>25</v>
      </c>
      <c r="I93" s="3">
        <v>40840.33421296296</v>
      </c>
      <c r="J93" s="8" t="s">
        <v>525</v>
      </c>
      <c r="K93" s="4">
        <f t="shared" si="6"/>
        <v>26</v>
      </c>
      <c r="L93" s="4">
        <v>9</v>
      </c>
      <c r="M93" s="4">
        <v>26</v>
      </c>
      <c r="Q93">
        <v>25</v>
      </c>
      <c r="S93" s="8"/>
      <c r="T93" s="10"/>
    </row>
    <row r="94" spans="3:20">
      <c r="C94" s="3"/>
      <c r="F94" s="12">
        <v>93</v>
      </c>
      <c r="G94" s="24" t="s">
        <v>288</v>
      </c>
      <c r="H94" s="7">
        <f t="shared" si="5"/>
        <v>25</v>
      </c>
      <c r="I94" s="3">
        <v>40840.333611111113</v>
      </c>
      <c r="J94" s="8" t="s">
        <v>681</v>
      </c>
      <c r="K94" s="4">
        <f t="shared" si="6"/>
        <v>27</v>
      </c>
      <c r="L94" s="4">
        <v>9</v>
      </c>
      <c r="M94" s="4">
        <v>27</v>
      </c>
      <c r="Q94">
        <v>25</v>
      </c>
      <c r="S94" s="8"/>
      <c r="T94" s="10"/>
    </row>
    <row r="95" spans="3:20">
      <c r="C95" s="3"/>
      <c r="F95" s="12">
        <v>94</v>
      </c>
      <c r="G95" s="24" t="s">
        <v>288</v>
      </c>
      <c r="H95" s="7">
        <f t="shared" si="5"/>
        <v>25</v>
      </c>
      <c r="I95" s="3">
        <v>40837.495370370372</v>
      </c>
      <c r="J95" s="8" t="s">
        <v>545</v>
      </c>
      <c r="K95" s="4">
        <f t="shared" si="6"/>
        <v>28</v>
      </c>
      <c r="L95" s="4">
        <v>2</v>
      </c>
      <c r="M95" s="4">
        <v>28</v>
      </c>
      <c r="Q95">
        <v>25</v>
      </c>
      <c r="S95" s="8"/>
      <c r="T95" s="10"/>
    </row>
    <row r="96" spans="3:20">
      <c r="C96" s="3"/>
      <c r="F96" s="12">
        <v>95</v>
      </c>
      <c r="G96" s="24" t="s">
        <v>288</v>
      </c>
      <c r="H96" s="7">
        <f t="shared" si="5"/>
        <v>25</v>
      </c>
      <c r="I96" s="3">
        <v>40844.730393518519</v>
      </c>
      <c r="J96" s="8" t="s">
        <v>698</v>
      </c>
      <c r="K96" s="4">
        <f t="shared" si="6"/>
        <v>29</v>
      </c>
      <c r="L96" s="4">
        <v>2</v>
      </c>
      <c r="M96" s="4">
        <v>29</v>
      </c>
      <c r="Q96">
        <v>25</v>
      </c>
      <c r="S96" s="8"/>
      <c r="T96" s="10"/>
    </row>
    <row r="97" spans="3:20">
      <c r="C97" s="3"/>
      <c r="F97" s="12">
        <v>96</v>
      </c>
      <c r="G97" s="23" t="s">
        <v>288</v>
      </c>
      <c r="H97" s="7">
        <f t="shared" si="5"/>
        <v>25</v>
      </c>
      <c r="I97" s="3">
        <v>40845.428414351853</v>
      </c>
      <c r="J97" s="8" t="s">
        <v>352</v>
      </c>
      <c r="K97" s="4">
        <f t="shared" si="6"/>
        <v>30</v>
      </c>
      <c r="L97" s="4">
        <v>7</v>
      </c>
      <c r="M97" s="4">
        <v>30</v>
      </c>
      <c r="Q97">
        <v>25</v>
      </c>
      <c r="S97" s="8"/>
      <c r="T97" s="10"/>
    </row>
    <row r="98" spans="3:20">
      <c r="C98" s="3"/>
      <c r="F98" s="12">
        <v>97</v>
      </c>
      <c r="G98" s="24" t="s">
        <v>288</v>
      </c>
      <c r="H98" s="7">
        <f t="shared" ref="H98:H129" si="7">LOOKUP(G98,$N$2:$N$43,$O$2:$O$43)</f>
        <v>25</v>
      </c>
      <c r="I98" s="3">
        <v>40846.791851851849</v>
      </c>
      <c r="J98" s="8" t="s">
        <v>1292</v>
      </c>
      <c r="K98" s="4">
        <f t="shared" si="6"/>
        <v>31</v>
      </c>
      <c r="L98" s="4">
        <v>4</v>
      </c>
      <c r="M98" s="4">
        <v>31</v>
      </c>
      <c r="Q98">
        <v>25</v>
      </c>
      <c r="S98" s="8"/>
      <c r="T98" s="10"/>
    </row>
    <row r="99" spans="3:20">
      <c r="C99" s="3"/>
      <c r="F99" s="12">
        <v>98</v>
      </c>
      <c r="G99" s="24" t="s">
        <v>288</v>
      </c>
      <c r="H99" s="7">
        <f t="shared" si="7"/>
        <v>25</v>
      </c>
      <c r="I99" s="3">
        <v>40854.603796296295</v>
      </c>
      <c r="J99" s="8" t="s">
        <v>842</v>
      </c>
      <c r="K99" s="4">
        <f t="shared" si="6"/>
        <v>32</v>
      </c>
      <c r="L99" s="4">
        <v>2</v>
      </c>
      <c r="M99" s="4">
        <v>32</v>
      </c>
      <c r="Q99">
        <v>25</v>
      </c>
      <c r="S99" s="8"/>
      <c r="T99" s="10"/>
    </row>
    <row r="100" spans="3:20">
      <c r="C100" s="3"/>
      <c r="F100" s="12">
        <v>99</v>
      </c>
      <c r="G100" s="24" t="s">
        <v>288</v>
      </c>
      <c r="H100" s="7">
        <f t="shared" si="7"/>
        <v>25</v>
      </c>
      <c r="I100" s="3">
        <v>40854.606180555558</v>
      </c>
      <c r="J100" s="8" t="s">
        <v>1259</v>
      </c>
      <c r="K100" s="4">
        <f t="shared" si="6"/>
        <v>33</v>
      </c>
      <c r="L100" s="4">
        <v>2</v>
      </c>
      <c r="M100" s="4">
        <v>33</v>
      </c>
      <c r="Q100">
        <v>25</v>
      </c>
      <c r="S100" s="8"/>
      <c r="T100" s="10"/>
    </row>
    <row r="101" spans="3:20">
      <c r="C101" s="3"/>
      <c r="F101" s="12">
        <v>100</v>
      </c>
      <c r="G101" s="23" t="s">
        <v>288</v>
      </c>
      <c r="H101" s="7">
        <f t="shared" si="7"/>
        <v>25</v>
      </c>
      <c r="I101" s="3">
        <v>40856.546215277776</v>
      </c>
      <c r="J101" s="8" t="s">
        <v>822</v>
      </c>
      <c r="K101" s="4">
        <f t="shared" si="6"/>
        <v>34</v>
      </c>
      <c r="L101" s="4">
        <v>2</v>
      </c>
      <c r="M101" s="4">
        <v>34</v>
      </c>
      <c r="Q101">
        <v>25</v>
      </c>
      <c r="S101" s="8"/>
      <c r="T101" s="10"/>
    </row>
    <row r="102" spans="3:20">
      <c r="C102" s="3"/>
      <c r="F102" s="12">
        <v>101</v>
      </c>
      <c r="G102" s="24" t="s">
        <v>288</v>
      </c>
      <c r="H102" s="7">
        <f t="shared" si="7"/>
        <v>25</v>
      </c>
      <c r="I102" s="3">
        <v>41071.982592592591</v>
      </c>
      <c r="J102" s="8" t="s">
        <v>98</v>
      </c>
      <c r="K102" s="4">
        <f t="shared" si="6"/>
        <v>35</v>
      </c>
      <c r="L102" s="4">
        <v>2</v>
      </c>
      <c r="M102" s="4">
        <v>35</v>
      </c>
      <c r="Q102">
        <v>25</v>
      </c>
      <c r="S102" s="8"/>
      <c r="T102" s="10"/>
    </row>
    <row r="103" spans="3:20">
      <c r="C103" s="3"/>
      <c r="F103" s="12">
        <v>102</v>
      </c>
      <c r="G103" s="24" t="s">
        <v>288</v>
      </c>
      <c r="H103" s="7">
        <f t="shared" si="7"/>
        <v>25</v>
      </c>
      <c r="I103" s="3">
        <v>40932.487708333334</v>
      </c>
      <c r="J103" s="8" t="s">
        <v>827</v>
      </c>
      <c r="K103" s="4">
        <f t="shared" si="6"/>
        <v>36</v>
      </c>
      <c r="L103" s="4">
        <v>9</v>
      </c>
      <c r="M103" s="4">
        <v>36</v>
      </c>
      <c r="Q103">
        <v>25</v>
      </c>
      <c r="S103" s="8"/>
      <c r="T103" s="10"/>
    </row>
    <row r="104" spans="3:20">
      <c r="C104" s="3"/>
      <c r="F104" s="12">
        <v>103</v>
      </c>
      <c r="G104" s="23" t="s">
        <v>288</v>
      </c>
      <c r="H104" s="7">
        <f t="shared" si="7"/>
        <v>25</v>
      </c>
      <c r="I104" s="3">
        <v>40860.546215219911</v>
      </c>
      <c r="J104" s="8" t="s">
        <v>831</v>
      </c>
      <c r="K104" s="4">
        <f t="shared" si="6"/>
        <v>37</v>
      </c>
      <c r="L104" s="4">
        <v>2</v>
      </c>
      <c r="M104" s="4">
        <v>37</v>
      </c>
      <c r="Q104">
        <v>25</v>
      </c>
      <c r="S104" s="8"/>
      <c r="T104" s="10"/>
    </row>
    <row r="105" spans="3:20">
      <c r="C105" s="3"/>
      <c r="F105" s="12">
        <v>104</v>
      </c>
      <c r="G105" s="24" t="s">
        <v>288</v>
      </c>
      <c r="H105" s="7">
        <f t="shared" si="7"/>
        <v>25</v>
      </c>
      <c r="I105" s="3">
        <v>40556.428726851853</v>
      </c>
      <c r="J105" s="8" t="s">
        <v>833</v>
      </c>
      <c r="K105" s="4">
        <f t="shared" si="6"/>
        <v>38</v>
      </c>
      <c r="L105" s="4">
        <v>2</v>
      </c>
      <c r="M105" s="4">
        <v>38</v>
      </c>
      <c r="Q105">
        <v>25</v>
      </c>
      <c r="S105" s="8"/>
      <c r="T105" s="10"/>
    </row>
    <row r="106" spans="3:20">
      <c r="C106" s="3"/>
      <c r="F106" s="12">
        <v>105</v>
      </c>
      <c r="G106" s="24" t="s">
        <v>288</v>
      </c>
      <c r="H106" s="7">
        <f t="shared" si="7"/>
        <v>25</v>
      </c>
      <c r="I106" s="3">
        <v>40861.50922453704</v>
      </c>
      <c r="J106" s="8" t="s">
        <v>1878</v>
      </c>
      <c r="K106" s="4">
        <f t="shared" si="6"/>
        <v>39</v>
      </c>
      <c r="L106" s="4">
        <v>2</v>
      </c>
      <c r="M106" s="4">
        <v>39</v>
      </c>
      <c r="Q106">
        <v>25</v>
      </c>
      <c r="S106" s="8"/>
      <c r="T106" s="10"/>
    </row>
    <row r="107" spans="3:20">
      <c r="C107" s="3"/>
      <c r="F107" s="12">
        <v>106</v>
      </c>
      <c r="G107" s="23" t="s">
        <v>288</v>
      </c>
      <c r="H107" s="7">
        <f t="shared" si="7"/>
        <v>25</v>
      </c>
      <c r="I107" s="3">
        <v>40864.925023148149</v>
      </c>
      <c r="J107" s="8" t="s">
        <v>1463</v>
      </c>
      <c r="K107" s="4">
        <f t="shared" si="6"/>
        <v>40</v>
      </c>
      <c r="L107" s="4">
        <v>2</v>
      </c>
      <c r="M107" s="4">
        <v>40</v>
      </c>
      <c r="Q107">
        <v>25</v>
      </c>
      <c r="S107" s="8"/>
      <c r="T107" s="10"/>
    </row>
    <row r="108" spans="3:20">
      <c r="C108" s="3"/>
      <c r="F108" s="12">
        <v>107</v>
      </c>
      <c r="G108" s="23" t="s">
        <v>288</v>
      </c>
      <c r="H108" s="7">
        <f t="shared" si="7"/>
        <v>25</v>
      </c>
      <c r="I108" s="3">
        <v>40874.806076388886</v>
      </c>
      <c r="J108" s="8" t="s">
        <v>1095</v>
      </c>
      <c r="K108" s="4">
        <f t="shared" si="6"/>
        <v>41</v>
      </c>
      <c r="L108" s="4">
        <v>9</v>
      </c>
      <c r="M108" s="4">
        <v>41</v>
      </c>
      <c r="Q108">
        <v>25</v>
      </c>
      <c r="S108" s="8"/>
      <c r="T108" s="10"/>
    </row>
    <row r="109" spans="3:20">
      <c r="C109" s="3"/>
      <c r="F109" s="12">
        <v>108</v>
      </c>
      <c r="G109" s="24" t="s">
        <v>288</v>
      </c>
      <c r="H109" s="7">
        <f t="shared" si="7"/>
        <v>25</v>
      </c>
      <c r="I109" s="3">
        <v>40874.806400462963</v>
      </c>
      <c r="J109" s="8" t="s">
        <v>1215</v>
      </c>
      <c r="K109" s="4">
        <f t="shared" si="6"/>
        <v>42</v>
      </c>
      <c r="L109" s="4">
        <v>9</v>
      </c>
      <c r="M109" s="4">
        <v>42</v>
      </c>
      <c r="Q109">
        <v>25</v>
      </c>
      <c r="S109" s="8"/>
      <c r="T109" s="10"/>
    </row>
    <row r="110" spans="3:20">
      <c r="C110" s="3"/>
      <c r="F110" s="12">
        <v>109</v>
      </c>
      <c r="G110" s="23" t="s">
        <v>288</v>
      </c>
      <c r="H110" s="7">
        <f t="shared" si="7"/>
        <v>25</v>
      </c>
      <c r="I110" s="3">
        <v>40874.903240740743</v>
      </c>
      <c r="J110" s="8" t="s">
        <v>366</v>
      </c>
      <c r="K110" s="4">
        <f t="shared" si="6"/>
        <v>43</v>
      </c>
      <c r="L110" s="4">
        <v>2</v>
      </c>
      <c r="M110" s="4">
        <v>43</v>
      </c>
      <c r="Q110">
        <v>25</v>
      </c>
      <c r="S110" s="8"/>
      <c r="T110" s="10"/>
    </row>
    <row r="111" spans="3:20">
      <c r="C111" s="3"/>
      <c r="F111" s="12">
        <v>110</v>
      </c>
      <c r="G111" s="24" t="s">
        <v>288</v>
      </c>
      <c r="H111" s="7">
        <f t="shared" si="7"/>
        <v>25</v>
      </c>
      <c r="I111" s="3">
        <v>40879.989618055559</v>
      </c>
      <c r="J111" s="8" t="s">
        <v>377</v>
      </c>
      <c r="K111" s="4">
        <f t="shared" si="6"/>
        <v>44</v>
      </c>
      <c r="L111" s="4">
        <v>2</v>
      </c>
      <c r="M111" s="4">
        <v>44</v>
      </c>
      <c r="Q111">
        <v>25</v>
      </c>
      <c r="S111" s="8"/>
      <c r="T111" s="10"/>
    </row>
    <row r="112" spans="3:20">
      <c r="C112" s="3"/>
      <c r="F112" s="12">
        <v>111</v>
      </c>
      <c r="G112" s="23" t="s">
        <v>288</v>
      </c>
      <c r="H112" s="7">
        <f t="shared" si="7"/>
        <v>25</v>
      </c>
      <c r="I112" s="3">
        <v>40882.434282407405</v>
      </c>
      <c r="J112" s="8" t="s">
        <v>931</v>
      </c>
      <c r="K112" s="4">
        <f t="shared" si="6"/>
        <v>45</v>
      </c>
      <c r="L112" s="4">
        <v>2</v>
      </c>
      <c r="M112" s="4">
        <v>45</v>
      </c>
      <c r="Q112">
        <v>25</v>
      </c>
      <c r="S112" s="8"/>
      <c r="T112" s="10"/>
    </row>
    <row r="113" spans="3:20">
      <c r="C113" s="3"/>
      <c r="F113" s="12">
        <v>112</v>
      </c>
      <c r="G113" s="23" t="s">
        <v>288</v>
      </c>
      <c r="H113" s="7">
        <f t="shared" si="7"/>
        <v>25</v>
      </c>
      <c r="I113" s="3">
        <v>40882.45453703704</v>
      </c>
      <c r="J113" s="8" t="s">
        <v>590</v>
      </c>
      <c r="K113" s="4">
        <f t="shared" si="6"/>
        <v>46</v>
      </c>
      <c r="L113" s="4">
        <v>9</v>
      </c>
      <c r="M113" s="4">
        <v>46</v>
      </c>
      <c r="Q113">
        <v>25</v>
      </c>
      <c r="S113" s="8"/>
      <c r="T113" s="10"/>
    </row>
    <row r="114" spans="3:20">
      <c r="C114" s="3"/>
      <c r="F114" s="12">
        <v>113</v>
      </c>
      <c r="G114" s="24" t="s">
        <v>288</v>
      </c>
      <c r="H114" s="7">
        <f t="shared" si="7"/>
        <v>25</v>
      </c>
      <c r="I114" s="3">
        <v>40889.404699074075</v>
      </c>
      <c r="J114" s="8" t="s">
        <v>624</v>
      </c>
      <c r="K114" s="4">
        <f t="shared" si="6"/>
        <v>47</v>
      </c>
      <c r="L114" s="4">
        <v>2</v>
      </c>
      <c r="M114" s="4">
        <v>47</v>
      </c>
      <c r="Q114">
        <v>25</v>
      </c>
      <c r="S114" s="8"/>
      <c r="T114" s="10"/>
    </row>
    <row r="115" spans="3:20">
      <c r="C115" s="3"/>
      <c r="F115" s="12">
        <v>114</v>
      </c>
      <c r="G115" s="24" t="s">
        <v>288</v>
      </c>
      <c r="H115" s="7">
        <f t="shared" si="7"/>
        <v>25</v>
      </c>
      <c r="I115" s="3">
        <v>40889.747939814813</v>
      </c>
      <c r="J115" s="8" t="s">
        <v>1404</v>
      </c>
      <c r="K115" s="4">
        <f t="shared" si="6"/>
        <v>48</v>
      </c>
      <c r="L115" s="4">
        <v>2</v>
      </c>
      <c r="M115" s="4">
        <v>48</v>
      </c>
      <c r="Q115">
        <v>25</v>
      </c>
      <c r="S115" s="8"/>
      <c r="T115" s="10"/>
    </row>
    <row r="116" spans="3:20">
      <c r="C116" s="3"/>
      <c r="F116" s="12">
        <v>115</v>
      </c>
      <c r="G116" s="23" t="s">
        <v>288</v>
      </c>
      <c r="H116" s="7">
        <f t="shared" si="7"/>
        <v>25</v>
      </c>
      <c r="I116" s="3">
        <v>40892.742696759262</v>
      </c>
      <c r="J116" s="8" t="s">
        <v>515</v>
      </c>
      <c r="K116" s="4">
        <f t="shared" si="6"/>
        <v>49</v>
      </c>
      <c r="L116" s="4">
        <v>9</v>
      </c>
      <c r="M116" s="4">
        <v>49</v>
      </c>
      <c r="Q116">
        <v>25</v>
      </c>
      <c r="S116" s="8"/>
      <c r="T116" s="10"/>
    </row>
    <row r="117" spans="3:20">
      <c r="C117" s="3"/>
      <c r="F117" s="12">
        <v>116</v>
      </c>
      <c r="G117" s="24" t="s">
        <v>288</v>
      </c>
      <c r="H117" s="7">
        <f t="shared" si="7"/>
        <v>25</v>
      </c>
      <c r="I117" s="3">
        <v>40770.849224537036</v>
      </c>
      <c r="J117" s="8" t="s">
        <v>1443</v>
      </c>
      <c r="K117" s="4">
        <f t="shared" si="6"/>
        <v>50</v>
      </c>
      <c r="L117" s="4">
        <v>3</v>
      </c>
      <c r="M117" s="4">
        <v>50</v>
      </c>
      <c r="Q117">
        <v>25</v>
      </c>
      <c r="S117" s="8"/>
      <c r="T117" s="10"/>
    </row>
    <row r="118" spans="3:20">
      <c r="C118" s="3"/>
      <c r="F118" s="12">
        <v>117</v>
      </c>
      <c r="G118" s="24" t="s">
        <v>288</v>
      </c>
      <c r="H118" s="7">
        <f t="shared" si="7"/>
        <v>25</v>
      </c>
      <c r="I118" s="3">
        <v>40896.510810185187</v>
      </c>
      <c r="J118" s="8">
        <v>9713527</v>
      </c>
      <c r="K118" s="4">
        <f t="shared" si="6"/>
        <v>51</v>
      </c>
      <c r="L118" s="4">
        <v>5</v>
      </c>
      <c r="M118" s="4">
        <v>51</v>
      </c>
      <c r="Q118">
        <v>25</v>
      </c>
      <c r="S118" s="8"/>
      <c r="T118" s="10"/>
    </row>
    <row r="119" spans="3:20">
      <c r="C119" s="3"/>
      <c r="F119" s="12">
        <v>118</v>
      </c>
      <c r="G119" s="23" t="s">
        <v>288</v>
      </c>
      <c r="H119" s="7">
        <f t="shared" si="7"/>
        <v>25</v>
      </c>
      <c r="I119" s="3">
        <v>40900.720914351848</v>
      </c>
      <c r="J119" s="8" t="s">
        <v>865</v>
      </c>
      <c r="K119" s="4">
        <f t="shared" si="6"/>
        <v>52</v>
      </c>
      <c r="L119" s="4">
        <v>2</v>
      </c>
      <c r="M119" s="4">
        <v>52</v>
      </c>
      <c r="Q119">
        <v>25</v>
      </c>
      <c r="S119" s="8"/>
      <c r="T119" s="10"/>
    </row>
    <row r="120" spans="3:20">
      <c r="C120" s="3"/>
      <c r="F120" s="12">
        <v>119</v>
      </c>
      <c r="G120" s="23" t="s">
        <v>288</v>
      </c>
      <c r="H120" s="7">
        <f t="shared" si="7"/>
        <v>25</v>
      </c>
      <c r="I120" s="3">
        <v>40903.445081018515</v>
      </c>
      <c r="J120" s="8">
        <v>7008376</v>
      </c>
      <c r="K120" s="4">
        <f t="shared" si="6"/>
        <v>53</v>
      </c>
      <c r="L120" s="4">
        <v>2</v>
      </c>
      <c r="M120" s="4">
        <v>53</v>
      </c>
      <c r="Q120">
        <v>25</v>
      </c>
      <c r="S120" s="8"/>
      <c r="T120" s="10"/>
    </row>
    <row r="121" spans="3:20">
      <c r="C121" s="3"/>
      <c r="F121" s="12">
        <v>120</v>
      </c>
      <c r="G121" s="24" t="s">
        <v>288</v>
      </c>
      <c r="H121" s="7">
        <f t="shared" si="7"/>
        <v>25</v>
      </c>
      <c r="I121" s="3">
        <v>40904.584722222222</v>
      </c>
      <c r="J121" s="8" t="s">
        <v>1549</v>
      </c>
      <c r="K121" s="4">
        <f t="shared" si="6"/>
        <v>54</v>
      </c>
      <c r="L121" s="4">
        <v>3</v>
      </c>
      <c r="M121" s="4">
        <v>54</v>
      </c>
      <c r="Q121">
        <v>25</v>
      </c>
      <c r="S121" s="8"/>
      <c r="T121" s="10"/>
    </row>
    <row r="122" spans="3:20">
      <c r="C122" s="3"/>
      <c r="F122" s="12">
        <v>121</v>
      </c>
      <c r="G122" s="23" t="s">
        <v>630</v>
      </c>
      <c r="H122" s="7">
        <f t="shared" si="7"/>
        <v>26</v>
      </c>
      <c r="I122" s="3">
        <v>40837.480173611111</v>
      </c>
      <c r="J122" s="8" t="s">
        <v>629</v>
      </c>
      <c r="K122" s="4">
        <f t="shared" si="6"/>
        <v>1</v>
      </c>
      <c r="L122" s="4">
        <v>2</v>
      </c>
      <c r="M122" s="4">
        <v>1</v>
      </c>
      <c r="Q122">
        <v>26</v>
      </c>
      <c r="S122" s="8"/>
      <c r="T122" s="10"/>
    </row>
    <row r="123" spans="3:20">
      <c r="C123" s="3"/>
      <c r="F123" s="12">
        <v>122</v>
      </c>
      <c r="G123" s="24" t="s">
        <v>630</v>
      </c>
      <c r="H123" s="7">
        <f t="shared" si="7"/>
        <v>26</v>
      </c>
      <c r="I123" s="3">
        <v>40820.555347222224</v>
      </c>
      <c r="J123" s="8" t="s">
        <v>824</v>
      </c>
      <c r="K123" s="4">
        <f t="shared" si="6"/>
        <v>2</v>
      </c>
      <c r="L123" s="4">
        <v>4</v>
      </c>
      <c r="M123" s="4">
        <v>2</v>
      </c>
      <c r="Q123">
        <v>26</v>
      </c>
      <c r="S123" s="8"/>
      <c r="T123" s="10"/>
    </row>
    <row r="124" spans="3:20">
      <c r="C124" s="3"/>
      <c r="F124" s="12">
        <v>123</v>
      </c>
      <c r="G124" s="23" t="s">
        <v>630</v>
      </c>
      <c r="H124" s="7">
        <f t="shared" si="7"/>
        <v>26</v>
      </c>
      <c r="I124" s="3">
        <v>40890.360266203701</v>
      </c>
      <c r="J124" s="8" t="s">
        <v>1405</v>
      </c>
      <c r="K124" s="4">
        <f t="shared" ref="K124:K155" si="8">IF(Q124&gt;Q123,1,K123+1)</f>
        <v>3</v>
      </c>
      <c r="L124" s="4">
        <v>2</v>
      </c>
      <c r="M124" s="4">
        <v>3</v>
      </c>
      <c r="Q124">
        <v>26</v>
      </c>
      <c r="S124" s="8"/>
      <c r="T124" s="10"/>
    </row>
    <row r="125" spans="3:20">
      <c r="C125" s="3"/>
      <c r="F125" s="12">
        <v>124</v>
      </c>
      <c r="G125" s="5" t="s">
        <v>1217</v>
      </c>
      <c r="H125" s="7">
        <f t="shared" si="7"/>
        <v>27</v>
      </c>
      <c r="I125" s="3">
        <v>40906.761979166666</v>
      </c>
      <c r="J125" s="8" t="s">
        <v>1218</v>
      </c>
      <c r="K125" s="4">
        <f t="shared" si="8"/>
        <v>1</v>
      </c>
      <c r="L125" s="4">
        <v>2</v>
      </c>
      <c r="M125" s="4">
        <v>1</v>
      </c>
      <c r="Q125">
        <v>27</v>
      </c>
      <c r="S125" s="8"/>
      <c r="T125" s="10"/>
    </row>
    <row r="126" spans="3:20">
      <c r="C126" s="3"/>
      <c r="F126" s="12">
        <v>125</v>
      </c>
      <c r="G126" s="5" t="s">
        <v>354</v>
      </c>
      <c r="H126" s="7">
        <f t="shared" si="7"/>
        <v>28</v>
      </c>
      <c r="I126" s="3">
        <v>40845.619953703703</v>
      </c>
      <c r="J126" s="8" t="s">
        <v>353</v>
      </c>
      <c r="K126" s="4">
        <f t="shared" si="8"/>
        <v>1</v>
      </c>
      <c r="L126" s="4">
        <v>2</v>
      </c>
      <c r="M126" s="4">
        <v>1</v>
      </c>
      <c r="Q126">
        <v>28</v>
      </c>
      <c r="S126" s="8"/>
      <c r="T126" s="10"/>
    </row>
    <row r="127" spans="3:20">
      <c r="C127" s="3"/>
      <c r="F127" s="12">
        <v>126</v>
      </c>
      <c r="G127" s="6" t="s">
        <v>479</v>
      </c>
      <c r="H127" s="7">
        <f t="shared" si="7"/>
        <v>29</v>
      </c>
      <c r="I127" s="3">
        <v>40861.546215219911</v>
      </c>
      <c r="J127" s="8" t="s">
        <v>834</v>
      </c>
      <c r="K127" s="4">
        <f t="shared" si="8"/>
        <v>1</v>
      </c>
      <c r="L127" s="4">
        <v>2</v>
      </c>
      <c r="M127" s="4">
        <v>1</v>
      </c>
      <c r="Q127">
        <v>29</v>
      </c>
      <c r="S127" s="8"/>
      <c r="T127" s="10"/>
    </row>
    <row r="128" spans="3:20">
      <c r="C128" s="3"/>
      <c r="F128" s="12">
        <v>127</v>
      </c>
      <c r="G128" s="24" t="s">
        <v>1578</v>
      </c>
      <c r="H128" s="7">
        <f t="shared" si="7"/>
        <v>30</v>
      </c>
      <c r="I128" s="3">
        <v>40821.579155092593</v>
      </c>
      <c r="J128" s="8" t="s">
        <v>521</v>
      </c>
      <c r="K128" s="4">
        <f t="shared" si="8"/>
        <v>1</v>
      </c>
      <c r="L128" s="4">
        <v>13</v>
      </c>
      <c r="M128" s="4">
        <v>1</v>
      </c>
      <c r="Q128">
        <v>30</v>
      </c>
      <c r="S128" s="8"/>
      <c r="T128" s="10"/>
    </row>
    <row r="129" spans="3:20">
      <c r="C129" s="3"/>
      <c r="F129" s="12">
        <v>128</v>
      </c>
      <c r="G129" s="24" t="s">
        <v>1578</v>
      </c>
      <c r="H129" s="7">
        <f t="shared" si="7"/>
        <v>30</v>
      </c>
      <c r="I129" s="3">
        <v>40829.071168981478</v>
      </c>
      <c r="J129" s="8" t="s">
        <v>497</v>
      </c>
      <c r="K129" s="4">
        <f t="shared" si="8"/>
        <v>2</v>
      </c>
      <c r="L129" s="4">
        <v>3</v>
      </c>
      <c r="M129" s="4">
        <v>2</v>
      </c>
      <c r="Q129">
        <v>30</v>
      </c>
      <c r="S129" s="8"/>
      <c r="T129" s="10"/>
    </row>
    <row r="130" spans="3:20">
      <c r="C130" s="3"/>
      <c r="F130" s="12">
        <v>129</v>
      </c>
      <c r="G130" s="23" t="s">
        <v>302</v>
      </c>
      <c r="H130" s="7">
        <f t="shared" ref="H130:H161" si="9">LOOKUP(G130,$N$2:$N$43,$O$2:$O$43)</f>
        <v>31</v>
      </c>
      <c r="I130" s="3">
        <v>40791.370671296296</v>
      </c>
      <c r="J130" s="8" t="s">
        <v>1422</v>
      </c>
      <c r="K130" s="4">
        <f t="shared" si="8"/>
        <v>1</v>
      </c>
      <c r="L130" s="4">
        <v>2</v>
      </c>
      <c r="M130" s="4">
        <v>1</v>
      </c>
      <c r="Q130">
        <v>31</v>
      </c>
      <c r="S130" s="8"/>
      <c r="T130" s="10"/>
    </row>
    <row r="131" spans="3:20">
      <c r="C131" s="3"/>
      <c r="F131" s="12">
        <v>130</v>
      </c>
      <c r="G131" s="24" t="s">
        <v>306</v>
      </c>
      <c r="H131" s="7">
        <f t="shared" si="9"/>
        <v>31</v>
      </c>
      <c r="I131" s="3">
        <v>40800.410868055558</v>
      </c>
      <c r="J131" s="8" t="s">
        <v>1016</v>
      </c>
      <c r="K131" s="4">
        <f t="shared" si="8"/>
        <v>2</v>
      </c>
      <c r="L131" s="4">
        <v>3</v>
      </c>
      <c r="M131" s="4">
        <v>2</v>
      </c>
      <c r="Q131">
        <v>31</v>
      </c>
      <c r="S131" s="8"/>
      <c r="T131" s="10"/>
    </row>
    <row r="132" spans="3:20">
      <c r="C132" s="3"/>
      <c r="F132" s="12">
        <v>131</v>
      </c>
      <c r="G132" s="24" t="s">
        <v>302</v>
      </c>
      <c r="H132" s="7">
        <f t="shared" si="9"/>
        <v>31</v>
      </c>
      <c r="I132" s="3">
        <v>40812.102662037039</v>
      </c>
      <c r="J132" s="8" t="s">
        <v>1351</v>
      </c>
      <c r="K132" s="4">
        <f t="shared" si="8"/>
        <v>3</v>
      </c>
      <c r="L132" s="4">
        <v>3</v>
      </c>
      <c r="M132" s="4">
        <v>3</v>
      </c>
      <c r="Q132">
        <v>31</v>
      </c>
      <c r="S132" s="8"/>
      <c r="T132" s="10"/>
    </row>
    <row r="133" spans="3:20">
      <c r="C133" s="3"/>
      <c r="F133" s="12">
        <v>132</v>
      </c>
      <c r="G133" s="24" t="s">
        <v>306</v>
      </c>
      <c r="H133" s="7">
        <f t="shared" si="9"/>
        <v>31</v>
      </c>
      <c r="I133" s="3">
        <v>40812.903668981482</v>
      </c>
      <c r="J133" s="8" t="s">
        <v>343</v>
      </c>
      <c r="K133" s="4">
        <f t="shared" si="8"/>
        <v>4</v>
      </c>
      <c r="L133" s="4">
        <v>2</v>
      </c>
      <c r="M133" s="4">
        <v>4</v>
      </c>
      <c r="Q133">
        <v>31</v>
      </c>
      <c r="S133" s="8"/>
      <c r="T133" s="10"/>
    </row>
    <row r="134" spans="3:20">
      <c r="C134" s="3"/>
      <c r="F134" s="12">
        <v>133</v>
      </c>
      <c r="G134" s="24" t="s">
        <v>306</v>
      </c>
      <c r="H134" s="7">
        <f t="shared" si="9"/>
        <v>31</v>
      </c>
      <c r="I134" s="3">
        <v>40813.609803240739</v>
      </c>
      <c r="J134" s="8" t="s">
        <v>1067</v>
      </c>
      <c r="K134" s="4">
        <f t="shared" si="8"/>
        <v>5</v>
      </c>
      <c r="L134" s="4">
        <v>2</v>
      </c>
      <c r="M134" s="4">
        <v>5</v>
      </c>
      <c r="Q134">
        <v>31</v>
      </c>
      <c r="S134" s="8"/>
      <c r="T134" s="10"/>
    </row>
    <row r="135" spans="3:20">
      <c r="C135" s="3"/>
      <c r="F135" s="12">
        <v>134</v>
      </c>
      <c r="G135" s="24" t="s">
        <v>302</v>
      </c>
      <c r="H135" s="7">
        <f t="shared" si="9"/>
        <v>31</v>
      </c>
      <c r="I135" s="3">
        <v>40821.277881944443</v>
      </c>
      <c r="J135" s="8" t="s">
        <v>520</v>
      </c>
      <c r="K135" s="4">
        <f t="shared" si="8"/>
        <v>6</v>
      </c>
      <c r="L135" s="4">
        <v>10</v>
      </c>
      <c r="M135" s="4">
        <v>6</v>
      </c>
      <c r="Q135">
        <v>31</v>
      </c>
      <c r="S135" s="8"/>
      <c r="T135" s="10"/>
    </row>
    <row r="136" spans="3:20">
      <c r="C136" s="3"/>
      <c r="F136" s="12">
        <v>135</v>
      </c>
      <c r="G136" s="23" t="s">
        <v>302</v>
      </c>
      <c r="H136" s="7">
        <f t="shared" si="9"/>
        <v>31</v>
      </c>
      <c r="I136" s="3">
        <v>40829.069675925923</v>
      </c>
      <c r="J136" s="8" t="s">
        <v>1476</v>
      </c>
      <c r="K136" s="4">
        <f t="shared" si="8"/>
        <v>7</v>
      </c>
      <c r="L136" s="4">
        <v>3</v>
      </c>
      <c r="M136" s="4">
        <v>7</v>
      </c>
      <c r="Q136">
        <v>31</v>
      </c>
      <c r="S136" s="8"/>
      <c r="T136" s="10"/>
    </row>
    <row r="137" spans="3:20">
      <c r="C137" s="3"/>
      <c r="F137" s="12">
        <v>136</v>
      </c>
      <c r="G137" s="24" t="s">
        <v>306</v>
      </c>
      <c r="H137" s="7">
        <f t="shared" si="9"/>
        <v>31</v>
      </c>
      <c r="I137" s="3">
        <v>40828.484594907408</v>
      </c>
      <c r="J137" s="8" t="s">
        <v>496</v>
      </c>
      <c r="K137" s="4">
        <f t="shared" si="8"/>
        <v>8</v>
      </c>
      <c r="L137" s="4">
        <v>3</v>
      </c>
      <c r="M137" s="4">
        <v>8</v>
      </c>
      <c r="Q137">
        <v>31</v>
      </c>
      <c r="S137" s="8"/>
      <c r="T137" s="10"/>
    </row>
    <row r="138" spans="3:20">
      <c r="C138" s="3"/>
      <c r="F138" s="12">
        <v>137</v>
      </c>
      <c r="G138" s="23" t="s">
        <v>306</v>
      </c>
      <c r="H138" s="7">
        <f t="shared" si="9"/>
        <v>31</v>
      </c>
      <c r="I138" s="3">
        <v>40844.959861111114</v>
      </c>
      <c r="J138" s="8" t="s">
        <v>699</v>
      </c>
      <c r="K138" s="4">
        <f t="shared" si="8"/>
        <v>9</v>
      </c>
      <c r="L138" s="4">
        <v>2</v>
      </c>
      <c r="M138" s="4">
        <v>9</v>
      </c>
      <c r="Q138">
        <v>31</v>
      </c>
      <c r="S138" s="8"/>
      <c r="T138" s="10"/>
    </row>
    <row r="139" spans="3:20">
      <c r="C139" s="3"/>
      <c r="F139" s="12">
        <v>138</v>
      </c>
      <c r="G139" s="23" t="s">
        <v>306</v>
      </c>
      <c r="H139" s="7">
        <f t="shared" si="9"/>
        <v>31</v>
      </c>
      <c r="I139" s="3">
        <v>40854.645856481482</v>
      </c>
      <c r="J139" s="8" t="s">
        <v>1260</v>
      </c>
      <c r="K139" s="4">
        <f t="shared" si="8"/>
        <v>10</v>
      </c>
      <c r="L139" s="4">
        <v>3</v>
      </c>
      <c r="M139" s="4">
        <v>10</v>
      </c>
      <c r="Q139">
        <v>31</v>
      </c>
      <c r="S139" s="8"/>
      <c r="T139" s="10"/>
    </row>
    <row r="140" spans="3:20">
      <c r="C140" s="3"/>
      <c r="F140" s="12">
        <v>139</v>
      </c>
      <c r="G140" s="24" t="s">
        <v>302</v>
      </c>
      <c r="H140" s="7">
        <f t="shared" si="9"/>
        <v>31</v>
      </c>
      <c r="I140" s="3">
        <v>40835.380300925928</v>
      </c>
      <c r="J140" s="8" t="s">
        <v>830</v>
      </c>
      <c r="K140" s="4">
        <f t="shared" si="8"/>
        <v>11</v>
      </c>
      <c r="L140" s="4">
        <v>3</v>
      </c>
      <c r="M140" s="4">
        <v>11</v>
      </c>
      <c r="Q140">
        <v>31</v>
      </c>
      <c r="S140" s="8"/>
      <c r="T140" s="10"/>
    </row>
    <row r="141" spans="3:20">
      <c r="C141" s="3"/>
      <c r="F141" s="12">
        <v>140</v>
      </c>
      <c r="G141" s="24" t="s">
        <v>301</v>
      </c>
      <c r="H141" s="7">
        <f t="shared" si="9"/>
        <v>32</v>
      </c>
      <c r="I141" s="3">
        <v>40792.022164351853</v>
      </c>
      <c r="J141" s="8" t="s">
        <v>428</v>
      </c>
      <c r="K141" s="4">
        <f t="shared" si="8"/>
        <v>1</v>
      </c>
      <c r="L141" s="4">
        <v>2</v>
      </c>
      <c r="M141" s="4">
        <v>1</v>
      </c>
      <c r="Q141">
        <v>32</v>
      </c>
      <c r="S141" s="8"/>
      <c r="T141" s="10"/>
    </row>
    <row r="142" spans="3:20">
      <c r="C142" s="3"/>
      <c r="F142" s="12">
        <v>141</v>
      </c>
      <c r="G142" s="24" t="s">
        <v>301</v>
      </c>
      <c r="H142" s="7">
        <f t="shared" si="9"/>
        <v>32</v>
      </c>
      <c r="I142" s="3">
        <v>40814.727361111109</v>
      </c>
      <c r="J142" s="8" t="s">
        <v>493</v>
      </c>
      <c r="K142" s="4">
        <f t="shared" si="8"/>
        <v>2</v>
      </c>
      <c r="L142" s="4">
        <v>3</v>
      </c>
      <c r="M142" s="4">
        <v>2</v>
      </c>
      <c r="Q142">
        <v>32</v>
      </c>
      <c r="S142" s="8"/>
      <c r="T142" s="10"/>
    </row>
    <row r="143" spans="3:20">
      <c r="C143" s="3"/>
      <c r="F143" s="12">
        <v>142</v>
      </c>
      <c r="G143" s="24" t="s">
        <v>301</v>
      </c>
      <c r="H143" s="7">
        <f t="shared" si="9"/>
        <v>32</v>
      </c>
      <c r="I143" s="3">
        <v>40813.768680555557</v>
      </c>
      <c r="J143" s="8">
        <v>9912235</v>
      </c>
      <c r="K143" s="4">
        <f t="shared" si="8"/>
        <v>3</v>
      </c>
      <c r="L143" s="4">
        <v>3</v>
      </c>
      <c r="M143" s="4">
        <v>3</v>
      </c>
      <c r="Q143">
        <v>32</v>
      </c>
      <c r="S143" s="8"/>
      <c r="T143" s="10"/>
    </row>
    <row r="144" spans="3:20">
      <c r="C144" s="3"/>
      <c r="D144" s="1"/>
      <c r="F144" s="12">
        <v>143</v>
      </c>
      <c r="G144" s="24" t="s">
        <v>301</v>
      </c>
      <c r="H144" s="7">
        <f t="shared" si="9"/>
        <v>32</v>
      </c>
      <c r="I144" s="3">
        <v>40820.994583333333</v>
      </c>
      <c r="J144" s="8">
        <v>4366658</v>
      </c>
      <c r="K144" s="4">
        <f t="shared" si="8"/>
        <v>4</v>
      </c>
      <c r="L144" s="4">
        <v>3</v>
      </c>
      <c r="M144" s="4">
        <v>4</v>
      </c>
      <c r="Q144">
        <v>32</v>
      </c>
      <c r="S144" s="8"/>
      <c r="T144" s="10"/>
    </row>
    <row r="145" spans="3:20">
      <c r="C145" s="3"/>
      <c r="F145" s="12">
        <v>144</v>
      </c>
      <c r="G145" s="24" t="s">
        <v>301</v>
      </c>
      <c r="H145" s="7">
        <f t="shared" si="9"/>
        <v>32</v>
      </c>
      <c r="I145" s="3">
        <v>40812.481168981481</v>
      </c>
      <c r="J145" s="8" t="s">
        <v>1508</v>
      </c>
      <c r="K145" s="4">
        <f t="shared" si="8"/>
        <v>5</v>
      </c>
      <c r="L145" s="4">
        <v>11</v>
      </c>
      <c r="M145" s="4">
        <v>5</v>
      </c>
      <c r="Q145">
        <v>32</v>
      </c>
      <c r="S145" s="8"/>
      <c r="T145" s="10"/>
    </row>
    <row r="146" spans="3:20">
      <c r="C146" s="3"/>
      <c r="F146" s="12">
        <v>145</v>
      </c>
      <c r="G146" s="24" t="s">
        <v>301</v>
      </c>
      <c r="H146" s="7">
        <f t="shared" si="9"/>
        <v>32</v>
      </c>
      <c r="I146" s="3">
        <v>40828.461111111108</v>
      </c>
      <c r="J146" s="8" t="s">
        <v>574</v>
      </c>
      <c r="K146" s="4">
        <f t="shared" si="8"/>
        <v>6</v>
      </c>
      <c r="L146" s="4">
        <v>2</v>
      </c>
      <c r="M146" s="4">
        <v>6</v>
      </c>
      <c r="Q146">
        <v>32</v>
      </c>
      <c r="S146" s="8"/>
      <c r="T146" s="10"/>
    </row>
    <row r="147" spans="3:20">
      <c r="C147" s="3"/>
      <c r="F147" s="12">
        <v>146</v>
      </c>
      <c r="G147" s="24" t="s">
        <v>301</v>
      </c>
      <c r="H147" s="7">
        <f t="shared" si="9"/>
        <v>32</v>
      </c>
      <c r="I147" s="3">
        <v>40834.597314814811</v>
      </c>
      <c r="J147" s="8" t="s">
        <v>609</v>
      </c>
      <c r="K147" s="4">
        <f t="shared" si="8"/>
        <v>7</v>
      </c>
      <c r="L147" s="4">
        <v>3</v>
      </c>
      <c r="M147" s="4">
        <v>7</v>
      </c>
      <c r="Q147">
        <v>32</v>
      </c>
      <c r="S147" s="8"/>
      <c r="T147" s="10"/>
    </row>
    <row r="148" spans="3:20">
      <c r="C148" s="3"/>
      <c r="F148" s="12">
        <v>147</v>
      </c>
      <c r="G148" s="23" t="s">
        <v>301</v>
      </c>
      <c r="H148" s="7">
        <f t="shared" si="9"/>
        <v>32</v>
      </c>
      <c r="I148" s="3">
        <v>40836.698564814818</v>
      </c>
      <c r="J148" s="8" t="s">
        <v>1553</v>
      </c>
      <c r="K148" s="4">
        <f t="shared" si="8"/>
        <v>8</v>
      </c>
      <c r="L148" s="4">
        <v>7</v>
      </c>
      <c r="M148" s="4">
        <v>8</v>
      </c>
      <c r="Q148">
        <v>32</v>
      </c>
      <c r="S148" s="8"/>
      <c r="T148" s="10"/>
    </row>
    <row r="149" spans="3:20">
      <c r="C149" s="3"/>
      <c r="F149" s="12">
        <v>148</v>
      </c>
      <c r="G149" s="24" t="s">
        <v>301</v>
      </c>
      <c r="H149" s="7">
        <f t="shared" si="9"/>
        <v>32</v>
      </c>
      <c r="I149" s="3">
        <v>40840.979745370372</v>
      </c>
      <c r="J149" s="8" t="s">
        <v>986</v>
      </c>
      <c r="K149" s="4">
        <f t="shared" si="8"/>
        <v>9</v>
      </c>
      <c r="L149" s="4">
        <v>3</v>
      </c>
      <c r="M149" s="4">
        <v>9</v>
      </c>
      <c r="Q149">
        <v>32</v>
      </c>
      <c r="S149" s="8"/>
      <c r="T149" s="10"/>
    </row>
    <row r="150" spans="3:20">
      <c r="C150" s="3"/>
      <c r="F150" s="12">
        <v>149</v>
      </c>
      <c r="G150" s="23" t="s">
        <v>298</v>
      </c>
      <c r="H150" s="7">
        <f t="shared" si="9"/>
        <v>33</v>
      </c>
      <c r="I150" s="3">
        <v>40791.925011574072</v>
      </c>
      <c r="J150" s="8" t="s">
        <v>905</v>
      </c>
      <c r="K150" s="4">
        <f t="shared" si="8"/>
        <v>1</v>
      </c>
      <c r="L150" s="4">
        <v>2</v>
      </c>
      <c r="M150" s="4">
        <v>1</v>
      </c>
      <c r="Q150">
        <v>33</v>
      </c>
      <c r="S150" s="8"/>
      <c r="T150" s="10"/>
    </row>
    <row r="151" spans="3:20">
      <c r="C151" s="3"/>
      <c r="F151" s="12">
        <v>150</v>
      </c>
      <c r="G151" s="24" t="s">
        <v>300</v>
      </c>
      <c r="H151" s="7">
        <f t="shared" si="9"/>
        <v>33</v>
      </c>
      <c r="I151" s="3">
        <v>40793.058969907404</v>
      </c>
      <c r="J151" s="8" t="s">
        <v>462</v>
      </c>
      <c r="K151" s="4">
        <f t="shared" si="8"/>
        <v>2</v>
      </c>
      <c r="L151" s="4">
        <v>2</v>
      </c>
      <c r="M151" s="4">
        <v>2</v>
      </c>
      <c r="Q151">
        <v>33</v>
      </c>
      <c r="S151" s="8"/>
      <c r="T151" s="10"/>
    </row>
    <row r="152" spans="3:20">
      <c r="C152" s="3"/>
      <c r="F152" s="12">
        <v>151</v>
      </c>
      <c r="G152" s="23" t="s">
        <v>300</v>
      </c>
      <c r="H152" s="7">
        <f t="shared" si="9"/>
        <v>33</v>
      </c>
      <c r="I152" s="3">
        <v>40809.921388888892</v>
      </c>
      <c r="J152" s="8" t="s">
        <v>1541</v>
      </c>
      <c r="K152" s="4">
        <f t="shared" si="8"/>
        <v>3</v>
      </c>
      <c r="L152" s="4">
        <v>2</v>
      </c>
      <c r="M152" s="4">
        <v>3</v>
      </c>
      <c r="Q152">
        <v>33</v>
      </c>
      <c r="S152" s="8"/>
      <c r="T152" s="10"/>
    </row>
    <row r="153" spans="3:20">
      <c r="C153" s="3"/>
      <c r="F153" s="12">
        <v>152</v>
      </c>
      <c r="G153" s="23" t="s">
        <v>298</v>
      </c>
      <c r="H153" s="7">
        <f t="shared" si="9"/>
        <v>33</v>
      </c>
      <c r="I153" s="3">
        <v>40815.022060185183</v>
      </c>
      <c r="J153" s="8" t="s">
        <v>1127</v>
      </c>
      <c r="K153" s="4">
        <f t="shared" si="8"/>
        <v>4</v>
      </c>
      <c r="L153" s="4">
        <v>2</v>
      </c>
      <c r="M153" s="4">
        <v>4</v>
      </c>
      <c r="Q153">
        <v>33</v>
      </c>
      <c r="S153" s="8"/>
      <c r="T153" s="10"/>
    </row>
    <row r="154" spans="3:20">
      <c r="C154" s="3"/>
      <c r="F154" s="12">
        <v>153</v>
      </c>
      <c r="G154" s="24" t="s">
        <v>300</v>
      </c>
      <c r="H154" s="7">
        <f t="shared" si="9"/>
        <v>33</v>
      </c>
      <c r="I154" s="3">
        <v>40816.207175925927</v>
      </c>
      <c r="J154" s="8" t="s">
        <v>785</v>
      </c>
      <c r="K154" s="4">
        <f t="shared" si="8"/>
        <v>5</v>
      </c>
      <c r="L154" s="4">
        <v>3</v>
      </c>
      <c r="M154" s="4">
        <v>5</v>
      </c>
      <c r="Q154">
        <v>33</v>
      </c>
      <c r="S154" s="8"/>
      <c r="T154" s="10"/>
    </row>
    <row r="155" spans="3:20">
      <c r="C155" s="3"/>
      <c r="F155" s="12">
        <v>154</v>
      </c>
      <c r="G155" s="24" t="s">
        <v>298</v>
      </c>
      <c r="H155" s="7">
        <f t="shared" si="9"/>
        <v>33</v>
      </c>
      <c r="I155" s="3">
        <v>40815.970486111109</v>
      </c>
      <c r="J155" s="8" t="s">
        <v>721</v>
      </c>
      <c r="K155" s="4">
        <f t="shared" si="8"/>
        <v>6</v>
      </c>
      <c r="L155" s="4">
        <v>2</v>
      </c>
      <c r="M155" s="4">
        <v>6</v>
      </c>
      <c r="Q155">
        <v>33</v>
      </c>
      <c r="S155" s="8"/>
      <c r="T155" s="10"/>
    </row>
    <row r="156" spans="3:20">
      <c r="C156" s="3"/>
      <c r="F156" s="12">
        <v>155</v>
      </c>
      <c r="G156" s="23" t="s">
        <v>300</v>
      </c>
      <c r="H156" s="7">
        <f t="shared" si="9"/>
        <v>33</v>
      </c>
      <c r="I156" s="3">
        <v>40823.590208333335</v>
      </c>
      <c r="J156" s="8" t="s">
        <v>1235</v>
      </c>
      <c r="K156" s="4">
        <f t="shared" ref="K156:K190" si="10">IF(Q156&gt;Q155,1,K155+1)</f>
        <v>7</v>
      </c>
      <c r="L156" s="4">
        <v>2</v>
      </c>
      <c r="M156" s="4">
        <v>7</v>
      </c>
      <c r="Q156">
        <v>33</v>
      </c>
      <c r="S156" s="8"/>
      <c r="T156" s="10"/>
    </row>
    <row r="157" spans="3:20">
      <c r="C157" s="3"/>
      <c r="F157" s="12">
        <v>156</v>
      </c>
      <c r="G157" s="23" t="s">
        <v>298</v>
      </c>
      <c r="H157" s="7">
        <f t="shared" si="9"/>
        <v>33</v>
      </c>
      <c r="I157" s="3">
        <v>40865.647106481483</v>
      </c>
      <c r="J157" s="8" t="s">
        <v>981</v>
      </c>
      <c r="K157" s="4">
        <f t="shared" si="10"/>
        <v>8</v>
      </c>
      <c r="L157" s="4">
        <v>3</v>
      </c>
      <c r="M157" s="4">
        <v>8</v>
      </c>
      <c r="Q157">
        <v>33</v>
      </c>
      <c r="S157" s="8"/>
      <c r="T157" s="10"/>
    </row>
    <row r="158" spans="3:20">
      <c r="C158" s="3"/>
      <c r="F158" s="12">
        <v>157</v>
      </c>
      <c r="G158" s="23" t="s">
        <v>298</v>
      </c>
      <c r="H158" s="7">
        <f t="shared" si="9"/>
        <v>33</v>
      </c>
      <c r="I158" s="3">
        <v>40872.481238425928</v>
      </c>
      <c r="J158" s="8" t="s">
        <v>1048</v>
      </c>
      <c r="K158" s="4">
        <f t="shared" si="10"/>
        <v>9</v>
      </c>
      <c r="L158" s="4">
        <v>2</v>
      </c>
      <c r="M158" s="4">
        <v>9</v>
      </c>
      <c r="Q158">
        <v>33</v>
      </c>
      <c r="S158" s="8"/>
      <c r="T158" s="10"/>
    </row>
    <row r="159" spans="3:20">
      <c r="C159" s="3"/>
      <c r="F159" s="12">
        <v>158</v>
      </c>
      <c r="G159" s="24" t="s">
        <v>298</v>
      </c>
      <c r="H159" s="7">
        <f t="shared" si="9"/>
        <v>33</v>
      </c>
      <c r="I159" s="3">
        <v>40898.412175925929</v>
      </c>
      <c r="J159" s="8" t="s">
        <v>469</v>
      </c>
      <c r="K159" s="4">
        <f t="shared" si="10"/>
        <v>10</v>
      </c>
      <c r="L159" s="4">
        <v>2</v>
      </c>
      <c r="M159" s="4">
        <v>10</v>
      </c>
      <c r="Q159">
        <v>33</v>
      </c>
      <c r="S159" s="8"/>
      <c r="T159" s="10"/>
    </row>
    <row r="160" spans="3:20">
      <c r="C160" s="3"/>
      <c r="F160" s="12">
        <v>159</v>
      </c>
      <c r="G160" s="23" t="s">
        <v>298</v>
      </c>
      <c r="H160" s="7">
        <f t="shared" si="9"/>
        <v>33</v>
      </c>
      <c r="I160" s="3">
        <v>40906.969108796293</v>
      </c>
      <c r="J160" s="8" t="s">
        <v>1219</v>
      </c>
      <c r="K160" s="4">
        <f t="shared" si="10"/>
        <v>11</v>
      </c>
      <c r="L160" s="4">
        <v>2</v>
      </c>
      <c r="M160" s="4">
        <v>11</v>
      </c>
      <c r="Q160">
        <v>33</v>
      </c>
      <c r="S160" s="8"/>
      <c r="T160" s="10"/>
    </row>
    <row r="161" spans="3:20">
      <c r="C161" s="3"/>
      <c r="F161" s="12">
        <v>160</v>
      </c>
      <c r="G161" s="24" t="s">
        <v>300</v>
      </c>
      <c r="H161" s="7">
        <f t="shared" si="9"/>
        <v>33</v>
      </c>
      <c r="I161" s="3">
        <v>40908.44190972222</v>
      </c>
      <c r="J161" s="8" t="s">
        <v>491</v>
      </c>
      <c r="K161" s="4">
        <f t="shared" si="10"/>
        <v>12</v>
      </c>
      <c r="L161" s="4">
        <v>2</v>
      </c>
      <c r="M161" s="4">
        <v>12</v>
      </c>
      <c r="Q161">
        <v>33</v>
      </c>
      <c r="S161" s="8"/>
      <c r="T161" s="10"/>
    </row>
    <row r="162" spans="3:20">
      <c r="C162" s="3"/>
      <c r="F162" s="12">
        <v>161</v>
      </c>
      <c r="G162" s="24" t="s">
        <v>918</v>
      </c>
      <c r="H162" s="7">
        <f t="shared" ref="H162:H190" si="11">LOOKUP(G162,$N$2:$N$43,$O$2:$O$43)</f>
        <v>34</v>
      </c>
      <c r="I162" s="3">
        <v>40809.566307870373</v>
      </c>
      <c r="J162" s="8" t="s">
        <v>1540</v>
      </c>
      <c r="K162" s="4">
        <f t="shared" si="10"/>
        <v>1</v>
      </c>
      <c r="L162" s="4">
        <v>2</v>
      </c>
      <c r="M162" s="4">
        <v>1</v>
      </c>
      <c r="Q162">
        <v>34</v>
      </c>
      <c r="S162" s="8"/>
      <c r="T162" s="10"/>
    </row>
    <row r="163" spans="3:20">
      <c r="C163" s="3"/>
      <c r="F163" s="12">
        <v>162</v>
      </c>
      <c r="G163" s="23" t="s">
        <v>918</v>
      </c>
      <c r="H163" s="7">
        <f t="shared" si="11"/>
        <v>34</v>
      </c>
      <c r="I163" s="3">
        <v>40812.461006944446</v>
      </c>
      <c r="J163" s="8" t="s">
        <v>1118</v>
      </c>
      <c r="K163" s="4">
        <f t="shared" si="10"/>
        <v>2</v>
      </c>
      <c r="L163" s="4">
        <v>3</v>
      </c>
      <c r="M163" s="4">
        <v>2</v>
      </c>
      <c r="Q163">
        <v>34</v>
      </c>
      <c r="S163" s="8"/>
      <c r="T163" s="10"/>
    </row>
    <row r="164" spans="3:20">
      <c r="C164" s="3"/>
      <c r="F164" s="12">
        <v>163</v>
      </c>
      <c r="G164" s="23" t="s">
        <v>918</v>
      </c>
      <c r="H164" s="7">
        <f t="shared" si="11"/>
        <v>34</v>
      </c>
      <c r="I164" s="3">
        <v>40821.502962962964</v>
      </c>
      <c r="J164" s="8" t="s">
        <v>1877</v>
      </c>
      <c r="K164" s="4">
        <f t="shared" si="10"/>
        <v>3</v>
      </c>
      <c r="L164" s="4">
        <v>10</v>
      </c>
      <c r="M164" s="4">
        <v>3</v>
      </c>
      <c r="Q164">
        <v>34</v>
      </c>
      <c r="S164" s="8"/>
      <c r="T164" s="10"/>
    </row>
    <row r="165" spans="3:20">
      <c r="C165" s="3"/>
      <c r="F165" s="12">
        <v>164</v>
      </c>
      <c r="G165" s="6" t="s">
        <v>1510</v>
      </c>
      <c r="H165" s="7">
        <f t="shared" si="11"/>
        <v>35</v>
      </c>
      <c r="I165" s="3">
        <v>40827.883310185185</v>
      </c>
      <c r="J165" s="8" t="s">
        <v>1509</v>
      </c>
      <c r="K165" s="4">
        <f t="shared" si="10"/>
        <v>1</v>
      </c>
      <c r="L165" s="4">
        <v>3</v>
      </c>
      <c r="M165" s="4">
        <v>1</v>
      </c>
      <c r="Q165">
        <v>35</v>
      </c>
      <c r="S165" s="8"/>
      <c r="T165" s="10"/>
    </row>
    <row r="166" spans="3:20">
      <c r="C166" s="3"/>
      <c r="F166" s="12">
        <v>165</v>
      </c>
      <c r="G166" s="23" t="s">
        <v>723</v>
      </c>
      <c r="H166" s="7">
        <f t="shared" si="11"/>
        <v>36</v>
      </c>
      <c r="I166" s="3">
        <v>40792.967766203707</v>
      </c>
      <c r="J166" s="8" t="s">
        <v>1210</v>
      </c>
      <c r="K166" s="4">
        <f t="shared" si="10"/>
        <v>1</v>
      </c>
      <c r="L166" s="4">
        <v>2</v>
      </c>
      <c r="M166" s="4">
        <v>1</v>
      </c>
      <c r="Q166">
        <v>36</v>
      </c>
      <c r="S166" s="8"/>
      <c r="T166" s="10"/>
    </row>
    <row r="167" spans="3:20">
      <c r="C167" s="3"/>
      <c r="F167" s="12">
        <v>166</v>
      </c>
      <c r="G167" s="23" t="s">
        <v>723</v>
      </c>
      <c r="H167" s="7">
        <f t="shared" si="11"/>
        <v>36</v>
      </c>
      <c r="I167" s="3">
        <v>40816.517650462964</v>
      </c>
      <c r="J167" s="8" t="s">
        <v>722</v>
      </c>
      <c r="K167" s="4">
        <f t="shared" si="10"/>
        <v>2</v>
      </c>
      <c r="L167" s="4">
        <v>3</v>
      </c>
      <c r="M167" s="4">
        <v>2</v>
      </c>
      <c r="Q167">
        <v>36</v>
      </c>
      <c r="S167" s="8"/>
      <c r="T167" s="10"/>
    </row>
    <row r="168" spans="3:20">
      <c r="C168" s="3"/>
      <c r="F168" s="12">
        <v>167</v>
      </c>
      <c r="G168" s="6" t="s">
        <v>290</v>
      </c>
      <c r="H168" s="7">
        <f t="shared" si="11"/>
        <v>37</v>
      </c>
      <c r="I168" s="3">
        <v>40891.860358796293</v>
      </c>
      <c r="J168" s="8" t="s">
        <v>852</v>
      </c>
      <c r="K168" s="4">
        <f t="shared" si="10"/>
        <v>1</v>
      </c>
      <c r="L168" s="4">
        <v>3</v>
      </c>
      <c r="M168" s="4">
        <v>1</v>
      </c>
      <c r="Q168">
        <v>37</v>
      </c>
      <c r="S168" s="8"/>
      <c r="T168" s="10"/>
    </row>
    <row r="169" spans="3:20">
      <c r="C169" s="3"/>
      <c r="F169" s="12">
        <v>168</v>
      </c>
      <c r="G169" s="24" t="s">
        <v>621</v>
      </c>
      <c r="H169" s="7">
        <f t="shared" si="11"/>
        <v>38</v>
      </c>
      <c r="I169" s="3">
        <v>40829.989664351851</v>
      </c>
      <c r="J169" s="8" t="s">
        <v>622</v>
      </c>
      <c r="K169" s="4">
        <f t="shared" si="10"/>
        <v>1</v>
      </c>
      <c r="L169" s="4">
        <v>2</v>
      </c>
      <c r="M169" s="4">
        <v>1</v>
      </c>
      <c r="Q169">
        <v>38</v>
      </c>
      <c r="S169" s="8"/>
      <c r="T169" s="10"/>
    </row>
    <row r="170" spans="3:20">
      <c r="C170" s="3"/>
      <c r="F170" s="12">
        <v>169</v>
      </c>
      <c r="G170" s="24" t="s">
        <v>621</v>
      </c>
      <c r="H170" s="7">
        <f t="shared" si="11"/>
        <v>38</v>
      </c>
      <c r="I170" s="3">
        <v>40856.043391203704</v>
      </c>
      <c r="J170" s="8" t="s">
        <v>821</v>
      </c>
      <c r="K170" s="4">
        <f t="shared" si="10"/>
        <v>2</v>
      </c>
      <c r="L170" s="4">
        <v>2</v>
      </c>
      <c r="M170" s="4">
        <v>2</v>
      </c>
      <c r="Q170">
        <v>38</v>
      </c>
      <c r="S170" s="8"/>
      <c r="T170" s="10"/>
    </row>
    <row r="171" spans="3:20">
      <c r="C171" s="3"/>
      <c r="F171" s="12">
        <v>170</v>
      </c>
      <c r="G171" s="24" t="s">
        <v>289</v>
      </c>
      <c r="H171" s="7">
        <f t="shared" si="11"/>
        <v>39</v>
      </c>
      <c r="I171" s="3">
        <v>40789.063935185186</v>
      </c>
      <c r="J171" s="8" t="s">
        <v>427</v>
      </c>
      <c r="K171" s="4">
        <f t="shared" si="10"/>
        <v>1</v>
      </c>
      <c r="L171" s="4">
        <v>2</v>
      </c>
      <c r="M171" s="4">
        <v>1</v>
      </c>
      <c r="Q171">
        <v>39</v>
      </c>
      <c r="S171" s="8"/>
      <c r="T171" s="10"/>
    </row>
    <row r="172" spans="3:20">
      <c r="C172" s="3"/>
      <c r="F172" s="12">
        <v>171</v>
      </c>
      <c r="G172" s="23" t="s">
        <v>289</v>
      </c>
      <c r="H172" s="7">
        <f t="shared" si="11"/>
        <v>39</v>
      </c>
      <c r="I172" s="3">
        <v>40806.108773148146</v>
      </c>
      <c r="J172" s="8" t="s">
        <v>593</v>
      </c>
      <c r="K172" s="4">
        <f t="shared" si="10"/>
        <v>2</v>
      </c>
      <c r="L172" s="4">
        <v>2</v>
      </c>
      <c r="M172" s="4">
        <v>2</v>
      </c>
      <c r="Q172">
        <v>39</v>
      </c>
      <c r="S172" s="8"/>
      <c r="T172" s="10"/>
    </row>
    <row r="173" spans="3:20">
      <c r="C173" s="3"/>
      <c r="F173" s="12">
        <v>172</v>
      </c>
      <c r="G173" s="23" t="s">
        <v>289</v>
      </c>
      <c r="H173" s="7">
        <f t="shared" si="11"/>
        <v>39</v>
      </c>
      <c r="I173" s="3">
        <v>40807.654166666667</v>
      </c>
      <c r="J173" s="8" t="s">
        <v>777</v>
      </c>
      <c r="K173" s="4">
        <f t="shared" si="10"/>
        <v>3</v>
      </c>
      <c r="L173" s="4">
        <v>2</v>
      </c>
      <c r="M173" s="4">
        <v>3</v>
      </c>
      <c r="Q173">
        <v>39</v>
      </c>
      <c r="S173" s="8"/>
      <c r="T173" s="10"/>
    </row>
    <row r="174" spans="3:20">
      <c r="C174" s="3"/>
      <c r="F174" s="12">
        <v>173</v>
      </c>
      <c r="G174" s="24" t="s">
        <v>289</v>
      </c>
      <c r="H174" s="7">
        <f t="shared" si="11"/>
        <v>39</v>
      </c>
      <c r="I174" s="3">
        <v>40808.505381944444</v>
      </c>
      <c r="J174" s="8" t="s">
        <v>838</v>
      </c>
      <c r="K174" s="4">
        <f t="shared" si="10"/>
        <v>4</v>
      </c>
      <c r="L174" s="4">
        <v>2</v>
      </c>
      <c r="M174" s="4">
        <v>4</v>
      </c>
      <c r="Q174">
        <v>39</v>
      </c>
      <c r="S174" s="8"/>
      <c r="T174" s="10"/>
    </row>
    <row r="175" spans="3:20">
      <c r="C175" s="3"/>
      <c r="F175" s="12">
        <v>174</v>
      </c>
      <c r="G175" s="23" t="s">
        <v>289</v>
      </c>
      <c r="H175" s="7">
        <f t="shared" si="11"/>
        <v>39</v>
      </c>
      <c r="I175" s="3">
        <v>40813.474594907406</v>
      </c>
      <c r="J175" s="8" t="s">
        <v>1427</v>
      </c>
      <c r="K175" s="4">
        <f t="shared" si="10"/>
        <v>5</v>
      </c>
      <c r="L175" s="4">
        <v>2</v>
      </c>
      <c r="M175" s="4">
        <v>5</v>
      </c>
      <c r="Q175">
        <v>39</v>
      </c>
      <c r="S175" s="8"/>
      <c r="T175" s="10"/>
    </row>
    <row r="176" spans="3:20">
      <c r="C176" s="3"/>
      <c r="F176" s="12">
        <v>175</v>
      </c>
      <c r="G176" s="23" t="s">
        <v>289</v>
      </c>
      <c r="H176" s="7">
        <f t="shared" si="11"/>
        <v>39</v>
      </c>
      <c r="I176" s="3">
        <v>40815.23337962963</v>
      </c>
      <c r="J176" s="8" t="s">
        <v>1099</v>
      </c>
      <c r="K176" s="4">
        <f t="shared" si="10"/>
        <v>6</v>
      </c>
      <c r="L176" s="4">
        <v>3</v>
      </c>
      <c r="M176" s="4">
        <v>6</v>
      </c>
      <c r="Q176">
        <v>39</v>
      </c>
      <c r="S176" s="8"/>
      <c r="T176" s="10"/>
    </row>
    <row r="177" spans="3:20">
      <c r="C177" s="3"/>
      <c r="F177" s="12">
        <v>176</v>
      </c>
      <c r="G177" s="24" t="s">
        <v>289</v>
      </c>
      <c r="H177" s="7">
        <f t="shared" si="11"/>
        <v>39</v>
      </c>
      <c r="I177" s="3">
        <v>40817.477442129632</v>
      </c>
      <c r="J177" s="8" t="s">
        <v>508</v>
      </c>
      <c r="K177" s="4">
        <f t="shared" si="10"/>
        <v>7</v>
      </c>
      <c r="L177" s="4">
        <v>2</v>
      </c>
      <c r="M177" s="4">
        <v>7</v>
      </c>
      <c r="Q177">
        <v>39</v>
      </c>
      <c r="S177" s="8"/>
      <c r="T177" s="10"/>
    </row>
    <row r="178" spans="3:20">
      <c r="C178" s="3"/>
      <c r="F178" s="12">
        <v>177</v>
      </c>
      <c r="G178" s="24" t="s">
        <v>289</v>
      </c>
      <c r="H178" s="7">
        <f t="shared" si="11"/>
        <v>39</v>
      </c>
      <c r="I178" s="3">
        <v>40832.682870370372</v>
      </c>
      <c r="J178" s="8" t="s">
        <v>1570</v>
      </c>
      <c r="K178" s="4">
        <f t="shared" si="10"/>
        <v>8</v>
      </c>
      <c r="L178" s="4">
        <v>9</v>
      </c>
      <c r="M178" s="4">
        <v>8</v>
      </c>
      <c r="Q178">
        <v>39</v>
      </c>
      <c r="S178" s="8"/>
      <c r="T178" s="10"/>
    </row>
    <row r="179" spans="3:20">
      <c r="C179" s="3"/>
      <c r="F179" s="12">
        <v>178</v>
      </c>
      <c r="G179" s="24" t="s">
        <v>289</v>
      </c>
      <c r="H179" s="7">
        <f t="shared" si="11"/>
        <v>39</v>
      </c>
      <c r="I179" s="3">
        <v>40833.914120370369</v>
      </c>
      <c r="J179" s="8" t="s">
        <v>639</v>
      </c>
      <c r="K179" s="4">
        <f t="shared" si="10"/>
        <v>9</v>
      </c>
      <c r="L179" s="4">
        <v>2</v>
      </c>
      <c r="M179" s="4">
        <v>9</v>
      </c>
      <c r="Q179">
        <v>39</v>
      </c>
      <c r="S179" s="8"/>
      <c r="T179" s="10"/>
    </row>
    <row r="180" spans="3:20">
      <c r="C180" s="3"/>
      <c r="F180" s="12">
        <v>179</v>
      </c>
      <c r="G180" s="24" t="s">
        <v>289</v>
      </c>
      <c r="H180" s="7">
        <f t="shared" si="11"/>
        <v>39</v>
      </c>
      <c r="I180" s="3">
        <v>40836.230706018519</v>
      </c>
      <c r="J180" s="8" t="s">
        <v>1552</v>
      </c>
      <c r="K180" s="4">
        <f t="shared" si="10"/>
        <v>10</v>
      </c>
      <c r="L180" s="4">
        <v>2</v>
      </c>
      <c r="M180" s="4">
        <v>10</v>
      </c>
      <c r="Q180">
        <v>39</v>
      </c>
      <c r="S180" s="8"/>
      <c r="T180" s="10"/>
    </row>
    <row r="181" spans="3:20">
      <c r="C181" s="3"/>
      <c r="F181" s="12">
        <v>180</v>
      </c>
      <c r="G181" s="23" t="s">
        <v>289</v>
      </c>
      <c r="H181" s="7">
        <f t="shared" si="11"/>
        <v>39</v>
      </c>
      <c r="I181" s="3">
        <v>40836.909618055557</v>
      </c>
      <c r="J181" s="8">
        <v>5247178</v>
      </c>
      <c r="K181" s="4">
        <f t="shared" si="10"/>
        <v>11</v>
      </c>
      <c r="L181" s="4">
        <v>2</v>
      </c>
      <c r="M181" s="4">
        <v>11</v>
      </c>
      <c r="Q181">
        <v>39</v>
      </c>
      <c r="S181" s="8"/>
      <c r="T181" s="10"/>
    </row>
    <row r="182" spans="3:20">
      <c r="C182" s="3"/>
      <c r="F182" s="12">
        <v>181</v>
      </c>
      <c r="G182" s="23" t="s">
        <v>289</v>
      </c>
      <c r="H182" s="7">
        <f t="shared" si="11"/>
        <v>39</v>
      </c>
      <c r="I182" s="3">
        <v>40840.943518518521</v>
      </c>
      <c r="J182" s="8" t="s">
        <v>682</v>
      </c>
      <c r="K182" s="4">
        <f t="shared" si="10"/>
        <v>12</v>
      </c>
      <c r="L182" s="4">
        <v>3</v>
      </c>
      <c r="M182" s="4">
        <v>12</v>
      </c>
      <c r="Q182">
        <v>39</v>
      </c>
      <c r="S182" s="8"/>
      <c r="T182" s="10"/>
    </row>
    <row r="183" spans="3:20">
      <c r="C183" s="3"/>
      <c r="F183" s="12">
        <v>182</v>
      </c>
      <c r="G183" s="23" t="s">
        <v>289</v>
      </c>
      <c r="H183" s="7">
        <f t="shared" si="11"/>
        <v>39</v>
      </c>
      <c r="I183" s="3">
        <v>40857.546215219911</v>
      </c>
      <c r="J183" s="8" t="s">
        <v>825</v>
      </c>
      <c r="K183" s="4">
        <f t="shared" si="10"/>
        <v>13</v>
      </c>
      <c r="L183" s="4">
        <v>3</v>
      </c>
      <c r="M183" s="4">
        <v>13</v>
      </c>
      <c r="Q183">
        <v>39</v>
      </c>
      <c r="S183" s="8"/>
      <c r="T183" s="10"/>
    </row>
    <row r="184" spans="3:20">
      <c r="C184" s="3"/>
      <c r="F184" s="12">
        <v>183</v>
      </c>
      <c r="G184" s="24" t="s">
        <v>289</v>
      </c>
      <c r="H184" s="7">
        <f t="shared" si="11"/>
        <v>39</v>
      </c>
      <c r="I184" s="3">
        <v>40906.601481481484</v>
      </c>
      <c r="J184" s="8" t="s">
        <v>1396</v>
      </c>
      <c r="K184" s="4">
        <f t="shared" si="10"/>
        <v>14</v>
      </c>
      <c r="L184" s="4">
        <v>2</v>
      </c>
      <c r="M184" s="4">
        <v>14</v>
      </c>
      <c r="Q184">
        <v>39</v>
      </c>
      <c r="S184" s="8"/>
      <c r="T184" s="10"/>
    </row>
    <row r="185" spans="3:20">
      <c r="C185" s="3"/>
      <c r="F185" s="12">
        <v>184</v>
      </c>
      <c r="G185" s="24" t="s">
        <v>658</v>
      </c>
      <c r="H185" s="7">
        <f t="shared" si="11"/>
        <v>40</v>
      </c>
      <c r="I185" s="3">
        <v>40789.899872685186</v>
      </c>
      <c r="J185" s="8" t="s">
        <v>904</v>
      </c>
      <c r="K185" s="4">
        <f t="shared" si="10"/>
        <v>1</v>
      </c>
      <c r="L185" s="4">
        <v>2</v>
      </c>
      <c r="M185" s="4">
        <v>1</v>
      </c>
      <c r="Q185">
        <v>40</v>
      </c>
      <c r="S185" s="8"/>
      <c r="T185" s="10"/>
    </row>
    <row r="186" spans="3:20">
      <c r="C186" s="3"/>
      <c r="F186" s="12">
        <v>185</v>
      </c>
      <c r="G186" s="24" t="s">
        <v>658</v>
      </c>
      <c r="H186" s="7">
        <f t="shared" si="11"/>
        <v>40</v>
      </c>
      <c r="I186" s="3">
        <v>40815.448564814818</v>
      </c>
      <c r="J186" s="8" t="s">
        <v>659</v>
      </c>
      <c r="K186" s="4">
        <f t="shared" si="10"/>
        <v>2</v>
      </c>
      <c r="L186" s="4">
        <v>2</v>
      </c>
      <c r="M186" s="4">
        <v>2</v>
      </c>
      <c r="Q186">
        <v>40</v>
      </c>
      <c r="S186" s="8"/>
      <c r="T186" s="10"/>
    </row>
    <row r="187" spans="3:20">
      <c r="C187" s="3"/>
      <c r="F187" s="12">
        <v>186</v>
      </c>
      <c r="G187" s="24" t="s">
        <v>299</v>
      </c>
      <c r="H187" s="7">
        <f t="shared" si="11"/>
        <v>41</v>
      </c>
      <c r="I187" s="3">
        <v>40823.459490740737</v>
      </c>
      <c r="J187" s="8" t="s">
        <v>1475</v>
      </c>
      <c r="K187" s="4">
        <f t="shared" si="10"/>
        <v>1</v>
      </c>
      <c r="L187" s="4">
        <v>2</v>
      </c>
      <c r="M187" s="4">
        <v>1</v>
      </c>
      <c r="Q187">
        <v>41</v>
      </c>
      <c r="S187" s="8"/>
      <c r="T187" s="10"/>
    </row>
    <row r="188" spans="3:20">
      <c r="C188" s="3"/>
      <c r="F188" s="12">
        <v>187</v>
      </c>
      <c r="G188" s="23" t="s">
        <v>299</v>
      </c>
      <c r="H188" s="7">
        <f t="shared" si="11"/>
        <v>41</v>
      </c>
      <c r="I188" s="3">
        <v>40835.692615740743</v>
      </c>
      <c r="J188" s="8" t="s">
        <v>640</v>
      </c>
      <c r="K188" s="4">
        <f t="shared" si="10"/>
        <v>2</v>
      </c>
      <c r="L188" s="4">
        <v>3</v>
      </c>
      <c r="M188" s="4">
        <v>2</v>
      </c>
      <c r="Q188">
        <v>41</v>
      </c>
      <c r="S188" s="8"/>
      <c r="T188" s="10"/>
    </row>
    <row r="189" spans="3:20">
      <c r="C189" s="3"/>
      <c r="F189" s="12">
        <v>188</v>
      </c>
      <c r="G189" s="23" t="s">
        <v>299</v>
      </c>
      <c r="H189" s="7">
        <f t="shared" si="11"/>
        <v>41</v>
      </c>
      <c r="I189" s="3">
        <v>40836.435740740744</v>
      </c>
      <c r="J189" s="8" t="s">
        <v>610</v>
      </c>
      <c r="K189" s="4">
        <f t="shared" si="10"/>
        <v>3</v>
      </c>
      <c r="L189" s="4">
        <v>2</v>
      </c>
      <c r="M189" s="4">
        <v>3</v>
      </c>
      <c r="Q189">
        <v>41</v>
      </c>
      <c r="S189" s="8"/>
      <c r="T189" s="10"/>
    </row>
    <row r="190" spans="3:20">
      <c r="C190" s="3"/>
      <c r="F190" s="12">
        <v>189</v>
      </c>
      <c r="G190" s="5" t="s">
        <v>1200</v>
      </c>
      <c r="H190" s="7">
        <f t="shared" si="11"/>
        <v>42</v>
      </c>
      <c r="I190" s="3">
        <v>40809.433495370373</v>
      </c>
      <c r="J190" s="8" t="s">
        <v>1201</v>
      </c>
      <c r="K190" s="4">
        <f t="shared" si="10"/>
        <v>1</v>
      </c>
      <c r="L190" s="4">
        <v>19</v>
      </c>
      <c r="M190" s="4">
        <v>1</v>
      </c>
      <c r="Q190">
        <v>42</v>
      </c>
      <c r="S190" s="8"/>
      <c r="T190" s="10"/>
    </row>
    <row r="191" spans="3:20">
      <c r="C191" s="3"/>
      <c r="G191" s="8"/>
      <c r="H191" s="7"/>
      <c r="I191" s="3"/>
      <c r="J191" s="8" t="s">
        <v>1874</v>
      </c>
      <c r="L191" s="16">
        <f>AVERAGE(L2:L190)</f>
        <v>3.1005291005291005</v>
      </c>
      <c r="S191" s="8"/>
      <c r="T191" s="10"/>
    </row>
    <row r="192" spans="3:20">
      <c r="C192" s="3"/>
      <c r="G192" s="8"/>
      <c r="H192" s="7"/>
      <c r="I192" s="3"/>
      <c r="S192" s="8"/>
      <c r="T192" s="10"/>
    </row>
    <row r="193" spans="3:20">
      <c r="C193" s="3"/>
      <c r="G193" s="8"/>
      <c r="H193" s="7"/>
      <c r="I193" s="3"/>
      <c r="S193" s="8"/>
      <c r="T193" s="10"/>
    </row>
    <row r="194" spans="3:20">
      <c r="C194" s="3"/>
      <c r="G194" s="8"/>
      <c r="H194" s="7"/>
      <c r="I194" s="3"/>
      <c r="S194" s="8"/>
      <c r="T194" s="10"/>
    </row>
    <row r="195" spans="3:20">
      <c r="C195" s="3"/>
      <c r="G195" s="8"/>
      <c r="H195" s="7"/>
      <c r="I195" s="3"/>
      <c r="S195" s="8"/>
      <c r="T195" s="10"/>
    </row>
    <row r="196" spans="3:20">
      <c r="C196" s="3"/>
      <c r="G196" s="8"/>
      <c r="H196" s="7"/>
      <c r="I196" s="3"/>
    </row>
    <row r="197" spans="3:20">
      <c r="C197" s="3"/>
      <c r="G197" s="8"/>
      <c r="H197" s="7"/>
      <c r="I197" s="3"/>
    </row>
    <row r="198" spans="3:20">
      <c r="C198" s="3"/>
      <c r="G198" s="8"/>
      <c r="H198" s="7"/>
      <c r="I198" s="3"/>
    </row>
    <row r="199" spans="3:20">
      <c r="C199" s="3"/>
      <c r="G199" s="8"/>
      <c r="H199" s="7"/>
      <c r="I199" s="3"/>
    </row>
    <row r="200" spans="3:20">
      <c r="C200" s="3"/>
      <c r="G200" s="8"/>
      <c r="H200" s="7"/>
      <c r="I200" s="3"/>
    </row>
    <row r="201" spans="3:20">
      <c r="C201" s="3"/>
      <c r="G201" s="8"/>
      <c r="H201" s="7"/>
      <c r="I201" s="3"/>
    </row>
    <row r="202" spans="3:20">
      <c r="G202" s="8"/>
      <c r="H202" s="7"/>
      <c r="I202" s="3"/>
    </row>
    <row r="203" spans="3:20">
      <c r="G203" s="8"/>
      <c r="H203" s="7"/>
      <c r="I203" s="3"/>
    </row>
    <row r="204" spans="3:20">
      <c r="G204" s="8"/>
      <c r="H204" s="7"/>
      <c r="I204" s="3"/>
    </row>
    <row r="205" spans="3:20">
      <c r="G205" s="8"/>
      <c r="H205" s="7"/>
      <c r="I205" s="3"/>
    </row>
    <row r="206" spans="3:20">
      <c r="G206" s="8"/>
      <c r="H206" s="7"/>
      <c r="I206" s="3"/>
    </row>
    <row r="207" spans="3:20">
      <c r="G207" s="8"/>
      <c r="H207" s="7"/>
      <c r="I207" s="3"/>
    </row>
    <row r="208" spans="3:20">
      <c r="G208" s="8"/>
      <c r="H208" s="7"/>
      <c r="I208" s="3"/>
    </row>
    <row r="209" spans="7:9">
      <c r="G209" s="8"/>
      <c r="H209" s="7"/>
      <c r="I209" s="3"/>
    </row>
    <row r="210" spans="7:9">
      <c r="G210" s="8"/>
      <c r="H210" s="7"/>
      <c r="I210" s="3"/>
    </row>
    <row r="211" spans="7:9">
      <c r="G211" s="8"/>
      <c r="H211" s="7"/>
      <c r="I211" s="3"/>
    </row>
    <row r="212" spans="7:9">
      <c r="G212" s="8"/>
      <c r="H212" s="7"/>
      <c r="I212" s="3"/>
    </row>
    <row r="213" spans="7:9">
      <c r="G213" s="8"/>
      <c r="H213" s="7"/>
      <c r="I213" s="3"/>
    </row>
    <row r="214" spans="7:9">
      <c r="G214" s="8"/>
      <c r="H214" s="7"/>
      <c r="I214" s="3"/>
    </row>
    <row r="215" spans="7:9">
      <c r="G215" s="8"/>
      <c r="H215" s="7"/>
      <c r="I215" s="3"/>
    </row>
    <row r="216" spans="7:9">
      <c r="G216" s="8"/>
      <c r="H216" s="7"/>
      <c r="I216" s="3"/>
    </row>
    <row r="217" spans="7:9">
      <c r="G217" s="8"/>
      <c r="H217" s="7"/>
      <c r="I217" s="3"/>
    </row>
    <row r="218" spans="7:9">
      <c r="G218" s="8"/>
      <c r="H218" s="7"/>
      <c r="I218" s="3"/>
    </row>
    <row r="219" spans="7:9">
      <c r="G219" s="8"/>
      <c r="H219" s="7"/>
      <c r="I219" s="3"/>
    </row>
    <row r="220" spans="7:9">
      <c r="G220" s="8"/>
      <c r="H220" s="7"/>
      <c r="I220" s="3"/>
    </row>
    <row r="221" spans="7:9">
      <c r="G221" s="8"/>
      <c r="H221" s="7"/>
      <c r="I221" s="3"/>
    </row>
    <row r="222" spans="7:9">
      <c r="G222" s="8"/>
      <c r="H222" s="7"/>
      <c r="I222" s="3"/>
    </row>
    <row r="223" spans="7:9">
      <c r="G223" s="8"/>
      <c r="H223" s="7"/>
      <c r="I223" s="3"/>
    </row>
    <row r="224" spans="7:9">
      <c r="G224" s="8"/>
      <c r="H224" s="7"/>
      <c r="I224" s="3"/>
    </row>
    <row r="225" spans="7:9">
      <c r="G225" s="8"/>
      <c r="H225" s="7"/>
      <c r="I225" s="3"/>
    </row>
    <row r="226" spans="7:9">
      <c r="G226" s="8"/>
      <c r="H226" s="7"/>
      <c r="I226" s="3"/>
    </row>
    <row r="227" spans="7:9">
      <c r="G227" s="8"/>
      <c r="H227" s="7"/>
      <c r="I227" s="3"/>
    </row>
    <row r="228" spans="7:9">
      <c r="G228" s="8"/>
      <c r="H228" s="7"/>
      <c r="I228" s="3"/>
    </row>
    <row r="229" spans="7:9">
      <c r="G229" s="8"/>
      <c r="H229" s="7"/>
      <c r="I229" s="3"/>
    </row>
    <row r="230" spans="7:9">
      <c r="G230" s="8"/>
      <c r="H230" s="7"/>
      <c r="I230" s="3"/>
    </row>
    <row r="231" spans="7:9">
      <c r="G231" s="8"/>
      <c r="H231" s="7"/>
      <c r="I231" s="3"/>
    </row>
    <row r="232" spans="7:9">
      <c r="G232" s="8"/>
      <c r="H232" s="7"/>
      <c r="I232" s="3"/>
    </row>
    <row r="233" spans="7:9">
      <c r="G233" s="8"/>
      <c r="H233" s="7"/>
      <c r="I233" s="3"/>
    </row>
    <row r="234" spans="7:9">
      <c r="G234" s="8"/>
      <c r="H234" s="7"/>
      <c r="I234" s="3"/>
    </row>
    <row r="235" spans="7:9">
      <c r="G235" s="8"/>
      <c r="H235" s="7"/>
      <c r="I235" s="3"/>
    </row>
    <row r="236" spans="7:9">
      <c r="G236" s="8"/>
      <c r="H236" s="7"/>
      <c r="I236" s="3"/>
    </row>
    <row r="237" spans="7:9">
      <c r="G237" s="8"/>
      <c r="H237" s="7"/>
      <c r="I237" s="3"/>
    </row>
    <row r="238" spans="7:9">
      <c r="G238" s="8"/>
      <c r="H238" s="7"/>
      <c r="I238" s="3"/>
    </row>
    <row r="239" spans="7:9">
      <c r="G239" s="8"/>
      <c r="H239" s="7"/>
      <c r="I239" s="3"/>
    </row>
    <row r="240" spans="7:9">
      <c r="G240" s="8"/>
      <c r="H240" s="7"/>
      <c r="I240" s="3"/>
    </row>
    <row r="241" spans="7:9">
      <c r="G241" s="8"/>
      <c r="H241" s="7"/>
      <c r="I241" s="3"/>
    </row>
    <row r="242" spans="7:9">
      <c r="G242" s="8"/>
      <c r="H242" s="7"/>
      <c r="I242" s="3"/>
    </row>
    <row r="243" spans="7:9">
      <c r="G243" s="8"/>
      <c r="H243" s="7"/>
      <c r="I243" s="3"/>
    </row>
    <row r="244" spans="7:9">
      <c r="G244" s="8"/>
      <c r="H244" s="7"/>
      <c r="I244" s="3"/>
    </row>
    <row r="245" spans="7:9">
      <c r="G245" s="8"/>
      <c r="H245" s="7"/>
      <c r="I245" s="3"/>
    </row>
    <row r="246" spans="7:9">
      <c r="G246" s="8"/>
      <c r="H246" s="7"/>
      <c r="I246" s="3"/>
    </row>
    <row r="247" spans="7:9">
      <c r="G247" s="8"/>
      <c r="H247" s="7"/>
      <c r="I247" s="3"/>
    </row>
    <row r="248" spans="7:9">
      <c r="G248" s="8"/>
      <c r="H248" s="7"/>
      <c r="I248" s="3"/>
    </row>
    <row r="249" spans="7:9">
      <c r="G249" s="8"/>
      <c r="H249" s="7"/>
      <c r="I249" s="3"/>
    </row>
    <row r="250" spans="7:9">
      <c r="G250" s="8"/>
      <c r="H250" s="7"/>
      <c r="I250" s="3"/>
    </row>
    <row r="251" spans="7:9">
      <c r="G251" s="8"/>
      <c r="H251" s="7"/>
      <c r="I251" s="3"/>
    </row>
    <row r="252" spans="7:9">
      <c r="G252" s="8"/>
      <c r="H252" s="7"/>
      <c r="I252" s="3"/>
    </row>
    <row r="253" spans="7:9">
      <c r="G253" s="8"/>
      <c r="H253" s="7"/>
      <c r="I253" s="3"/>
    </row>
    <row r="254" spans="7:9">
      <c r="G254" s="8"/>
      <c r="H254" s="7"/>
      <c r="I254" s="3"/>
    </row>
    <row r="255" spans="7:9">
      <c r="G255" s="8"/>
      <c r="H255" s="7"/>
      <c r="I255" s="3"/>
    </row>
    <row r="256" spans="7:9">
      <c r="G256" s="8"/>
      <c r="H256" s="7"/>
      <c r="I256" s="3"/>
    </row>
    <row r="257" spans="7:12">
      <c r="G257" s="8"/>
      <c r="H257" s="7"/>
      <c r="I257" s="3"/>
    </row>
    <row r="258" spans="7:12">
      <c r="G258" s="8"/>
      <c r="H258" s="7"/>
      <c r="I258" s="3"/>
    </row>
    <row r="259" spans="7:12">
      <c r="G259" s="8"/>
      <c r="H259" s="7"/>
      <c r="I259" s="3"/>
    </row>
    <row r="260" spans="7:12">
      <c r="G260" s="8"/>
      <c r="H260" s="7"/>
      <c r="I260" s="3"/>
    </row>
    <row r="261" spans="7:12">
      <c r="G261" s="8"/>
      <c r="H261" s="7"/>
      <c r="I261" s="3"/>
    </row>
    <row r="262" spans="7:12">
      <c r="G262" s="8"/>
      <c r="H262" s="7"/>
      <c r="I262" s="3"/>
    </row>
    <row r="263" spans="7:12">
      <c r="G263" s="8"/>
      <c r="H263" s="7"/>
      <c r="I263" s="3"/>
    </row>
    <row r="264" spans="7:12">
      <c r="G264" s="8"/>
      <c r="H264" s="7"/>
      <c r="I264" s="3"/>
    </row>
    <row r="265" spans="7:12">
      <c r="G265" s="8"/>
      <c r="H265" s="7"/>
      <c r="I265" s="3"/>
    </row>
    <row r="266" spans="7:12">
      <c r="G266" s="8"/>
      <c r="H266" s="7"/>
      <c r="I266" s="3"/>
    </row>
    <row r="267" spans="7:12">
      <c r="G267" s="8"/>
      <c r="H267" s="7"/>
      <c r="I267" s="3"/>
    </row>
    <row r="268" spans="7:12">
      <c r="G268" s="8"/>
      <c r="H268" s="7"/>
      <c r="I268" s="3"/>
    </row>
    <row r="269" spans="7:12">
      <c r="G269" s="8"/>
      <c r="H269" s="7"/>
      <c r="I269" s="3"/>
    </row>
    <row r="270" spans="7:12">
      <c r="G270" s="8"/>
      <c r="H270" s="7"/>
      <c r="I270" s="3"/>
    </row>
    <row r="271" spans="7:12">
      <c r="G271" s="3"/>
      <c r="L271" s="16"/>
    </row>
    <row r="272" spans="7:12">
      <c r="G272" s="3"/>
    </row>
    <row r="273" spans="7:7">
      <c r="G273"/>
    </row>
    <row r="274" spans="7:7">
      <c r="G274" s="3"/>
    </row>
    <row r="275" spans="7:7">
      <c r="G275" s="3"/>
    </row>
    <row r="276" spans="7:7">
      <c r="G276" s="3"/>
    </row>
    <row r="277" spans="7:7">
      <c r="G277"/>
    </row>
    <row r="278" spans="7:7">
      <c r="G278" s="3"/>
    </row>
    <row r="279" spans="7:7">
      <c r="G279" s="3"/>
    </row>
    <row r="280" spans="7:7">
      <c r="G280"/>
    </row>
    <row r="281" spans="7:7">
      <c r="G281" s="3"/>
    </row>
    <row r="282" spans="7:7">
      <c r="G282"/>
    </row>
    <row r="283" spans="7:7">
      <c r="G283"/>
    </row>
    <row r="284" spans="7:7">
      <c r="G284" s="3"/>
    </row>
    <row r="285" spans="7:7">
      <c r="G285"/>
    </row>
    <row r="286" spans="7:7">
      <c r="G286"/>
    </row>
    <row r="287" spans="7:7">
      <c r="G287"/>
    </row>
    <row r="288" spans="7:7">
      <c r="G288"/>
    </row>
    <row r="289" spans="7:7">
      <c r="G289" s="3"/>
    </row>
    <row r="290" spans="7:7">
      <c r="G290" s="3"/>
    </row>
    <row r="291" spans="7:7">
      <c r="G291"/>
    </row>
    <row r="292" spans="7:7">
      <c r="G292" s="3"/>
    </row>
    <row r="293" spans="7:7">
      <c r="G293"/>
    </row>
    <row r="294" spans="7:7">
      <c r="G294" s="3"/>
    </row>
    <row r="295" spans="7:7">
      <c r="G295" s="3"/>
    </row>
    <row r="296" spans="7:7">
      <c r="G296"/>
    </row>
    <row r="297" spans="7:7">
      <c r="G297" s="3"/>
    </row>
    <row r="298" spans="7:7">
      <c r="G298"/>
    </row>
    <row r="299" spans="7:7">
      <c r="G299" s="3"/>
    </row>
    <row r="300" spans="7:7">
      <c r="G300"/>
    </row>
    <row r="301" spans="7:7">
      <c r="G301"/>
    </row>
    <row r="302" spans="7:7">
      <c r="G302"/>
    </row>
    <row r="303" spans="7:7">
      <c r="G303" s="3"/>
    </row>
    <row r="304" spans="7:7">
      <c r="G304"/>
    </row>
    <row r="305" spans="7:7">
      <c r="G305"/>
    </row>
    <row r="306" spans="7:7">
      <c r="G306" s="3"/>
    </row>
    <row r="307" spans="7:7">
      <c r="G307" s="3"/>
    </row>
    <row r="308" spans="7:7">
      <c r="G308"/>
    </row>
    <row r="309" spans="7:7">
      <c r="G309" s="3"/>
    </row>
    <row r="310" spans="7:7">
      <c r="G310" s="3"/>
    </row>
    <row r="311" spans="7:7">
      <c r="G311"/>
    </row>
    <row r="312" spans="7:7">
      <c r="G312" s="3"/>
    </row>
    <row r="313" spans="7:7">
      <c r="G313" s="3"/>
    </row>
    <row r="314" spans="7:7">
      <c r="G314"/>
    </row>
    <row r="315" spans="7:7">
      <c r="G315" s="3"/>
    </row>
    <row r="316" spans="7:7">
      <c r="G316"/>
    </row>
    <row r="317" spans="7:7">
      <c r="G317" s="3"/>
    </row>
    <row r="318" spans="7:7">
      <c r="G318" s="3"/>
    </row>
    <row r="319" spans="7:7">
      <c r="G319" s="3"/>
    </row>
    <row r="320" spans="7:7">
      <c r="G320" s="3"/>
    </row>
    <row r="321" spans="7:7">
      <c r="G321" s="3"/>
    </row>
    <row r="322" spans="7:7">
      <c r="G322"/>
    </row>
    <row r="323" spans="7:7">
      <c r="G323"/>
    </row>
    <row r="324" spans="7:7">
      <c r="G324"/>
    </row>
    <row r="325" spans="7:7">
      <c r="G325" s="3"/>
    </row>
    <row r="326" spans="7:7">
      <c r="G326" s="3"/>
    </row>
    <row r="327" spans="7:7">
      <c r="G327" s="3"/>
    </row>
    <row r="328" spans="7:7">
      <c r="G328" s="3"/>
    </row>
    <row r="329" spans="7:7">
      <c r="G329" s="3"/>
    </row>
    <row r="330" spans="7:7">
      <c r="G330" s="3"/>
    </row>
    <row r="331" spans="7:7">
      <c r="G331"/>
    </row>
    <row r="332" spans="7:7">
      <c r="G332"/>
    </row>
    <row r="333" spans="7:7">
      <c r="G333" s="3"/>
    </row>
    <row r="334" spans="7:7">
      <c r="G334"/>
    </row>
    <row r="335" spans="7:7">
      <c r="G335" s="3"/>
    </row>
    <row r="336" spans="7:7">
      <c r="G336"/>
    </row>
    <row r="337" spans="7:7">
      <c r="G337"/>
    </row>
    <row r="338" spans="7:7">
      <c r="G338" s="3"/>
    </row>
    <row r="339" spans="7:7">
      <c r="G339"/>
    </row>
    <row r="340" spans="7:7">
      <c r="G340" s="3"/>
    </row>
    <row r="341" spans="7:7">
      <c r="G341" s="3"/>
    </row>
    <row r="342" spans="7:7">
      <c r="G342"/>
    </row>
    <row r="343" spans="7:7">
      <c r="G343"/>
    </row>
    <row r="344" spans="7:7">
      <c r="G344" s="3"/>
    </row>
    <row r="345" spans="7:7">
      <c r="G345"/>
    </row>
    <row r="346" spans="7:7">
      <c r="G346"/>
    </row>
    <row r="347" spans="7:7">
      <c r="G347"/>
    </row>
    <row r="348" spans="7:7">
      <c r="G348" s="2"/>
    </row>
    <row r="349" spans="7:7">
      <c r="G349" s="3"/>
    </row>
    <row r="350" spans="7:7">
      <c r="G350" s="3"/>
    </row>
    <row r="351" spans="7:7">
      <c r="G351"/>
    </row>
    <row r="352" spans="7:7">
      <c r="G352" s="3"/>
    </row>
    <row r="353" spans="7:7">
      <c r="G353" s="3"/>
    </row>
    <row r="354" spans="7:7">
      <c r="G354"/>
    </row>
    <row r="355" spans="7:7">
      <c r="G355"/>
    </row>
    <row r="356" spans="7:7">
      <c r="G356"/>
    </row>
    <row r="357" spans="7:7">
      <c r="G357"/>
    </row>
    <row r="358" spans="7:7">
      <c r="G358" s="3"/>
    </row>
    <row r="359" spans="7:7">
      <c r="G359" s="3"/>
    </row>
    <row r="360" spans="7:7">
      <c r="G360" s="3"/>
    </row>
    <row r="361" spans="7:7">
      <c r="G361" s="3"/>
    </row>
    <row r="362" spans="7:7">
      <c r="G362"/>
    </row>
    <row r="363" spans="7:7">
      <c r="G363" s="3"/>
    </row>
    <row r="364" spans="7:7">
      <c r="G364" s="3"/>
    </row>
    <row r="365" spans="7:7">
      <c r="G365" s="3"/>
    </row>
    <row r="366" spans="7:7">
      <c r="G366"/>
    </row>
    <row r="367" spans="7:7">
      <c r="G367"/>
    </row>
    <row r="368" spans="7:7">
      <c r="G368"/>
    </row>
    <row r="369" spans="7:7">
      <c r="G369"/>
    </row>
    <row r="370" spans="7:7">
      <c r="G370"/>
    </row>
    <row r="371" spans="7:7">
      <c r="G371"/>
    </row>
    <row r="372" spans="7:7">
      <c r="G372"/>
    </row>
    <row r="373" spans="7:7">
      <c r="G373"/>
    </row>
    <row r="374" spans="7:7">
      <c r="G374"/>
    </row>
    <row r="375" spans="7:7">
      <c r="G375"/>
    </row>
    <row r="376" spans="7:7">
      <c r="G376"/>
    </row>
    <row r="377" spans="7:7">
      <c r="G377" s="3"/>
    </row>
    <row r="378" spans="7:7">
      <c r="G378"/>
    </row>
    <row r="379" spans="7:7">
      <c r="G379" s="3"/>
    </row>
    <row r="380" spans="7:7">
      <c r="G380" s="3"/>
    </row>
    <row r="381" spans="7:7">
      <c r="G381" s="3"/>
    </row>
    <row r="382" spans="7:7">
      <c r="G382"/>
    </row>
    <row r="383" spans="7:7">
      <c r="G383"/>
    </row>
    <row r="384" spans="7:7">
      <c r="G384"/>
    </row>
    <row r="385" spans="7:10">
      <c r="G385" s="3"/>
    </row>
    <row r="386" spans="7:10">
      <c r="G386" s="3"/>
    </row>
    <row r="387" spans="7:10">
      <c r="G387"/>
    </row>
    <row r="388" spans="7:10">
      <c r="G388" s="3"/>
    </row>
    <row r="389" spans="7:10">
      <c r="G389" s="3"/>
    </row>
    <row r="390" spans="7:10">
      <c r="G390"/>
    </row>
    <row r="391" spans="7:10">
      <c r="G391" s="3"/>
    </row>
    <row r="392" spans="7:10">
      <c r="G392"/>
      <c r="H392"/>
      <c r="I392"/>
      <c r="J392"/>
    </row>
    <row r="393" spans="7:10">
      <c r="G393"/>
      <c r="H393"/>
      <c r="I393"/>
      <c r="J393"/>
    </row>
    <row r="394" spans="7:10">
      <c r="G394"/>
      <c r="H394"/>
      <c r="I394"/>
      <c r="J394"/>
    </row>
    <row r="395" spans="7:10">
      <c r="G395"/>
      <c r="H395"/>
      <c r="I395"/>
      <c r="J395"/>
    </row>
    <row r="396" spans="7:10">
      <c r="G396"/>
      <c r="H396"/>
      <c r="I396"/>
      <c r="J396"/>
    </row>
  </sheetData>
  <autoFilter ref="H1:H396"/>
  <sortState ref="F2:M190">
    <sortCondition ref="H2:H190"/>
    <sortCondition ref="M2:M190"/>
  </sortState>
  <dataConsolidate/>
  <conditionalFormatting sqref="D2:D101">
    <cfRule type="duplicateValues" dxfId="312" priority="10"/>
  </conditionalFormatting>
  <conditionalFormatting sqref="D102:D201">
    <cfRule type="duplicateValues" dxfId="311" priority="9"/>
  </conditionalFormatting>
  <conditionalFormatting sqref="J298:J391">
    <cfRule type="cellIs" dxfId="310" priority="8" operator="lessThan">
      <formula>0</formula>
    </cfRule>
  </conditionalFormatting>
  <conditionalFormatting sqref="J271:J391">
    <cfRule type="duplicateValues" dxfId="309" priority="11"/>
  </conditionalFormatting>
  <conditionalFormatting sqref="S102:S195">
    <cfRule type="cellIs" dxfId="308" priority="6" operator="lessThan">
      <formula>0</formula>
    </cfRule>
  </conditionalFormatting>
  <conditionalFormatting sqref="S2:S11 S13:S195">
    <cfRule type="duplicateValues" dxfId="307" priority="7"/>
  </conditionalFormatting>
  <conditionalFormatting sqref="S12">
    <cfRule type="duplicateValues" dxfId="306" priority="5"/>
  </conditionalFormatting>
  <conditionalFormatting sqref="I191:I270">
    <cfRule type="duplicateValues" dxfId="305" priority="4"/>
  </conditionalFormatting>
  <conditionalFormatting sqref="J191:J270">
    <cfRule type="duplicateValues" dxfId="304" priority="3"/>
  </conditionalFormatting>
  <conditionalFormatting sqref="I2:I190">
    <cfRule type="duplicateValues" dxfId="303" priority="2"/>
  </conditionalFormatting>
  <conditionalFormatting sqref="J2:J190">
    <cfRule type="duplicateValues" dxfId="302" priority="1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C1:AB396"/>
  <sheetViews>
    <sheetView zoomScale="80" zoomScaleNormal="80" zoomScalePageLayoutView="80" workbookViewId="0">
      <selection activeCell="F2" sqref="F2:M270"/>
    </sheetView>
  </sheetViews>
  <sheetFormatPr baseColWidth="10" defaultColWidth="11" defaultRowHeight="15" x14ac:dyDescent="0"/>
  <cols>
    <col min="3" max="3" width="16.1640625" bestFit="1" customWidth="1"/>
    <col min="5" max="5" width="7.5" customWidth="1"/>
    <col min="6" max="6" width="11" style="12"/>
    <col min="7" max="7" width="18.1640625" style="4" bestFit="1" customWidth="1"/>
    <col min="8" max="8" width="8.6640625" style="4" customWidth="1"/>
    <col min="9" max="9" width="18.5" style="9" bestFit="1" customWidth="1"/>
    <col min="10" max="10" width="11" style="8"/>
    <col min="11" max="11" width="7.33203125" style="4" bestFit="1" customWidth="1"/>
    <col min="12" max="12" width="4.5" style="4" customWidth="1"/>
    <col min="13" max="13" width="13.33203125" style="4" customWidth="1"/>
    <col min="14" max="14" width="18.1640625" bestFit="1" customWidth="1"/>
    <col min="19" max="19" width="16.5" style="2" customWidth="1"/>
    <col min="25" max="25" width="14" bestFit="1" customWidth="1"/>
    <col min="26" max="26" width="5.6640625" customWidth="1"/>
  </cols>
  <sheetData>
    <row r="1" spans="3:20" s="18" customFormat="1" ht="20">
      <c r="G1" s="19" t="s">
        <v>329</v>
      </c>
      <c r="H1" s="19" t="s">
        <v>334</v>
      </c>
      <c r="I1" s="20" t="s">
        <v>333</v>
      </c>
      <c r="J1" s="21" t="s">
        <v>332</v>
      </c>
      <c r="K1" s="19" t="s">
        <v>331</v>
      </c>
      <c r="L1" s="19" t="s">
        <v>1867</v>
      </c>
      <c r="M1" s="19" t="s">
        <v>1863</v>
      </c>
      <c r="N1" s="18" t="s">
        <v>329</v>
      </c>
      <c r="O1" s="18" t="s">
        <v>330</v>
      </c>
      <c r="S1" s="22"/>
    </row>
    <row r="2" spans="3:20">
      <c r="C2" s="3"/>
      <c r="F2" s="12">
        <v>20</v>
      </c>
      <c r="G2" s="8" t="s">
        <v>763</v>
      </c>
      <c r="H2" s="7">
        <f t="shared" ref="H2:H65" si="0">LOOKUP(G2,$N$2:$N$42,$O$2:$O$42)</f>
        <v>1</v>
      </c>
      <c r="I2" s="3">
        <v>40616.892974537041</v>
      </c>
      <c r="J2" s="8" t="s">
        <v>762</v>
      </c>
      <c r="K2" s="4">
        <f t="shared" ref="K2:K26" si="1">IF(Q2&gt;Q1,1,K1+1)</f>
        <v>1</v>
      </c>
      <c r="L2" s="4">
        <v>7</v>
      </c>
      <c r="M2" s="4">
        <v>1</v>
      </c>
      <c r="N2" s="10" t="s">
        <v>763</v>
      </c>
      <c r="O2">
        <v>1</v>
      </c>
      <c r="Q2">
        <v>1</v>
      </c>
      <c r="S2" s="8"/>
      <c r="T2" s="10"/>
    </row>
    <row r="3" spans="3:20">
      <c r="C3" s="3"/>
      <c r="F3" s="12">
        <v>7</v>
      </c>
      <c r="G3" s="8" t="s">
        <v>295</v>
      </c>
      <c r="H3" s="7">
        <f t="shared" si="0"/>
        <v>2</v>
      </c>
      <c r="I3" s="3">
        <v>40615.63989583333</v>
      </c>
      <c r="J3" s="8" t="s">
        <v>1237</v>
      </c>
      <c r="K3" s="4">
        <f t="shared" si="1"/>
        <v>1</v>
      </c>
      <c r="L3" s="4">
        <v>2</v>
      </c>
      <c r="M3" s="4">
        <v>1</v>
      </c>
      <c r="N3" s="10" t="s">
        <v>295</v>
      </c>
      <c r="O3">
        <v>2</v>
      </c>
      <c r="Q3">
        <v>2</v>
      </c>
      <c r="S3" s="8"/>
      <c r="T3" s="10"/>
    </row>
    <row r="4" spans="3:20">
      <c r="C4" s="3"/>
      <c r="F4" s="12">
        <v>29</v>
      </c>
      <c r="G4" s="8" t="s">
        <v>295</v>
      </c>
      <c r="H4" s="7">
        <f t="shared" si="0"/>
        <v>2</v>
      </c>
      <c r="I4" s="3">
        <v>40620.588773148149</v>
      </c>
      <c r="J4" s="8" t="s">
        <v>1171</v>
      </c>
      <c r="K4" s="4">
        <f t="shared" si="1"/>
        <v>2</v>
      </c>
      <c r="L4" s="4">
        <v>18</v>
      </c>
      <c r="M4" s="4">
        <v>2</v>
      </c>
      <c r="N4" s="10" t="s">
        <v>950</v>
      </c>
      <c r="O4">
        <v>3</v>
      </c>
      <c r="Q4">
        <v>2</v>
      </c>
      <c r="S4" s="8"/>
      <c r="T4" s="10"/>
    </row>
    <row r="5" spans="3:20">
      <c r="C5" s="3"/>
      <c r="F5" s="12">
        <v>101</v>
      </c>
      <c r="G5" s="8" t="s">
        <v>295</v>
      </c>
      <c r="H5" s="7">
        <f t="shared" si="0"/>
        <v>2</v>
      </c>
      <c r="I5" s="3">
        <v>40654.533437500002</v>
      </c>
      <c r="J5" s="8" t="s">
        <v>1495</v>
      </c>
      <c r="K5" s="4">
        <f t="shared" si="1"/>
        <v>3</v>
      </c>
      <c r="L5" s="4">
        <v>4</v>
      </c>
      <c r="M5" s="4">
        <v>3</v>
      </c>
      <c r="N5" s="10" t="s">
        <v>1580</v>
      </c>
      <c r="O5">
        <v>4</v>
      </c>
      <c r="Q5">
        <v>2</v>
      </c>
      <c r="S5" s="8"/>
      <c r="T5" s="10"/>
    </row>
    <row r="6" spans="3:20">
      <c r="C6" s="3"/>
      <c r="F6" s="12">
        <v>166</v>
      </c>
      <c r="G6" s="8" t="s">
        <v>295</v>
      </c>
      <c r="H6" s="7">
        <f t="shared" si="0"/>
        <v>2</v>
      </c>
      <c r="I6" s="3">
        <v>40682.70412037037</v>
      </c>
      <c r="J6" s="8" t="s">
        <v>474</v>
      </c>
      <c r="K6" s="4">
        <f t="shared" si="1"/>
        <v>4</v>
      </c>
      <c r="L6" s="4">
        <v>2</v>
      </c>
      <c r="M6" s="4">
        <v>4</v>
      </c>
      <c r="N6" s="10" t="s">
        <v>385</v>
      </c>
      <c r="O6">
        <v>5</v>
      </c>
      <c r="Q6">
        <v>2</v>
      </c>
      <c r="S6" s="8"/>
      <c r="T6" s="10"/>
    </row>
    <row r="7" spans="3:20">
      <c r="C7" s="3"/>
      <c r="F7" s="12">
        <v>168</v>
      </c>
      <c r="G7" s="8" t="s">
        <v>295</v>
      </c>
      <c r="H7" s="7">
        <f t="shared" si="0"/>
        <v>2</v>
      </c>
      <c r="I7" s="3">
        <v>40682.712372685186</v>
      </c>
      <c r="J7" s="8" t="s">
        <v>1470</v>
      </c>
      <c r="K7" s="4">
        <f t="shared" si="1"/>
        <v>5</v>
      </c>
      <c r="L7" s="4">
        <v>2</v>
      </c>
      <c r="M7" s="4">
        <v>5</v>
      </c>
      <c r="N7" s="10" t="s">
        <v>292</v>
      </c>
      <c r="O7">
        <v>6</v>
      </c>
      <c r="Q7">
        <v>2</v>
      </c>
      <c r="S7" s="8"/>
      <c r="T7" s="10"/>
    </row>
    <row r="8" spans="3:20">
      <c r="C8" s="3"/>
      <c r="F8" s="12">
        <v>169</v>
      </c>
      <c r="G8" s="8" t="s">
        <v>295</v>
      </c>
      <c r="H8" s="7">
        <f t="shared" si="0"/>
        <v>2</v>
      </c>
      <c r="I8" s="3">
        <v>40682.713622685187</v>
      </c>
      <c r="J8" s="8" t="s">
        <v>453</v>
      </c>
      <c r="K8" s="4">
        <f t="shared" si="1"/>
        <v>6</v>
      </c>
      <c r="L8" s="4">
        <v>2</v>
      </c>
      <c r="M8" s="4">
        <v>6</v>
      </c>
      <c r="N8" s="10" t="s">
        <v>1447</v>
      </c>
      <c r="O8">
        <v>7</v>
      </c>
      <c r="Q8">
        <v>2</v>
      </c>
      <c r="S8" s="8"/>
      <c r="T8" s="10"/>
    </row>
    <row r="9" spans="3:20">
      <c r="C9" s="3"/>
      <c r="F9" s="12">
        <v>178</v>
      </c>
      <c r="G9" s="8" t="s">
        <v>295</v>
      </c>
      <c r="H9" s="7">
        <f t="shared" si="0"/>
        <v>2</v>
      </c>
      <c r="I9" s="3">
        <v>40686.47278935185</v>
      </c>
      <c r="J9" s="8" t="s">
        <v>1449</v>
      </c>
      <c r="K9" s="4">
        <f t="shared" si="1"/>
        <v>7</v>
      </c>
      <c r="L9" s="4">
        <v>5</v>
      </c>
      <c r="M9" s="4">
        <v>7</v>
      </c>
      <c r="N9" s="10" t="s">
        <v>1175</v>
      </c>
      <c r="O9">
        <v>8</v>
      </c>
      <c r="Q9">
        <v>2</v>
      </c>
      <c r="S9" s="8"/>
      <c r="T9" s="10"/>
    </row>
    <row r="10" spans="3:20">
      <c r="C10" s="3"/>
      <c r="D10" s="1"/>
      <c r="F10" s="12">
        <v>239</v>
      </c>
      <c r="G10" s="8" t="s">
        <v>295</v>
      </c>
      <c r="H10" s="7">
        <f t="shared" si="0"/>
        <v>2</v>
      </c>
      <c r="I10" s="3">
        <v>40708.73978009259</v>
      </c>
      <c r="J10" s="8" t="s">
        <v>1305</v>
      </c>
      <c r="K10" s="4">
        <f t="shared" si="1"/>
        <v>8</v>
      </c>
      <c r="L10" s="4">
        <v>2</v>
      </c>
      <c r="M10" s="4">
        <v>8</v>
      </c>
      <c r="N10" s="10" t="s">
        <v>293</v>
      </c>
      <c r="O10">
        <v>9</v>
      </c>
      <c r="Q10">
        <v>2</v>
      </c>
      <c r="S10" s="8"/>
      <c r="T10" s="10"/>
    </row>
    <row r="11" spans="3:20">
      <c r="C11" s="3"/>
      <c r="F11" s="12">
        <v>229</v>
      </c>
      <c r="G11" s="8" t="s">
        <v>950</v>
      </c>
      <c r="H11" s="7">
        <f t="shared" si="0"/>
        <v>3</v>
      </c>
      <c r="I11" s="3">
        <v>40707.271458333336</v>
      </c>
      <c r="J11" s="8" t="s">
        <v>949</v>
      </c>
      <c r="K11" s="4">
        <f t="shared" si="1"/>
        <v>1</v>
      </c>
      <c r="L11" s="4">
        <v>2</v>
      </c>
      <c r="M11" s="4">
        <v>1</v>
      </c>
      <c r="N11" s="10" t="s">
        <v>1082</v>
      </c>
      <c r="O11">
        <v>10</v>
      </c>
      <c r="Q11">
        <v>3</v>
      </c>
      <c r="S11" s="8"/>
      <c r="T11" s="10"/>
    </row>
    <row r="12" spans="3:20">
      <c r="C12" s="3"/>
      <c r="F12" s="12">
        <v>174</v>
      </c>
      <c r="G12" s="8" t="s">
        <v>1580</v>
      </c>
      <c r="H12" s="7">
        <f t="shared" si="0"/>
        <v>4</v>
      </c>
      <c r="I12" s="3">
        <v>40685.980069444442</v>
      </c>
      <c r="J12" s="8" t="s">
        <v>1331</v>
      </c>
      <c r="K12" s="4">
        <f t="shared" si="1"/>
        <v>1</v>
      </c>
      <c r="L12" s="4">
        <v>2</v>
      </c>
      <c r="M12" s="4">
        <v>1</v>
      </c>
      <c r="N12" s="10" t="s">
        <v>857</v>
      </c>
      <c r="O12">
        <v>11</v>
      </c>
      <c r="Q12">
        <v>4</v>
      </c>
      <c r="S12" s="8"/>
      <c r="T12" s="10"/>
    </row>
    <row r="13" spans="3:20">
      <c r="C13" s="3"/>
      <c r="F13" s="12">
        <v>173</v>
      </c>
      <c r="G13" s="8" t="s">
        <v>385</v>
      </c>
      <c r="H13" s="7">
        <f t="shared" si="0"/>
        <v>5</v>
      </c>
      <c r="I13" s="3">
        <v>40685.980069444442</v>
      </c>
      <c r="J13" s="8" t="s">
        <v>1330</v>
      </c>
      <c r="K13" s="4">
        <f t="shared" si="1"/>
        <v>1</v>
      </c>
      <c r="L13" s="4">
        <v>2</v>
      </c>
      <c r="M13" s="4">
        <v>1</v>
      </c>
      <c r="N13" s="10" t="s">
        <v>583</v>
      </c>
      <c r="O13">
        <v>12</v>
      </c>
      <c r="Q13">
        <v>5</v>
      </c>
      <c r="S13" s="8"/>
      <c r="T13" s="10"/>
    </row>
    <row r="14" spans="3:20">
      <c r="C14" s="3"/>
      <c r="D14" s="1"/>
      <c r="F14" s="12">
        <v>181</v>
      </c>
      <c r="G14" s="8" t="s">
        <v>385</v>
      </c>
      <c r="H14" s="7">
        <f t="shared" si="0"/>
        <v>5</v>
      </c>
      <c r="I14" s="3">
        <v>40691.509375000001</v>
      </c>
      <c r="J14" s="8" t="s">
        <v>691</v>
      </c>
      <c r="K14" s="4">
        <f t="shared" si="1"/>
        <v>2</v>
      </c>
      <c r="L14" s="4">
        <v>2</v>
      </c>
      <c r="M14" s="4">
        <v>2</v>
      </c>
      <c r="N14" s="10" t="s">
        <v>887</v>
      </c>
      <c r="O14">
        <v>13</v>
      </c>
      <c r="Q14">
        <v>5</v>
      </c>
      <c r="S14" s="8"/>
      <c r="T14" s="10"/>
    </row>
    <row r="15" spans="3:20">
      <c r="C15" s="3"/>
      <c r="F15" s="12">
        <v>183</v>
      </c>
      <c r="G15" s="8" t="s">
        <v>385</v>
      </c>
      <c r="H15" s="7">
        <f t="shared" si="0"/>
        <v>5</v>
      </c>
      <c r="I15" s="3">
        <v>40691.705914351849</v>
      </c>
      <c r="J15" s="8" t="s">
        <v>581</v>
      </c>
      <c r="K15" s="4">
        <f t="shared" si="1"/>
        <v>3</v>
      </c>
      <c r="L15" s="4">
        <v>6</v>
      </c>
      <c r="M15" s="4">
        <v>3</v>
      </c>
      <c r="N15" s="10" t="s">
        <v>488</v>
      </c>
      <c r="O15">
        <v>14</v>
      </c>
      <c r="Q15">
        <v>5</v>
      </c>
      <c r="S15" s="8"/>
      <c r="T15" s="10"/>
    </row>
    <row r="16" spans="3:20">
      <c r="C16" s="3"/>
      <c r="F16" s="12">
        <v>189</v>
      </c>
      <c r="G16" s="8" t="s">
        <v>385</v>
      </c>
      <c r="H16" s="7">
        <f t="shared" si="0"/>
        <v>5</v>
      </c>
      <c r="I16" s="3">
        <v>40691.526828703703</v>
      </c>
      <c r="J16" s="8">
        <v>8714352</v>
      </c>
      <c r="K16" s="4">
        <f t="shared" si="1"/>
        <v>4</v>
      </c>
      <c r="L16" s="4">
        <v>2</v>
      </c>
      <c r="M16" s="4">
        <v>4</v>
      </c>
      <c r="N16" s="10" t="s">
        <v>294</v>
      </c>
      <c r="O16">
        <v>15</v>
      </c>
      <c r="Q16">
        <v>5</v>
      </c>
      <c r="S16" s="8"/>
      <c r="T16" s="10"/>
    </row>
    <row r="17" spans="3:26">
      <c r="C17" s="3"/>
      <c r="F17" s="12">
        <v>192</v>
      </c>
      <c r="G17" s="8" t="s">
        <v>385</v>
      </c>
      <c r="H17" s="7">
        <f t="shared" si="0"/>
        <v>5</v>
      </c>
      <c r="I17" s="3">
        <v>40694.421041666668</v>
      </c>
      <c r="J17" s="8" t="s">
        <v>1038</v>
      </c>
      <c r="K17" s="4">
        <f t="shared" si="1"/>
        <v>5</v>
      </c>
      <c r="L17" s="4">
        <v>7</v>
      </c>
      <c r="M17" s="4">
        <v>5</v>
      </c>
      <c r="N17" s="10" t="s">
        <v>325</v>
      </c>
      <c r="O17">
        <v>16</v>
      </c>
      <c r="Q17">
        <v>5</v>
      </c>
      <c r="S17" s="8"/>
      <c r="T17" s="10"/>
    </row>
    <row r="18" spans="3:26">
      <c r="C18" s="3"/>
      <c r="F18" s="12">
        <v>196</v>
      </c>
      <c r="G18" s="8" t="s">
        <v>385</v>
      </c>
      <c r="H18" s="7">
        <f t="shared" si="0"/>
        <v>5</v>
      </c>
      <c r="I18" s="3">
        <v>40695.972395833334</v>
      </c>
      <c r="J18" s="8">
        <v>454682</v>
      </c>
      <c r="K18" s="4">
        <f t="shared" si="1"/>
        <v>6</v>
      </c>
      <c r="L18" s="4">
        <v>0</v>
      </c>
      <c r="M18" s="4">
        <v>6</v>
      </c>
      <c r="N18" s="10" t="s">
        <v>731</v>
      </c>
      <c r="O18">
        <v>17</v>
      </c>
      <c r="Q18">
        <v>5</v>
      </c>
      <c r="S18" s="8"/>
      <c r="T18" s="10"/>
    </row>
    <row r="19" spans="3:26">
      <c r="C19" s="3"/>
      <c r="D19" s="1"/>
      <c r="F19" s="12">
        <v>263</v>
      </c>
      <c r="G19" s="8" t="s">
        <v>385</v>
      </c>
      <c r="H19" s="7">
        <f t="shared" si="0"/>
        <v>5</v>
      </c>
      <c r="I19" s="3">
        <v>40717.465046296296</v>
      </c>
      <c r="J19" s="8" t="s">
        <v>940</v>
      </c>
      <c r="K19" s="4">
        <f t="shared" si="1"/>
        <v>7</v>
      </c>
      <c r="L19" s="4">
        <v>2</v>
      </c>
      <c r="M19" s="4">
        <v>7</v>
      </c>
      <c r="N19" s="10" t="s">
        <v>1499</v>
      </c>
      <c r="O19">
        <v>18</v>
      </c>
      <c r="Q19">
        <v>5</v>
      </c>
      <c r="S19" s="8"/>
      <c r="T19" s="10"/>
    </row>
    <row r="20" spans="3:26">
      <c r="C20" s="3"/>
      <c r="F20" s="12">
        <v>74</v>
      </c>
      <c r="G20" s="8" t="s">
        <v>292</v>
      </c>
      <c r="H20" s="7">
        <f t="shared" si="0"/>
        <v>6</v>
      </c>
      <c r="I20" s="3">
        <v>40643.604108796295</v>
      </c>
      <c r="J20" s="8" t="s">
        <v>1179</v>
      </c>
      <c r="K20" s="4">
        <f t="shared" si="1"/>
        <v>1</v>
      </c>
      <c r="L20" s="4">
        <v>3</v>
      </c>
      <c r="M20" s="4">
        <v>1</v>
      </c>
      <c r="N20" s="10" t="s">
        <v>336</v>
      </c>
      <c r="O20">
        <v>19</v>
      </c>
      <c r="Q20">
        <v>6</v>
      </c>
      <c r="S20" s="8"/>
      <c r="T20" s="10"/>
    </row>
    <row r="21" spans="3:26">
      <c r="C21" s="3"/>
      <c r="F21" s="12">
        <v>162</v>
      </c>
      <c r="G21" s="8" t="s">
        <v>292</v>
      </c>
      <c r="H21" s="7">
        <f t="shared" si="0"/>
        <v>6</v>
      </c>
      <c r="I21" s="3">
        <v>40681.764039351852</v>
      </c>
      <c r="J21" s="8" t="s">
        <v>1278</v>
      </c>
      <c r="K21" s="4">
        <f t="shared" si="1"/>
        <v>2</v>
      </c>
      <c r="L21" s="4">
        <v>2</v>
      </c>
      <c r="M21" s="4">
        <v>2</v>
      </c>
      <c r="N21" s="10" t="s">
        <v>288</v>
      </c>
      <c r="O21">
        <v>20</v>
      </c>
      <c r="Q21">
        <v>6</v>
      </c>
      <c r="S21" s="8"/>
      <c r="T21" s="10"/>
    </row>
    <row r="22" spans="3:26">
      <c r="C22" s="3"/>
      <c r="F22" s="12">
        <v>165</v>
      </c>
      <c r="G22" s="8" t="s">
        <v>292</v>
      </c>
      <c r="H22" s="7">
        <f t="shared" si="0"/>
        <v>6</v>
      </c>
      <c r="I22" s="3">
        <v>40677.722604166665</v>
      </c>
      <c r="J22" s="11" t="s">
        <v>1572</v>
      </c>
      <c r="K22" s="4">
        <f t="shared" si="1"/>
        <v>3</v>
      </c>
      <c r="L22" s="4">
        <v>10</v>
      </c>
      <c r="M22" s="4">
        <v>3</v>
      </c>
      <c r="N22" s="10" t="s">
        <v>455</v>
      </c>
      <c r="O22">
        <v>21</v>
      </c>
      <c r="Q22">
        <v>6</v>
      </c>
      <c r="S22" s="8"/>
      <c r="T22" s="10"/>
    </row>
    <row r="23" spans="3:26">
      <c r="C23" s="3"/>
      <c r="F23" s="12">
        <v>197</v>
      </c>
      <c r="G23" s="8" t="s">
        <v>292</v>
      </c>
      <c r="H23" s="7">
        <f t="shared" si="0"/>
        <v>6</v>
      </c>
      <c r="I23" s="3">
        <v>40684.61209490741</v>
      </c>
      <c r="J23" s="8" t="s">
        <v>464</v>
      </c>
      <c r="K23" s="4">
        <f t="shared" si="1"/>
        <v>4</v>
      </c>
      <c r="L23" s="4">
        <v>3</v>
      </c>
      <c r="M23" s="4">
        <v>4</v>
      </c>
      <c r="N23" s="10" t="s">
        <v>543</v>
      </c>
      <c r="O23">
        <v>22</v>
      </c>
      <c r="Q23">
        <v>6</v>
      </c>
      <c r="S23" s="8"/>
      <c r="T23" s="10"/>
    </row>
    <row r="24" spans="3:26">
      <c r="C24" s="3"/>
      <c r="F24" s="12">
        <v>205</v>
      </c>
      <c r="G24" s="8" t="s">
        <v>292</v>
      </c>
      <c r="H24" s="7">
        <f t="shared" si="0"/>
        <v>6</v>
      </c>
      <c r="I24" s="3">
        <v>40697.853078703702</v>
      </c>
      <c r="J24" s="8" t="s">
        <v>897</v>
      </c>
      <c r="K24" s="4">
        <f t="shared" si="1"/>
        <v>5</v>
      </c>
      <c r="L24" s="4">
        <v>2</v>
      </c>
      <c r="M24" s="4">
        <v>5</v>
      </c>
      <c r="N24" s="10" t="s">
        <v>651</v>
      </c>
      <c r="O24">
        <v>23</v>
      </c>
      <c r="Q24">
        <v>6</v>
      </c>
      <c r="S24" s="8"/>
      <c r="T24" s="10"/>
    </row>
    <row r="25" spans="3:26">
      <c r="C25" s="3"/>
      <c r="F25" s="12">
        <v>177</v>
      </c>
      <c r="G25" s="8" t="s">
        <v>1447</v>
      </c>
      <c r="H25" s="7">
        <f t="shared" si="0"/>
        <v>7</v>
      </c>
      <c r="I25" s="3">
        <v>40666.680844907409</v>
      </c>
      <c r="J25" s="8" t="s">
        <v>1448</v>
      </c>
      <c r="K25" s="4">
        <f t="shared" si="1"/>
        <v>1</v>
      </c>
      <c r="L25" s="4">
        <v>2</v>
      </c>
      <c r="M25" s="4">
        <v>1</v>
      </c>
      <c r="N25" s="10" t="s">
        <v>1578</v>
      </c>
      <c r="O25">
        <v>24</v>
      </c>
      <c r="Q25">
        <v>7</v>
      </c>
      <c r="S25" s="8"/>
      <c r="T25" s="10"/>
      <c r="Y25" s="25" t="s">
        <v>1872</v>
      </c>
    </row>
    <row r="26" spans="3:26">
      <c r="C26" s="3"/>
      <c r="F26" s="12">
        <v>154</v>
      </c>
      <c r="G26" s="8" t="s">
        <v>1175</v>
      </c>
      <c r="H26" s="7">
        <f t="shared" si="0"/>
        <v>8</v>
      </c>
      <c r="I26" s="3">
        <v>40676.62903935185</v>
      </c>
      <c r="J26" s="8" t="s">
        <v>1174</v>
      </c>
      <c r="K26" s="4">
        <f t="shared" si="1"/>
        <v>1</v>
      </c>
      <c r="L26" s="4">
        <v>3</v>
      </c>
      <c r="M26" s="4">
        <v>1</v>
      </c>
      <c r="N26" s="10" t="s">
        <v>306</v>
      </c>
      <c r="O26">
        <v>25</v>
      </c>
      <c r="Q26">
        <v>8</v>
      </c>
      <c r="S26" s="8"/>
      <c r="T26" s="10"/>
      <c r="Y26" s="25" t="s">
        <v>1870</v>
      </c>
      <c r="Z26" t="s">
        <v>1869</v>
      </c>
    </row>
    <row r="27" spans="3:26">
      <c r="C27" s="3"/>
      <c r="F27" s="12">
        <v>14</v>
      </c>
      <c r="G27" s="8" t="s">
        <v>293</v>
      </c>
      <c r="H27" s="7">
        <f t="shared" si="0"/>
        <v>9</v>
      </c>
      <c r="I27" s="3">
        <v>40616.653958333336</v>
      </c>
      <c r="J27" s="8" t="s">
        <v>643</v>
      </c>
      <c r="K27" s="4">
        <v>1</v>
      </c>
      <c r="L27" s="4">
        <v>2</v>
      </c>
      <c r="M27" s="4">
        <v>1</v>
      </c>
      <c r="N27" s="10" t="s">
        <v>423</v>
      </c>
      <c r="O27">
        <v>26</v>
      </c>
      <c r="Q27">
        <v>9</v>
      </c>
      <c r="S27" s="8"/>
      <c r="T27" s="10"/>
      <c r="Y27" s="26">
        <v>1</v>
      </c>
      <c r="Z27" s="4">
        <v>1</v>
      </c>
    </row>
    <row r="28" spans="3:26">
      <c r="C28" s="3"/>
      <c r="F28" s="12">
        <v>171</v>
      </c>
      <c r="G28" s="8" t="s">
        <v>293</v>
      </c>
      <c r="H28" s="7">
        <f t="shared" si="0"/>
        <v>9</v>
      </c>
      <c r="I28" s="3">
        <v>40685.882372685184</v>
      </c>
      <c r="J28" s="8" t="s">
        <v>993</v>
      </c>
      <c r="K28" s="4">
        <f t="shared" ref="K28:K91" si="2">IF(Q28&gt;Q27,1,K27+1)</f>
        <v>2</v>
      </c>
      <c r="L28" s="4">
        <v>2</v>
      </c>
      <c r="M28" s="4">
        <v>2</v>
      </c>
      <c r="N28" s="10" t="s">
        <v>371</v>
      </c>
      <c r="O28">
        <v>27</v>
      </c>
      <c r="Q28">
        <v>9</v>
      </c>
      <c r="S28" s="8"/>
      <c r="T28" s="10"/>
      <c r="Y28" s="26">
        <v>2</v>
      </c>
      <c r="Z28" s="4">
        <v>8</v>
      </c>
    </row>
    <row r="29" spans="3:26">
      <c r="C29" s="3"/>
      <c r="F29" s="12">
        <v>198</v>
      </c>
      <c r="G29" s="8" t="s">
        <v>293</v>
      </c>
      <c r="H29" s="7">
        <f t="shared" si="0"/>
        <v>9</v>
      </c>
      <c r="I29" s="3">
        <v>40696.686469907407</v>
      </c>
      <c r="J29" s="8" t="s">
        <v>465</v>
      </c>
      <c r="K29" s="4">
        <f t="shared" si="2"/>
        <v>3</v>
      </c>
      <c r="L29" s="4">
        <v>4</v>
      </c>
      <c r="M29" s="4">
        <v>3</v>
      </c>
      <c r="N29" s="10" t="s">
        <v>300</v>
      </c>
      <c r="O29">
        <v>28</v>
      </c>
      <c r="Q29">
        <v>9</v>
      </c>
      <c r="S29" s="8"/>
      <c r="T29" s="10"/>
      <c r="Y29" s="26">
        <v>3</v>
      </c>
      <c r="Z29" s="4">
        <v>1</v>
      </c>
    </row>
    <row r="30" spans="3:26">
      <c r="C30" s="3"/>
      <c r="F30" s="12">
        <v>265</v>
      </c>
      <c r="G30" s="8" t="s">
        <v>293</v>
      </c>
      <c r="H30" s="7">
        <f t="shared" si="0"/>
        <v>9</v>
      </c>
      <c r="I30" s="3">
        <v>40718.919259259259</v>
      </c>
      <c r="J30" s="8" t="s">
        <v>814</v>
      </c>
      <c r="K30" s="4">
        <f t="shared" si="2"/>
        <v>4</v>
      </c>
      <c r="L30" s="4">
        <v>2</v>
      </c>
      <c r="M30" s="4">
        <v>4</v>
      </c>
      <c r="N30" s="10" t="s">
        <v>918</v>
      </c>
      <c r="O30">
        <v>29</v>
      </c>
      <c r="Q30">
        <v>9</v>
      </c>
      <c r="S30" s="8"/>
      <c r="T30" s="10"/>
      <c r="Y30" s="26">
        <v>4</v>
      </c>
      <c r="Z30" s="4">
        <v>1</v>
      </c>
    </row>
    <row r="31" spans="3:26">
      <c r="C31" s="3"/>
      <c r="F31" s="12">
        <v>163</v>
      </c>
      <c r="G31" s="8" t="s">
        <v>1082</v>
      </c>
      <c r="H31" s="7">
        <f t="shared" si="0"/>
        <v>10</v>
      </c>
      <c r="I31" s="3">
        <v>40680.06144675926</v>
      </c>
      <c r="J31" s="8" t="s">
        <v>1083</v>
      </c>
      <c r="K31" s="4">
        <f t="shared" si="2"/>
        <v>1</v>
      </c>
      <c r="L31" s="4">
        <v>2</v>
      </c>
      <c r="M31" s="4">
        <v>1</v>
      </c>
      <c r="N31" s="10" t="s">
        <v>1130</v>
      </c>
      <c r="O31">
        <v>30</v>
      </c>
      <c r="Q31">
        <v>10</v>
      </c>
      <c r="S31" s="8"/>
      <c r="T31" s="10"/>
      <c r="Y31" s="26">
        <v>5</v>
      </c>
      <c r="Z31" s="4">
        <v>7</v>
      </c>
    </row>
    <row r="32" spans="3:26">
      <c r="C32" s="3"/>
      <c r="F32" s="12">
        <v>266</v>
      </c>
      <c r="G32" s="8" t="s">
        <v>857</v>
      </c>
      <c r="H32" s="7">
        <f t="shared" si="0"/>
        <v>11</v>
      </c>
      <c r="I32" s="3">
        <v>40716.208645833336</v>
      </c>
      <c r="J32" s="8" t="s">
        <v>858</v>
      </c>
      <c r="K32" s="4">
        <f t="shared" si="2"/>
        <v>1</v>
      </c>
      <c r="L32" s="4">
        <v>3</v>
      </c>
      <c r="M32" s="4">
        <v>1</v>
      </c>
      <c r="N32" s="10" t="s">
        <v>416</v>
      </c>
      <c r="O32">
        <v>31</v>
      </c>
      <c r="Q32">
        <v>11</v>
      </c>
      <c r="S32" s="8"/>
      <c r="T32" s="10"/>
      <c r="Y32" s="26">
        <v>6</v>
      </c>
      <c r="Z32" s="4">
        <v>5</v>
      </c>
    </row>
    <row r="33" spans="3:26">
      <c r="C33" s="3"/>
      <c r="F33" s="12">
        <v>184</v>
      </c>
      <c r="G33" s="8" t="s">
        <v>583</v>
      </c>
      <c r="H33" s="7">
        <f t="shared" si="0"/>
        <v>12</v>
      </c>
      <c r="I33" s="3">
        <v>40691.739444444444</v>
      </c>
      <c r="J33" s="8" t="s">
        <v>582</v>
      </c>
      <c r="K33" s="4">
        <f t="shared" si="2"/>
        <v>1</v>
      </c>
      <c r="L33" s="4">
        <v>5</v>
      </c>
      <c r="M33" s="4">
        <v>1</v>
      </c>
      <c r="N33" s="10" t="s">
        <v>974</v>
      </c>
      <c r="O33">
        <v>32</v>
      </c>
      <c r="Q33">
        <v>12</v>
      </c>
      <c r="S33" s="8"/>
      <c r="T33" s="10"/>
      <c r="Y33" s="26">
        <v>7</v>
      </c>
      <c r="Z33" s="4">
        <v>1</v>
      </c>
    </row>
    <row r="34" spans="3:26">
      <c r="C34" s="3"/>
      <c r="F34" s="12">
        <v>209</v>
      </c>
      <c r="G34" s="8" t="s">
        <v>887</v>
      </c>
      <c r="H34" s="7">
        <f t="shared" si="0"/>
        <v>13</v>
      </c>
      <c r="I34" s="3">
        <v>40699.548449074071</v>
      </c>
      <c r="J34" s="8" t="s">
        <v>888</v>
      </c>
      <c r="K34" s="4">
        <f t="shared" si="2"/>
        <v>1</v>
      </c>
      <c r="L34" s="4">
        <v>2</v>
      </c>
      <c r="M34" s="4">
        <v>1</v>
      </c>
      <c r="N34" s="10" t="s">
        <v>289</v>
      </c>
      <c r="O34">
        <v>33</v>
      </c>
      <c r="Q34">
        <v>13</v>
      </c>
      <c r="S34" s="8"/>
      <c r="T34" s="10"/>
      <c r="Y34" s="26">
        <v>8</v>
      </c>
      <c r="Z34" s="4">
        <v>1</v>
      </c>
    </row>
    <row r="35" spans="3:26">
      <c r="C35" s="3"/>
      <c r="F35" s="12">
        <v>114</v>
      </c>
      <c r="G35" s="8" t="s">
        <v>488</v>
      </c>
      <c r="H35" s="7">
        <f t="shared" si="0"/>
        <v>14</v>
      </c>
      <c r="I35" s="3">
        <v>40661.900243055556</v>
      </c>
      <c r="J35" s="8" t="s">
        <v>487</v>
      </c>
      <c r="K35" s="4">
        <f t="shared" si="2"/>
        <v>1</v>
      </c>
      <c r="L35" s="4">
        <v>2</v>
      </c>
      <c r="M35" s="4">
        <v>1</v>
      </c>
      <c r="N35" s="10" t="s">
        <v>1468</v>
      </c>
      <c r="O35">
        <v>34</v>
      </c>
      <c r="Q35">
        <v>14</v>
      </c>
      <c r="S35" s="8"/>
      <c r="T35" s="10"/>
      <c r="Y35" s="26">
        <v>9</v>
      </c>
      <c r="Z35" s="4">
        <v>4</v>
      </c>
    </row>
    <row r="36" spans="3:26">
      <c r="C36" s="3"/>
      <c r="F36" s="12">
        <v>41</v>
      </c>
      <c r="G36" s="8" t="s">
        <v>294</v>
      </c>
      <c r="H36" s="7">
        <f t="shared" si="0"/>
        <v>15</v>
      </c>
      <c r="I36" s="3">
        <v>40629.981099537035</v>
      </c>
      <c r="J36" s="8" t="s">
        <v>1311</v>
      </c>
      <c r="K36" s="4">
        <f t="shared" si="2"/>
        <v>1</v>
      </c>
      <c r="L36" s="4">
        <v>15</v>
      </c>
      <c r="M36" s="4">
        <v>1</v>
      </c>
      <c r="N36" s="10" t="s">
        <v>1581</v>
      </c>
      <c r="O36">
        <v>35</v>
      </c>
      <c r="Q36">
        <v>15</v>
      </c>
      <c r="S36" s="8"/>
      <c r="T36" s="10"/>
      <c r="Y36" s="26">
        <v>10</v>
      </c>
      <c r="Z36" s="4">
        <v>1</v>
      </c>
    </row>
    <row r="37" spans="3:26">
      <c r="C37" s="3"/>
      <c r="F37" s="12">
        <v>51</v>
      </c>
      <c r="G37" s="8" t="s">
        <v>294</v>
      </c>
      <c r="H37" s="7">
        <f t="shared" si="0"/>
        <v>15</v>
      </c>
      <c r="I37" s="3">
        <v>40629.981099537035</v>
      </c>
      <c r="J37" s="8" t="s">
        <v>476</v>
      </c>
      <c r="K37" s="4">
        <f t="shared" si="2"/>
        <v>2</v>
      </c>
      <c r="L37" s="4">
        <v>15</v>
      </c>
      <c r="M37" s="4">
        <v>2</v>
      </c>
      <c r="N37" s="10" t="s">
        <v>299</v>
      </c>
      <c r="O37">
        <v>36</v>
      </c>
      <c r="Q37">
        <v>15</v>
      </c>
      <c r="S37" s="8"/>
      <c r="T37" s="10"/>
      <c r="Y37" s="26">
        <v>11</v>
      </c>
      <c r="Z37" s="4">
        <v>1</v>
      </c>
    </row>
    <row r="38" spans="3:26">
      <c r="C38" s="3"/>
      <c r="F38" s="12">
        <v>66</v>
      </c>
      <c r="G38" s="8" t="s">
        <v>294</v>
      </c>
      <c r="H38" s="7">
        <f t="shared" si="0"/>
        <v>15</v>
      </c>
      <c r="I38" s="3">
        <v>40633.069467592592</v>
      </c>
      <c r="J38" s="8" t="s">
        <v>1424</v>
      </c>
      <c r="K38" s="4">
        <f t="shared" si="2"/>
        <v>3</v>
      </c>
      <c r="L38" s="4">
        <v>3</v>
      </c>
      <c r="M38" s="4">
        <v>3</v>
      </c>
      <c r="N38" s="10" t="s">
        <v>438</v>
      </c>
      <c r="O38">
        <v>37</v>
      </c>
      <c r="Q38">
        <v>15</v>
      </c>
      <c r="S38" s="8"/>
      <c r="T38" s="10"/>
      <c r="Y38" s="26">
        <v>12</v>
      </c>
      <c r="Z38" s="4">
        <v>1</v>
      </c>
    </row>
    <row r="39" spans="3:26">
      <c r="C39" s="3"/>
      <c r="F39" s="12">
        <v>76</v>
      </c>
      <c r="G39" s="8" t="s">
        <v>294</v>
      </c>
      <c r="H39" s="7">
        <f t="shared" si="0"/>
        <v>15</v>
      </c>
      <c r="I39" s="3">
        <v>40634.028726851851</v>
      </c>
      <c r="J39" s="8" t="s">
        <v>1043</v>
      </c>
      <c r="K39" s="4">
        <f t="shared" si="2"/>
        <v>4</v>
      </c>
      <c r="L39" s="4">
        <v>2</v>
      </c>
      <c r="M39" s="4">
        <v>4</v>
      </c>
      <c r="N39" s="10" t="s">
        <v>297</v>
      </c>
      <c r="O39">
        <v>38</v>
      </c>
      <c r="Q39">
        <v>15</v>
      </c>
      <c r="S39" s="8"/>
      <c r="T39" s="10"/>
      <c r="Y39" s="26">
        <v>13</v>
      </c>
      <c r="Z39" s="4">
        <v>1</v>
      </c>
    </row>
    <row r="40" spans="3:26">
      <c r="C40" s="3"/>
      <c r="F40" s="12">
        <v>99</v>
      </c>
      <c r="G40" s="8" t="s">
        <v>294</v>
      </c>
      <c r="H40" s="7">
        <f t="shared" si="0"/>
        <v>15</v>
      </c>
      <c r="I40" s="3">
        <v>40647.134837962964</v>
      </c>
      <c r="J40" s="8" t="s">
        <v>806</v>
      </c>
      <c r="K40" s="4">
        <f t="shared" si="2"/>
        <v>5</v>
      </c>
      <c r="L40" s="4">
        <v>17</v>
      </c>
      <c r="M40" s="4">
        <v>5</v>
      </c>
      <c r="N40" s="10" t="s">
        <v>315</v>
      </c>
      <c r="O40">
        <v>39</v>
      </c>
      <c r="Q40">
        <v>15</v>
      </c>
      <c r="S40" s="8"/>
      <c r="T40" s="10"/>
      <c r="Y40" s="26">
        <v>14</v>
      </c>
      <c r="Z40" s="4">
        <v>1</v>
      </c>
    </row>
    <row r="41" spans="3:26">
      <c r="C41" s="3"/>
      <c r="F41" s="12">
        <v>121</v>
      </c>
      <c r="G41" s="8" t="s">
        <v>294</v>
      </c>
      <c r="H41" s="7">
        <f t="shared" si="0"/>
        <v>15</v>
      </c>
      <c r="I41" s="3">
        <v>40653.032881944448</v>
      </c>
      <c r="J41" s="8" t="s">
        <v>1149</v>
      </c>
      <c r="K41" s="4">
        <f t="shared" si="2"/>
        <v>6</v>
      </c>
      <c r="L41" s="4">
        <v>5</v>
      </c>
      <c r="M41" s="4">
        <v>6</v>
      </c>
      <c r="N41" s="10" t="s">
        <v>291</v>
      </c>
      <c r="O41">
        <v>40</v>
      </c>
      <c r="Q41">
        <v>15</v>
      </c>
      <c r="S41" s="8"/>
      <c r="T41" s="10"/>
      <c r="Y41" s="26">
        <v>15</v>
      </c>
      <c r="Z41" s="4">
        <v>9</v>
      </c>
    </row>
    <row r="42" spans="3:26">
      <c r="C42" s="3"/>
      <c r="F42" s="12">
        <v>123</v>
      </c>
      <c r="G42" s="8" t="s">
        <v>294</v>
      </c>
      <c r="H42" s="7">
        <f t="shared" si="0"/>
        <v>15</v>
      </c>
      <c r="I42" s="3">
        <v>40664.292511574073</v>
      </c>
      <c r="J42" s="8" t="s">
        <v>1289</v>
      </c>
      <c r="K42" s="4">
        <f t="shared" si="2"/>
        <v>7</v>
      </c>
      <c r="L42" s="4">
        <v>2</v>
      </c>
      <c r="M42" s="4">
        <v>7</v>
      </c>
      <c r="N42" s="10" t="s">
        <v>812</v>
      </c>
      <c r="O42">
        <v>41</v>
      </c>
      <c r="Q42">
        <v>15</v>
      </c>
      <c r="S42" s="8"/>
      <c r="T42" s="10"/>
      <c r="Y42" s="26">
        <v>16</v>
      </c>
      <c r="Z42" s="4">
        <v>3</v>
      </c>
    </row>
    <row r="43" spans="3:26">
      <c r="C43" s="3"/>
      <c r="F43" s="12">
        <v>125</v>
      </c>
      <c r="G43" s="8" t="s">
        <v>294</v>
      </c>
      <c r="H43" s="7">
        <f t="shared" si="0"/>
        <v>15</v>
      </c>
      <c r="I43" s="3">
        <v>40664.665127314816</v>
      </c>
      <c r="J43" s="8" t="s">
        <v>1177</v>
      </c>
      <c r="K43" s="4">
        <f t="shared" si="2"/>
        <v>8</v>
      </c>
      <c r="L43" s="4">
        <v>2</v>
      </c>
      <c r="M43" s="4">
        <v>8</v>
      </c>
      <c r="Q43">
        <v>15</v>
      </c>
      <c r="S43" s="8"/>
      <c r="T43" s="10"/>
      <c r="Y43" s="26">
        <v>17</v>
      </c>
      <c r="Z43" s="4">
        <v>2</v>
      </c>
    </row>
    <row r="44" spans="3:26">
      <c r="C44" s="3"/>
      <c r="F44" s="12">
        <v>146</v>
      </c>
      <c r="G44" s="8" t="s">
        <v>294</v>
      </c>
      <c r="H44" s="7">
        <f t="shared" si="0"/>
        <v>15</v>
      </c>
      <c r="I44" s="3">
        <v>40673.141319444447</v>
      </c>
      <c r="J44" s="8" t="s">
        <v>436</v>
      </c>
      <c r="K44" s="4">
        <f t="shared" si="2"/>
        <v>9</v>
      </c>
      <c r="L44" s="4">
        <v>15</v>
      </c>
      <c r="M44" s="4">
        <v>9</v>
      </c>
      <c r="Q44">
        <v>15</v>
      </c>
      <c r="S44" s="8"/>
      <c r="T44" s="10"/>
      <c r="Y44" s="26">
        <v>18</v>
      </c>
      <c r="Z44" s="4">
        <v>1</v>
      </c>
    </row>
    <row r="45" spans="3:26">
      <c r="C45" s="3"/>
      <c r="F45" s="12">
        <v>119</v>
      </c>
      <c r="G45" s="8" t="s">
        <v>325</v>
      </c>
      <c r="H45" s="7">
        <f t="shared" si="0"/>
        <v>16</v>
      </c>
      <c r="I45" s="3">
        <v>40659.490567129629</v>
      </c>
      <c r="J45" s="8" t="s">
        <v>971</v>
      </c>
      <c r="K45" s="4">
        <f t="shared" si="2"/>
        <v>1</v>
      </c>
      <c r="L45" s="4">
        <v>2</v>
      </c>
      <c r="M45" s="4">
        <v>1</v>
      </c>
      <c r="Q45">
        <v>16</v>
      </c>
      <c r="S45" s="8"/>
      <c r="T45" s="10"/>
      <c r="Y45" s="26">
        <v>19</v>
      </c>
      <c r="Z45" s="4">
        <v>31</v>
      </c>
    </row>
    <row r="46" spans="3:26">
      <c r="C46" s="3"/>
      <c r="F46" s="12">
        <v>226</v>
      </c>
      <c r="G46" s="8" t="s">
        <v>325</v>
      </c>
      <c r="H46" s="7">
        <f t="shared" si="0"/>
        <v>16</v>
      </c>
      <c r="I46" s="3">
        <v>40703.655185185184</v>
      </c>
      <c r="J46" s="8" t="s">
        <v>1345</v>
      </c>
      <c r="K46" s="4">
        <f t="shared" si="2"/>
        <v>2</v>
      </c>
      <c r="L46" s="4">
        <v>2</v>
      </c>
      <c r="M46" s="4">
        <v>2</v>
      </c>
      <c r="Q46">
        <v>16</v>
      </c>
      <c r="S46" s="8"/>
      <c r="T46" s="10"/>
      <c r="Y46" s="26">
        <v>20</v>
      </c>
      <c r="Z46" s="4">
        <v>82</v>
      </c>
    </row>
    <row r="47" spans="3:26">
      <c r="C47" s="3"/>
      <c r="F47" s="12">
        <v>234</v>
      </c>
      <c r="G47" s="8" t="s">
        <v>325</v>
      </c>
      <c r="H47" s="7">
        <f t="shared" si="0"/>
        <v>16</v>
      </c>
      <c r="I47" s="3">
        <v>40707.867256944446</v>
      </c>
      <c r="J47" s="8" t="s">
        <v>1512</v>
      </c>
      <c r="K47" s="4">
        <f t="shared" si="2"/>
        <v>3</v>
      </c>
      <c r="L47" s="4">
        <v>3</v>
      </c>
      <c r="M47" s="4">
        <v>3</v>
      </c>
      <c r="Q47">
        <v>16</v>
      </c>
      <c r="S47" s="8"/>
      <c r="T47" s="10"/>
      <c r="Y47" s="26">
        <v>21</v>
      </c>
      <c r="Z47" s="4">
        <v>5</v>
      </c>
    </row>
    <row r="48" spans="3:26">
      <c r="C48" s="3"/>
      <c r="F48" s="12">
        <v>251</v>
      </c>
      <c r="G48" s="8" t="s">
        <v>731</v>
      </c>
      <c r="H48" s="7">
        <f t="shared" si="0"/>
        <v>17</v>
      </c>
      <c r="I48" s="3">
        <v>40700.962083333332</v>
      </c>
      <c r="J48" s="8" t="s">
        <v>800</v>
      </c>
      <c r="K48" s="4">
        <f t="shared" si="2"/>
        <v>1</v>
      </c>
      <c r="L48" s="4">
        <v>2</v>
      </c>
      <c r="M48" s="4">
        <v>1</v>
      </c>
      <c r="Q48">
        <v>17</v>
      </c>
      <c r="S48" s="8"/>
      <c r="T48" s="10"/>
      <c r="Y48" s="26">
        <v>22</v>
      </c>
      <c r="Z48" s="4">
        <v>1</v>
      </c>
    </row>
    <row r="49" spans="3:28">
      <c r="C49" s="3"/>
      <c r="F49" s="12">
        <v>253</v>
      </c>
      <c r="G49" s="8" t="s">
        <v>731</v>
      </c>
      <c r="H49" s="7">
        <f t="shared" si="0"/>
        <v>17</v>
      </c>
      <c r="I49" s="3">
        <v>40714.548356481479</v>
      </c>
      <c r="J49" s="8" t="s">
        <v>732</v>
      </c>
      <c r="K49" s="4">
        <f t="shared" si="2"/>
        <v>2</v>
      </c>
      <c r="L49" s="4">
        <v>2</v>
      </c>
      <c r="M49" s="4">
        <v>2</v>
      </c>
      <c r="Q49">
        <v>17</v>
      </c>
      <c r="S49" s="8"/>
      <c r="T49" s="10"/>
      <c r="Y49" s="26">
        <v>23</v>
      </c>
      <c r="Z49" s="4">
        <v>3</v>
      </c>
    </row>
    <row r="50" spans="3:28">
      <c r="C50" s="3"/>
      <c r="F50" s="12">
        <v>233</v>
      </c>
      <c r="G50" s="8" t="s">
        <v>1499</v>
      </c>
      <c r="H50" s="7">
        <f t="shared" si="0"/>
        <v>18</v>
      </c>
      <c r="I50" s="3">
        <v>40707.935057870367</v>
      </c>
      <c r="J50" s="8" t="s">
        <v>1498</v>
      </c>
      <c r="K50" s="4">
        <f t="shared" si="2"/>
        <v>1</v>
      </c>
      <c r="L50" s="4">
        <v>2</v>
      </c>
      <c r="M50" s="4">
        <v>1</v>
      </c>
      <c r="Q50">
        <v>18</v>
      </c>
      <c r="S50" s="8"/>
      <c r="T50" s="10"/>
      <c r="Y50" s="26">
        <v>24</v>
      </c>
      <c r="Z50" s="4">
        <v>1</v>
      </c>
    </row>
    <row r="51" spans="3:28">
      <c r="C51" s="3"/>
      <c r="F51" s="12">
        <v>12</v>
      </c>
      <c r="G51" s="8" t="s">
        <v>336</v>
      </c>
      <c r="H51" s="7">
        <f t="shared" si="0"/>
        <v>19</v>
      </c>
      <c r="I51" s="3">
        <v>40616.559849537036</v>
      </c>
      <c r="J51" s="8" t="s">
        <v>741</v>
      </c>
      <c r="K51" s="4">
        <f t="shared" si="2"/>
        <v>1</v>
      </c>
      <c r="L51" s="4">
        <v>7</v>
      </c>
      <c r="M51" s="4">
        <v>1</v>
      </c>
      <c r="Q51">
        <v>19</v>
      </c>
      <c r="S51" s="8"/>
      <c r="T51" s="10"/>
      <c r="Y51" s="26">
        <v>25</v>
      </c>
      <c r="Z51" s="4">
        <v>7</v>
      </c>
      <c r="AB51" t="s">
        <v>1876</v>
      </c>
    </row>
    <row r="52" spans="3:28">
      <c r="C52" s="3"/>
      <c r="F52" s="12">
        <v>16</v>
      </c>
      <c r="G52" s="8" t="s">
        <v>336</v>
      </c>
      <c r="H52" s="7">
        <f t="shared" si="0"/>
        <v>19</v>
      </c>
      <c r="I52" s="3">
        <v>40616.756944444445</v>
      </c>
      <c r="J52" s="8" t="s">
        <v>934</v>
      </c>
      <c r="K52" s="4">
        <f t="shared" si="2"/>
        <v>2</v>
      </c>
      <c r="L52" s="4">
        <v>2</v>
      </c>
      <c r="M52" s="4">
        <v>2</v>
      </c>
      <c r="Q52">
        <v>19</v>
      </c>
      <c r="S52" s="8"/>
      <c r="T52" s="10"/>
      <c r="Y52" s="26">
        <v>26</v>
      </c>
      <c r="Z52" s="4">
        <v>5</v>
      </c>
      <c r="AB52">
        <f>Z68/Y67</f>
        <v>6.5609756097560972</v>
      </c>
    </row>
    <row r="53" spans="3:28">
      <c r="C53" s="3"/>
      <c r="F53" s="12">
        <v>24</v>
      </c>
      <c r="G53" s="8" t="s">
        <v>336</v>
      </c>
      <c r="H53" s="7">
        <f t="shared" si="0"/>
        <v>19</v>
      </c>
      <c r="I53" s="3">
        <v>40619.964745370373</v>
      </c>
      <c r="J53" s="8" t="s">
        <v>1319</v>
      </c>
      <c r="K53" s="4">
        <f t="shared" si="2"/>
        <v>3</v>
      </c>
      <c r="L53" s="4">
        <v>2</v>
      </c>
      <c r="M53" s="4">
        <v>3</v>
      </c>
      <c r="Q53">
        <v>19</v>
      </c>
      <c r="S53" s="8"/>
      <c r="T53" s="10"/>
      <c r="Y53" s="26">
        <v>27</v>
      </c>
      <c r="Z53" s="4">
        <v>2</v>
      </c>
    </row>
    <row r="54" spans="3:28">
      <c r="C54" s="3"/>
      <c r="F54" s="12">
        <v>28</v>
      </c>
      <c r="G54" s="8" t="s">
        <v>336</v>
      </c>
      <c r="H54" s="7">
        <f t="shared" si="0"/>
        <v>19</v>
      </c>
      <c r="I54" s="3">
        <v>40620.717986111114</v>
      </c>
      <c r="J54" s="8" t="s">
        <v>729</v>
      </c>
      <c r="K54" s="4">
        <f t="shared" si="2"/>
        <v>4</v>
      </c>
      <c r="L54" s="4">
        <v>2</v>
      </c>
      <c r="M54" s="4">
        <v>4</v>
      </c>
      <c r="Q54">
        <v>19</v>
      </c>
      <c r="S54" s="8"/>
      <c r="T54" s="10"/>
      <c r="Y54" s="26">
        <v>28</v>
      </c>
      <c r="Z54" s="4">
        <v>29</v>
      </c>
    </row>
    <row r="55" spans="3:28">
      <c r="C55" s="3"/>
      <c r="F55" s="12">
        <v>31</v>
      </c>
      <c r="G55" s="8" t="s">
        <v>336</v>
      </c>
      <c r="H55" s="7">
        <f t="shared" si="0"/>
        <v>19</v>
      </c>
      <c r="I55" s="3">
        <v>40620.929236111115</v>
      </c>
      <c r="J55" s="8" t="s">
        <v>511</v>
      </c>
      <c r="K55" s="4">
        <f t="shared" si="2"/>
        <v>5</v>
      </c>
      <c r="L55" s="4">
        <v>5</v>
      </c>
      <c r="M55" s="4">
        <v>5</v>
      </c>
      <c r="Q55">
        <v>19</v>
      </c>
      <c r="S55" s="8"/>
      <c r="T55" s="10"/>
      <c r="Y55" s="26">
        <v>29</v>
      </c>
      <c r="Z55" s="4">
        <v>3</v>
      </c>
    </row>
    <row r="56" spans="3:28">
      <c r="C56" s="3"/>
      <c r="D56" s="1"/>
      <c r="F56" s="12">
        <v>38</v>
      </c>
      <c r="G56" s="8" t="s">
        <v>336</v>
      </c>
      <c r="H56" s="7">
        <f t="shared" si="0"/>
        <v>19</v>
      </c>
      <c r="I56" s="3">
        <v>40626.98846064815</v>
      </c>
      <c r="J56" s="8" t="s">
        <v>512</v>
      </c>
      <c r="K56" s="4">
        <f t="shared" si="2"/>
        <v>6</v>
      </c>
      <c r="L56" s="4">
        <v>2</v>
      </c>
      <c r="M56" s="4">
        <v>6</v>
      </c>
      <c r="Q56">
        <v>19</v>
      </c>
      <c r="S56" s="8"/>
      <c r="T56" s="10"/>
      <c r="Y56" s="26">
        <v>30</v>
      </c>
      <c r="Z56" s="4">
        <v>1</v>
      </c>
    </row>
    <row r="57" spans="3:28">
      <c r="C57" s="3"/>
      <c r="F57" s="12">
        <v>39</v>
      </c>
      <c r="G57" s="8" t="s">
        <v>336</v>
      </c>
      <c r="H57" s="7">
        <f t="shared" si="0"/>
        <v>19</v>
      </c>
      <c r="I57" s="3">
        <v>40629.906400462962</v>
      </c>
      <c r="J57" s="8" t="s">
        <v>607</v>
      </c>
      <c r="K57" s="4">
        <f t="shared" si="2"/>
        <v>7</v>
      </c>
      <c r="L57" s="4">
        <v>10</v>
      </c>
      <c r="M57" s="4">
        <v>7</v>
      </c>
      <c r="Q57">
        <v>19</v>
      </c>
      <c r="S57" s="8"/>
      <c r="T57" s="10"/>
      <c r="Y57" s="26">
        <v>31</v>
      </c>
      <c r="Z57" s="4">
        <v>4</v>
      </c>
    </row>
    <row r="58" spans="3:28">
      <c r="C58" s="3"/>
      <c r="F58" s="12">
        <v>43</v>
      </c>
      <c r="G58" s="8" t="s">
        <v>336</v>
      </c>
      <c r="H58" s="7">
        <f t="shared" si="0"/>
        <v>19</v>
      </c>
      <c r="I58" s="3">
        <v>40630.592453703706</v>
      </c>
      <c r="J58" s="8" t="s">
        <v>1385</v>
      </c>
      <c r="K58" s="4">
        <f t="shared" si="2"/>
        <v>8</v>
      </c>
      <c r="L58" s="4">
        <v>10</v>
      </c>
      <c r="M58" s="4">
        <v>8</v>
      </c>
      <c r="Q58">
        <v>19</v>
      </c>
      <c r="S58" s="8"/>
      <c r="T58" s="10"/>
      <c r="Y58" s="26">
        <v>32</v>
      </c>
      <c r="Z58" s="4">
        <v>2</v>
      </c>
    </row>
    <row r="59" spans="3:28">
      <c r="C59" s="3"/>
      <c r="F59" s="12">
        <v>47</v>
      </c>
      <c r="G59" s="8" t="s">
        <v>336</v>
      </c>
      <c r="H59" s="7">
        <f t="shared" si="0"/>
        <v>19</v>
      </c>
      <c r="I59" s="3">
        <v>40631.432581018518</v>
      </c>
      <c r="J59" s="8" t="s">
        <v>1187</v>
      </c>
      <c r="K59" s="4">
        <f t="shared" si="2"/>
        <v>9</v>
      </c>
      <c r="L59" s="4">
        <v>4</v>
      </c>
      <c r="M59" s="4">
        <v>9</v>
      </c>
      <c r="Q59">
        <v>19</v>
      </c>
      <c r="S59" s="8"/>
      <c r="T59" s="10"/>
      <c r="Y59" s="26">
        <v>33</v>
      </c>
      <c r="Z59" s="4">
        <v>15</v>
      </c>
    </row>
    <row r="60" spans="3:28">
      <c r="C60" s="3"/>
      <c r="F60" s="12">
        <v>50</v>
      </c>
      <c r="G60" s="8" t="s">
        <v>336</v>
      </c>
      <c r="H60" s="7">
        <f t="shared" si="0"/>
        <v>19</v>
      </c>
      <c r="I60" s="3">
        <v>40632.423449074071</v>
      </c>
      <c r="J60" s="8" t="s">
        <v>571</v>
      </c>
      <c r="K60" s="4">
        <f t="shared" si="2"/>
        <v>10</v>
      </c>
      <c r="L60" s="4">
        <v>2</v>
      </c>
      <c r="M60" s="4">
        <v>10</v>
      </c>
      <c r="Q60">
        <v>19</v>
      </c>
      <c r="S60" s="8"/>
      <c r="T60" s="10"/>
      <c r="Y60" s="26">
        <v>34</v>
      </c>
      <c r="Z60" s="4">
        <v>2</v>
      </c>
    </row>
    <row r="61" spans="3:28">
      <c r="C61" s="3"/>
      <c r="F61" s="12">
        <v>61</v>
      </c>
      <c r="G61" s="8" t="s">
        <v>336</v>
      </c>
      <c r="H61" s="7">
        <f t="shared" si="0"/>
        <v>19</v>
      </c>
      <c r="I61" s="3">
        <v>40633.790567129632</v>
      </c>
      <c r="J61" s="8" t="s">
        <v>1333</v>
      </c>
      <c r="K61" s="4">
        <f t="shared" si="2"/>
        <v>11</v>
      </c>
      <c r="L61" s="4">
        <v>2</v>
      </c>
      <c r="M61" s="4">
        <v>11</v>
      </c>
      <c r="Q61">
        <v>19</v>
      </c>
      <c r="S61" s="8"/>
      <c r="T61" s="10"/>
      <c r="Y61" s="26">
        <v>35</v>
      </c>
      <c r="Z61" s="4">
        <v>1</v>
      </c>
    </row>
    <row r="62" spans="3:28">
      <c r="C62" s="3"/>
      <c r="F62" s="12">
        <v>64</v>
      </c>
      <c r="G62" s="8" t="s">
        <v>336</v>
      </c>
      <c r="H62" s="7">
        <f t="shared" si="0"/>
        <v>19</v>
      </c>
      <c r="I62" s="3">
        <v>40633.793113425927</v>
      </c>
      <c r="J62" s="8" t="s">
        <v>1156</v>
      </c>
      <c r="K62" s="4">
        <f t="shared" si="2"/>
        <v>12</v>
      </c>
      <c r="L62" s="4">
        <v>2</v>
      </c>
      <c r="M62" s="4">
        <v>12</v>
      </c>
      <c r="Q62">
        <v>19</v>
      </c>
      <c r="S62" s="8"/>
      <c r="T62" s="10"/>
      <c r="Y62" s="26">
        <v>36</v>
      </c>
      <c r="Z62" s="4">
        <v>9</v>
      </c>
    </row>
    <row r="63" spans="3:28">
      <c r="C63" s="3"/>
      <c r="F63" s="12">
        <v>68</v>
      </c>
      <c r="G63" s="8" t="s">
        <v>336</v>
      </c>
      <c r="H63" s="7">
        <f t="shared" si="0"/>
        <v>19</v>
      </c>
      <c r="I63" s="3">
        <v>40634.634675925925</v>
      </c>
      <c r="J63" s="8" t="s">
        <v>433</v>
      </c>
      <c r="K63" s="4">
        <f t="shared" si="2"/>
        <v>13</v>
      </c>
      <c r="L63" s="4">
        <v>2</v>
      </c>
      <c r="M63" s="4">
        <v>13</v>
      </c>
      <c r="Q63">
        <v>19</v>
      </c>
      <c r="S63" s="8"/>
      <c r="T63" s="10"/>
      <c r="Y63" s="26">
        <v>37</v>
      </c>
      <c r="Z63" s="4">
        <v>6</v>
      </c>
    </row>
    <row r="64" spans="3:28">
      <c r="C64" s="3"/>
      <c r="F64" s="12">
        <v>79</v>
      </c>
      <c r="G64" s="8" t="s">
        <v>336</v>
      </c>
      <c r="H64" s="7">
        <f t="shared" si="0"/>
        <v>19</v>
      </c>
      <c r="I64" s="3">
        <v>40648.841087962966</v>
      </c>
      <c r="J64" s="8" t="s">
        <v>1165</v>
      </c>
      <c r="K64" s="4">
        <f t="shared" si="2"/>
        <v>14</v>
      </c>
      <c r="L64" s="4">
        <v>2</v>
      </c>
      <c r="M64" s="4">
        <v>14</v>
      </c>
      <c r="Q64">
        <v>19</v>
      </c>
      <c r="S64" s="8"/>
      <c r="T64" s="10"/>
      <c r="Y64" s="26">
        <v>38</v>
      </c>
      <c r="Z64" s="4">
        <v>5</v>
      </c>
    </row>
    <row r="65" spans="3:26">
      <c r="C65" s="3"/>
      <c r="F65" s="12">
        <v>83</v>
      </c>
      <c r="G65" s="8" t="s">
        <v>336</v>
      </c>
      <c r="H65" s="7">
        <f t="shared" si="0"/>
        <v>19</v>
      </c>
      <c r="I65" s="3">
        <v>40648.935798611114</v>
      </c>
      <c r="J65" s="8" t="s">
        <v>1153</v>
      </c>
      <c r="K65" s="4">
        <f t="shared" si="2"/>
        <v>15</v>
      </c>
      <c r="L65" s="4">
        <v>2</v>
      </c>
      <c r="M65" s="4">
        <v>15</v>
      </c>
      <c r="Q65">
        <v>19</v>
      </c>
      <c r="S65" s="8"/>
      <c r="T65" s="10"/>
      <c r="Y65" s="26">
        <v>39</v>
      </c>
      <c r="Z65" s="4">
        <v>1</v>
      </c>
    </row>
    <row r="66" spans="3:26">
      <c r="C66" s="3"/>
      <c r="F66" s="12">
        <v>85</v>
      </c>
      <c r="G66" s="8" t="s">
        <v>336</v>
      </c>
      <c r="H66" s="7">
        <f t="shared" ref="H66:H129" si="3">LOOKUP(G66,$N$2:$N$42,$O$2:$O$42)</f>
        <v>19</v>
      </c>
      <c r="I66" s="3">
        <v>40648.95753472222</v>
      </c>
      <c r="J66" s="8" t="s">
        <v>538</v>
      </c>
      <c r="K66" s="4">
        <f t="shared" si="2"/>
        <v>16</v>
      </c>
      <c r="L66" s="4">
        <v>2</v>
      </c>
      <c r="M66" s="4">
        <v>16</v>
      </c>
      <c r="Q66">
        <v>19</v>
      </c>
      <c r="S66" s="8"/>
      <c r="T66" s="10"/>
      <c r="Y66" s="26">
        <v>40</v>
      </c>
      <c r="Z66" s="4">
        <v>3</v>
      </c>
    </row>
    <row r="67" spans="3:26">
      <c r="C67" s="3"/>
      <c r="F67" s="12">
        <v>86</v>
      </c>
      <c r="G67" s="8" t="s">
        <v>336</v>
      </c>
      <c r="H67" s="7">
        <f t="shared" si="3"/>
        <v>19</v>
      </c>
      <c r="I67" s="3">
        <v>40651.553437499999</v>
      </c>
      <c r="J67" s="8" t="s">
        <v>539</v>
      </c>
      <c r="K67" s="4">
        <f t="shared" si="2"/>
        <v>17</v>
      </c>
      <c r="L67" s="4">
        <v>2</v>
      </c>
      <c r="M67" s="4">
        <v>17</v>
      </c>
      <c r="Q67">
        <v>19</v>
      </c>
      <c r="S67" s="8"/>
      <c r="T67" s="10"/>
      <c r="Y67" s="26">
        <v>41</v>
      </c>
      <c r="Z67" s="4">
        <v>2</v>
      </c>
    </row>
    <row r="68" spans="3:26">
      <c r="C68" s="3"/>
      <c r="F68" s="12">
        <v>88</v>
      </c>
      <c r="G68" s="8" t="s">
        <v>336</v>
      </c>
      <c r="H68" s="7">
        <f t="shared" si="3"/>
        <v>19</v>
      </c>
      <c r="I68" s="3">
        <v>40651.559212962966</v>
      </c>
      <c r="J68" s="8" t="s">
        <v>1479</v>
      </c>
      <c r="K68" s="4">
        <f t="shared" si="2"/>
        <v>18</v>
      </c>
      <c r="L68" s="4">
        <v>2</v>
      </c>
      <c r="M68" s="4">
        <v>18</v>
      </c>
      <c r="Q68">
        <v>19</v>
      </c>
      <c r="S68" s="8"/>
      <c r="T68" s="10"/>
      <c r="Y68" s="26" t="s">
        <v>1871</v>
      </c>
      <c r="Z68" s="4">
        <v>269</v>
      </c>
    </row>
    <row r="69" spans="3:26">
      <c r="C69" s="3"/>
      <c r="F69" s="12">
        <v>92</v>
      </c>
      <c r="G69" s="8" t="s">
        <v>336</v>
      </c>
      <c r="H69" s="7">
        <f t="shared" si="3"/>
        <v>19</v>
      </c>
      <c r="I69" s="3">
        <v>40651.562523148146</v>
      </c>
      <c r="J69" s="8" t="s">
        <v>795</v>
      </c>
      <c r="K69" s="4">
        <f t="shared" si="2"/>
        <v>19</v>
      </c>
      <c r="L69" s="4">
        <v>2</v>
      </c>
      <c r="M69" s="4">
        <v>19</v>
      </c>
      <c r="Q69">
        <v>19</v>
      </c>
      <c r="S69" s="8"/>
      <c r="T69" s="10"/>
    </row>
    <row r="70" spans="3:26">
      <c r="C70" s="3"/>
      <c r="F70" s="12">
        <v>95</v>
      </c>
      <c r="G70" s="8" t="s">
        <v>336</v>
      </c>
      <c r="H70" s="7">
        <f t="shared" si="3"/>
        <v>19</v>
      </c>
      <c r="I70" s="3">
        <v>40651.918217592596</v>
      </c>
      <c r="J70" s="8" t="s">
        <v>1092</v>
      </c>
      <c r="K70" s="4">
        <f t="shared" si="2"/>
        <v>20</v>
      </c>
      <c r="L70" s="4">
        <v>2</v>
      </c>
      <c r="M70" s="4">
        <v>20</v>
      </c>
      <c r="Q70">
        <v>19</v>
      </c>
      <c r="S70" s="8"/>
      <c r="T70" s="10"/>
    </row>
    <row r="71" spans="3:26">
      <c r="C71" s="3"/>
      <c r="F71" s="12">
        <v>98</v>
      </c>
      <c r="G71" s="8" t="s">
        <v>336</v>
      </c>
      <c r="H71" s="7">
        <f t="shared" si="3"/>
        <v>19</v>
      </c>
      <c r="I71" s="3">
        <v>40652.485671296294</v>
      </c>
      <c r="J71" s="8" t="s">
        <v>755</v>
      </c>
      <c r="K71" s="4">
        <f t="shared" si="2"/>
        <v>21</v>
      </c>
      <c r="L71" s="4">
        <v>3</v>
      </c>
      <c r="M71" s="4">
        <v>21</v>
      </c>
      <c r="Q71">
        <v>19</v>
      </c>
      <c r="S71" s="8"/>
      <c r="T71" s="10"/>
    </row>
    <row r="72" spans="3:26">
      <c r="C72" s="3"/>
      <c r="F72" s="12">
        <v>104</v>
      </c>
      <c r="G72" s="8" t="s">
        <v>336</v>
      </c>
      <c r="H72" s="7">
        <f t="shared" si="3"/>
        <v>19</v>
      </c>
      <c r="I72" s="3">
        <v>40655.539456018516</v>
      </c>
      <c r="J72" s="8" t="s">
        <v>1060</v>
      </c>
      <c r="K72" s="4">
        <f t="shared" si="2"/>
        <v>22</v>
      </c>
      <c r="L72" s="4">
        <v>3</v>
      </c>
      <c r="M72" s="4">
        <v>22</v>
      </c>
      <c r="Q72">
        <v>19</v>
      </c>
      <c r="S72" s="8"/>
      <c r="T72" s="10"/>
    </row>
    <row r="73" spans="3:26">
      <c r="C73" s="3"/>
      <c r="F73" s="12">
        <v>149</v>
      </c>
      <c r="G73" s="8" t="s">
        <v>336</v>
      </c>
      <c r="H73" s="7">
        <f t="shared" si="3"/>
        <v>19</v>
      </c>
      <c r="I73" s="3">
        <v>40673.77412037037</v>
      </c>
      <c r="J73" s="8" t="s">
        <v>472</v>
      </c>
      <c r="K73" s="4">
        <f t="shared" si="2"/>
        <v>23</v>
      </c>
      <c r="L73" s="4">
        <v>6</v>
      </c>
      <c r="M73" s="4">
        <v>23</v>
      </c>
      <c r="Q73">
        <v>19</v>
      </c>
      <c r="S73" s="8"/>
      <c r="T73" s="10"/>
    </row>
    <row r="74" spans="3:26">
      <c r="C74" s="3"/>
      <c r="F74" s="12">
        <v>156</v>
      </c>
      <c r="G74" s="8" t="s">
        <v>336</v>
      </c>
      <c r="H74" s="7">
        <f t="shared" si="3"/>
        <v>19</v>
      </c>
      <c r="I74" s="3">
        <v>40679.414722222224</v>
      </c>
      <c r="J74" s="8" t="s">
        <v>1265</v>
      </c>
      <c r="K74" s="4">
        <f t="shared" si="2"/>
        <v>24</v>
      </c>
      <c r="L74" s="4">
        <v>2</v>
      </c>
      <c r="M74" s="4">
        <v>24</v>
      </c>
      <c r="Q74">
        <v>19</v>
      </c>
      <c r="S74" s="8"/>
      <c r="T74" s="10"/>
    </row>
    <row r="75" spans="3:26">
      <c r="C75" s="3"/>
      <c r="F75" s="12">
        <v>158</v>
      </c>
      <c r="G75" s="8" t="s">
        <v>336</v>
      </c>
      <c r="H75" s="7">
        <f t="shared" si="3"/>
        <v>19</v>
      </c>
      <c r="I75" s="3">
        <v>40679.624884259261</v>
      </c>
      <c r="J75" s="8" t="s">
        <v>928</v>
      </c>
      <c r="K75" s="4">
        <f t="shared" si="2"/>
        <v>25</v>
      </c>
      <c r="L75" s="4">
        <v>3</v>
      </c>
      <c r="M75" s="4">
        <v>25</v>
      </c>
      <c r="Q75">
        <v>19</v>
      </c>
      <c r="S75" s="8"/>
      <c r="T75" s="10"/>
    </row>
    <row r="76" spans="3:26">
      <c r="C76" s="3"/>
      <c r="F76" s="12">
        <v>208</v>
      </c>
      <c r="G76" s="8" t="s">
        <v>336</v>
      </c>
      <c r="H76" s="7">
        <f t="shared" si="3"/>
        <v>19</v>
      </c>
      <c r="I76" s="3">
        <v>40698.475648148145</v>
      </c>
      <c r="J76" s="8" t="s">
        <v>892</v>
      </c>
      <c r="K76" s="4">
        <f t="shared" si="2"/>
        <v>26</v>
      </c>
      <c r="L76" s="4">
        <v>10</v>
      </c>
      <c r="M76" s="4">
        <v>26</v>
      </c>
      <c r="Q76">
        <v>19</v>
      </c>
      <c r="S76" s="8"/>
      <c r="T76" s="10"/>
    </row>
    <row r="77" spans="3:26">
      <c r="C77" s="3"/>
      <c r="F77" s="12">
        <v>220</v>
      </c>
      <c r="G77" s="8" t="s">
        <v>336</v>
      </c>
      <c r="H77" s="7">
        <f t="shared" si="3"/>
        <v>19</v>
      </c>
      <c r="I77" s="3">
        <v>40701.623217592591</v>
      </c>
      <c r="J77" s="8" t="s">
        <v>1262</v>
      </c>
      <c r="K77" s="4">
        <f t="shared" si="2"/>
        <v>27</v>
      </c>
      <c r="L77" s="4">
        <v>4</v>
      </c>
      <c r="M77" s="4">
        <v>27</v>
      </c>
      <c r="Q77">
        <v>19</v>
      </c>
      <c r="S77" s="8"/>
      <c r="T77" s="10"/>
    </row>
    <row r="78" spans="3:26">
      <c r="C78" s="3"/>
      <c r="F78" s="12">
        <v>243</v>
      </c>
      <c r="G78" s="8" t="s">
        <v>336</v>
      </c>
      <c r="H78" s="7">
        <f t="shared" si="3"/>
        <v>19</v>
      </c>
      <c r="I78" s="3">
        <v>40711.575810185182</v>
      </c>
      <c r="J78" s="8" t="s">
        <v>1192</v>
      </c>
      <c r="K78" s="4">
        <f t="shared" si="2"/>
        <v>28</v>
      </c>
      <c r="L78" s="4">
        <v>3</v>
      </c>
      <c r="M78" s="4">
        <v>28</v>
      </c>
      <c r="Q78">
        <v>19</v>
      </c>
      <c r="S78" s="8"/>
      <c r="T78" s="10"/>
    </row>
    <row r="79" spans="3:26">
      <c r="C79" s="3"/>
      <c r="F79" s="12">
        <v>245</v>
      </c>
      <c r="G79" s="8" t="s">
        <v>336</v>
      </c>
      <c r="H79" s="7">
        <f t="shared" si="3"/>
        <v>19</v>
      </c>
      <c r="I79" s="3">
        <v>40711.911956018521</v>
      </c>
      <c r="J79" s="8" t="s">
        <v>1005</v>
      </c>
      <c r="K79" s="4">
        <f t="shared" si="2"/>
        <v>29</v>
      </c>
      <c r="L79" s="4">
        <v>13</v>
      </c>
      <c r="M79" s="4">
        <v>29</v>
      </c>
      <c r="Q79">
        <v>19</v>
      </c>
      <c r="S79" s="8"/>
      <c r="T79" s="10"/>
    </row>
    <row r="80" spans="3:26">
      <c r="C80" s="3"/>
      <c r="F80" s="12">
        <v>247</v>
      </c>
      <c r="G80" s="8" t="s">
        <v>336</v>
      </c>
      <c r="H80" s="7">
        <f t="shared" si="3"/>
        <v>19</v>
      </c>
      <c r="I80" s="3">
        <v>40711.972175925926</v>
      </c>
      <c r="J80" s="8" t="s">
        <v>1314</v>
      </c>
      <c r="K80" s="4">
        <f t="shared" si="2"/>
        <v>30</v>
      </c>
      <c r="L80" s="4">
        <v>2</v>
      </c>
      <c r="M80" s="4">
        <v>30</v>
      </c>
      <c r="Q80">
        <v>19</v>
      </c>
      <c r="S80" s="8"/>
      <c r="T80" s="10"/>
    </row>
    <row r="81" spans="3:20">
      <c r="C81" s="3"/>
      <c r="F81" s="12">
        <v>249</v>
      </c>
      <c r="G81" s="8" t="s">
        <v>336</v>
      </c>
      <c r="H81" s="7">
        <f t="shared" si="3"/>
        <v>19</v>
      </c>
      <c r="I81" s="3">
        <v>40712.394745370373</v>
      </c>
      <c r="J81" s="8" t="s">
        <v>810</v>
      </c>
      <c r="K81" s="4">
        <f t="shared" si="2"/>
        <v>31</v>
      </c>
      <c r="L81" s="4">
        <v>23</v>
      </c>
      <c r="M81" s="4">
        <v>31</v>
      </c>
      <c r="Q81">
        <v>19</v>
      </c>
      <c r="S81" s="8"/>
      <c r="T81" s="10"/>
    </row>
    <row r="82" spans="3:20">
      <c r="C82" s="3"/>
      <c r="D82" s="1"/>
      <c r="F82" s="12">
        <v>1</v>
      </c>
      <c r="G82" s="8" t="s">
        <v>288</v>
      </c>
      <c r="H82" s="7">
        <f t="shared" si="3"/>
        <v>20</v>
      </c>
      <c r="I82" s="3">
        <v>40608.93891203704</v>
      </c>
      <c r="J82" s="8" t="s">
        <v>925</v>
      </c>
      <c r="K82" s="4">
        <f t="shared" si="2"/>
        <v>1</v>
      </c>
      <c r="L82" s="4">
        <v>2</v>
      </c>
      <c r="M82" s="4">
        <v>1</v>
      </c>
      <c r="Q82">
        <v>20</v>
      </c>
      <c r="S82" s="8"/>
      <c r="T82" s="10"/>
    </row>
    <row r="83" spans="3:20">
      <c r="C83" s="3"/>
      <c r="F83" s="12">
        <v>5</v>
      </c>
      <c r="G83" s="8" t="s">
        <v>288</v>
      </c>
      <c r="H83" s="7">
        <f t="shared" si="3"/>
        <v>20</v>
      </c>
      <c r="I83" s="3">
        <v>40612.777071759258</v>
      </c>
      <c r="J83" s="8" t="s">
        <v>567</v>
      </c>
      <c r="K83" s="4">
        <f t="shared" si="2"/>
        <v>2</v>
      </c>
      <c r="L83" s="4">
        <v>2</v>
      </c>
      <c r="M83" s="4">
        <v>2</v>
      </c>
      <c r="Q83">
        <v>20</v>
      </c>
      <c r="S83" s="8"/>
      <c r="T83" s="10"/>
    </row>
    <row r="84" spans="3:20">
      <c r="C84" s="3"/>
      <c r="F84" s="12">
        <v>8</v>
      </c>
      <c r="G84" s="8" t="s">
        <v>288</v>
      </c>
      <c r="H84" s="7">
        <f t="shared" si="3"/>
        <v>20</v>
      </c>
      <c r="I84" s="3">
        <v>40615.874016203707</v>
      </c>
      <c r="J84" s="8">
        <v>3245687</v>
      </c>
      <c r="K84" s="4">
        <f t="shared" si="2"/>
        <v>3</v>
      </c>
      <c r="L84" s="4">
        <v>2</v>
      </c>
      <c r="M84" s="4">
        <v>3</v>
      </c>
      <c r="Q84">
        <v>20</v>
      </c>
      <c r="S84" s="8"/>
      <c r="T84" s="10"/>
    </row>
    <row r="85" spans="3:20">
      <c r="C85" s="3"/>
      <c r="F85" s="12">
        <v>11</v>
      </c>
      <c r="G85" s="8" t="s">
        <v>288</v>
      </c>
      <c r="H85" s="7">
        <f t="shared" si="3"/>
        <v>20</v>
      </c>
      <c r="I85" s="3">
        <v>40616.480254629627</v>
      </c>
      <c r="J85" s="8" t="s">
        <v>740</v>
      </c>
      <c r="K85" s="4">
        <f t="shared" si="2"/>
        <v>4</v>
      </c>
      <c r="L85" s="4">
        <v>2</v>
      </c>
      <c r="M85" s="4">
        <v>4</v>
      </c>
      <c r="Q85">
        <v>20</v>
      </c>
      <c r="S85" s="8"/>
      <c r="T85" s="10"/>
    </row>
    <row r="86" spans="3:20">
      <c r="C86" s="3"/>
      <c r="F86" s="12">
        <v>15</v>
      </c>
      <c r="G86" s="8" t="s">
        <v>288</v>
      </c>
      <c r="H86" s="7">
        <f t="shared" si="3"/>
        <v>20</v>
      </c>
      <c r="I86" s="3">
        <v>40616.564398148148</v>
      </c>
      <c r="J86" s="8" t="s">
        <v>933</v>
      </c>
      <c r="K86" s="4">
        <f t="shared" si="2"/>
        <v>5</v>
      </c>
      <c r="L86" s="4">
        <v>7</v>
      </c>
      <c r="M86" s="4">
        <v>5</v>
      </c>
      <c r="Q86">
        <v>20</v>
      </c>
      <c r="S86" s="8"/>
    </row>
    <row r="87" spans="3:20">
      <c r="C87" s="3"/>
      <c r="F87" s="12">
        <v>17</v>
      </c>
      <c r="G87" s="8" t="s">
        <v>288</v>
      </c>
      <c r="H87" s="7">
        <f t="shared" si="3"/>
        <v>20</v>
      </c>
      <c r="I87" s="3">
        <v>40616.478668981479</v>
      </c>
      <c r="J87" s="8" t="s">
        <v>797</v>
      </c>
      <c r="K87" s="4">
        <f t="shared" si="2"/>
        <v>6</v>
      </c>
      <c r="L87" s="4">
        <v>2</v>
      </c>
      <c r="M87" s="4">
        <v>6</v>
      </c>
      <c r="Q87">
        <v>20</v>
      </c>
      <c r="S87" s="8"/>
      <c r="T87" s="10"/>
    </row>
    <row r="88" spans="3:20">
      <c r="C88" s="3"/>
      <c r="F88" s="12">
        <v>19</v>
      </c>
      <c r="G88" s="8" t="s">
        <v>288</v>
      </c>
      <c r="H88" s="7">
        <f t="shared" si="3"/>
        <v>20</v>
      </c>
      <c r="I88" s="3">
        <v>40616.880787037036</v>
      </c>
      <c r="J88" s="8" t="s">
        <v>761</v>
      </c>
      <c r="K88" s="4">
        <f t="shared" si="2"/>
        <v>7</v>
      </c>
      <c r="L88" s="4">
        <v>2</v>
      </c>
      <c r="M88" s="4">
        <v>7</v>
      </c>
      <c r="Q88">
        <v>20</v>
      </c>
      <c r="S88" s="8"/>
      <c r="T88" s="10"/>
    </row>
    <row r="89" spans="3:20">
      <c r="C89" s="3"/>
      <c r="F89" s="12">
        <v>23</v>
      </c>
      <c r="G89" s="8" t="s">
        <v>288</v>
      </c>
      <c r="H89" s="7">
        <f t="shared" si="3"/>
        <v>20</v>
      </c>
      <c r="I89" s="3">
        <v>40619.56454861111</v>
      </c>
      <c r="J89" s="8" t="s">
        <v>1318</v>
      </c>
      <c r="K89" s="4">
        <f t="shared" si="2"/>
        <v>8</v>
      </c>
      <c r="L89" s="4">
        <v>3</v>
      </c>
      <c r="M89" s="4">
        <v>8</v>
      </c>
      <c r="Q89">
        <v>20</v>
      </c>
      <c r="S89" s="8"/>
      <c r="T89" s="10"/>
    </row>
    <row r="90" spans="3:20">
      <c r="C90" s="3"/>
      <c r="F90" s="12">
        <v>27</v>
      </c>
      <c r="G90" s="8" t="s">
        <v>288</v>
      </c>
      <c r="H90" s="7">
        <f t="shared" si="3"/>
        <v>20</v>
      </c>
      <c r="I90" s="3">
        <v>40620.635277777779</v>
      </c>
      <c r="J90" s="8" t="s">
        <v>679</v>
      </c>
      <c r="K90" s="4">
        <f t="shared" si="2"/>
        <v>9</v>
      </c>
      <c r="L90" s="4">
        <v>2</v>
      </c>
      <c r="M90" s="4">
        <v>9</v>
      </c>
      <c r="Q90">
        <v>20</v>
      </c>
      <c r="S90" s="8"/>
      <c r="T90" s="10"/>
    </row>
    <row r="91" spans="3:20">
      <c r="C91" s="3"/>
      <c r="F91" s="12">
        <v>30</v>
      </c>
      <c r="G91" s="8" t="s">
        <v>288</v>
      </c>
      <c r="H91" s="7">
        <f t="shared" si="3"/>
        <v>20</v>
      </c>
      <c r="I91" s="3">
        <v>40620.840648148151</v>
      </c>
      <c r="J91" s="8">
        <v>2066157</v>
      </c>
      <c r="K91" s="4">
        <f t="shared" si="2"/>
        <v>10</v>
      </c>
      <c r="L91" s="4">
        <v>2</v>
      </c>
      <c r="M91" s="4">
        <v>10</v>
      </c>
      <c r="Q91">
        <v>20</v>
      </c>
      <c r="S91" s="8"/>
      <c r="T91" s="10"/>
    </row>
    <row r="92" spans="3:20">
      <c r="C92" s="3"/>
      <c r="F92" s="12">
        <v>32</v>
      </c>
      <c r="G92" s="8" t="s">
        <v>288</v>
      </c>
      <c r="H92" s="7">
        <f t="shared" si="3"/>
        <v>20</v>
      </c>
      <c r="I92" s="3">
        <v>40620.894687499997</v>
      </c>
      <c r="J92" s="8" t="s">
        <v>634</v>
      </c>
      <c r="K92" s="4">
        <f t="shared" ref="K92:K155" si="4">IF(Q92&gt;Q91,1,K91+1)</f>
        <v>11</v>
      </c>
      <c r="L92" s="4">
        <v>6</v>
      </c>
      <c r="M92" s="4">
        <v>11</v>
      </c>
      <c r="Q92">
        <v>20</v>
      </c>
      <c r="S92" s="8"/>
      <c r="T92" s="10"/>
    </row>
    <row r="93" spans="3:20">
      <c r="C93" s="3"/>
      <c r="F93" s="12">
        <v>34</v>
      </c>
      <c r="G93" s="8" t="s">
        <v>288</v>
      </c>
      <c r="H93" s="7">
        <f t="shared" si="3"/>
        <v>20</v>
      </c>
      <c r="I93" s="3">
        <v>40622.984131944446</v>
      </c>
      <c r="J93" s="8" t="s">
        <v>1135</v>
      </c>
      <c r="K93" s="4">
        <f t="shared" si="4"/>
        <v>12</v>
      </c>
      <c r="L93" s="4">
        <v>2</v>
      </c>
      <c r="M93" s="4">
        <v>12</v>
      </c>
      <c r="Q93">
        <v>20</v>
      </c>
      <c r="S93" s="8"/>
      <c r="T93" s="10"/>
    </row>
    <row r="94" spans="3:20">
      <c r="C94" s="3"/>
      <c r="F94" s="12">
        <v>40</v>
      </c>
      <c r="G94" s="8" t="s">
        <v>288</v>
      </c>
      <c r="H94" s="7">
        <f t="shared" si="3"/>
        <v>20</v>
      </c>
      <c r="I94" s="3">
        <v>40629.880613425928</v>
      </c>
      <c r="J94" s="8" t="s">
        <v>1310</v>
      </c>
      <c r="K94" s="4">
        <f t="shared" si="4"/>
        <v>13</v>
      </c>
      <c r="L94" s="4">
        <v>2</v>
      </c>
      <c r="M94" s="4">
        <v>13</v>
      </c>
      <c r="Q94">
        <v>20</v>
      </c>
      <c r="S94" s="8"/>
      <c r="T94" s="10"/>
    </row>
    <row r="95" spans="3:20">
      <c r="C95" s="3"/>
      <c r="F95" s="12">
        <v>42</v>
      </c>
      <c r="G95" s="8" t="s">
        <v>288</v>
      </c>
      <c r="H95" s="7">
        <f t="shared" si="3"/>
        <v>20</v>
      </c>
      <c r="I95" s="3">
        <v>40628.903831018521</v>
      </c>
      <c r="J95" s="8" t="s">
        <v>1384</v>
      </c>
      <c r="K95" s="4">
        <f t="shared" si="4"/>
        <v>14</v>
      </c>
      <c r="L95" s="4">
        <v>2</v>
      </c>
      <c r="M95" s="4">
        <v>14</v>
      </c>
      <c r="Q95">
        <v>20</v>
      </c>
      <c r="S95" s="8"/>
      <c r="T95" s="10"/>
    </row>
    <row r="96" spans="3:20">
      <c r="C96" s="3"/>
      <c r="F96" s="12">
        <v>44</v>
      </c>
      <c r="G96" s="8" t="s">
        <v>288</v>
      </c>
      <c r="H96" s="7">
        <f t="shared" si="3"/>
        <v>20</v>
      </c>
      <c r="I96" s="3">
        <v>40630.592569444445</v>
      </c>
      <c r="J96" s="8" t="s">
        <v>670</v>
      </c>
      <c r="K96" s="4">
        <f t="shared" si="4"/>
        <v>15</v>
      </c>
      <c r="L96" s="4">
        <v>10</v>
      </c>
      <c r="M96" s="4">
        <v>15</v>
      </c>
      <c r="Q96">
        <v>20</v>
      </c>
      <c r="S96" s="8"/>
      <c r="T96" s="10"/>
    </row>
    <row r="97" spans="3:20">
      <c r="C97" s="3"/>
      <c r="F97" s="12">
        <v>46</v>
      </c>
      <c r="G97" s="8" t="s">
        <v>288</v>
      </c>
      <c r="H97" s="7">
        <f t="shared" si="3"/>
        <v>20</v>
      </c>
      <c r="I97" s="3">
        <v>40631.375208333331</v>
      </c>
      <c r="J97" s="8" t="s">
        <v>1186</v>
      </c>
      <c r="K97" s="4">
        <f t="shared" si="4"/>
        <v>16</v>
      </c>
      <c r="L97" s="4">
        <v>2</v>
      </c>
      <c r="M97" s="4">
        <v>16</v>
      </c>
      <c r="Q97">
        <v>20</v>
      </c>
      <c r="S97" s="8"/>
      <c r="T97" s="10"/>
    </row>
    <row r="98" spans="3:20">
      <c r="C98" s="3"/>
      <c r="F98" s="12">
        <v>49</v>
      </c>
      <c r="G98" s="8" t="s">
        <v>288</v>
      </c>
      <c r="H98" s="7">
        <f t="shared" si="3"/>
        <v>20</v>
      </c>
      <c r="I98" s="3">
        <v>40632.41678240741</v>
      </c>
      <c r="J98" s="8" t="s">
        <v>570</v>
      </c>
      <c r="K98" s="4">
        <f t="shared" si="4"/>
        <v>17</v>
      </c>
      <c r="L98" s="4">
        <v>7</v>
      </c>
      <c r="M98" s="4">
        <v>17</v>
      </c>
      <c r="Q98">
        <v>20</v>
      </c>
      <c r="S98" s="8"/>
      <c r="T98" s="10"/>
    </row>
    <row r="99" spans="3:20">
      <c r="C99" s="3"/>
      <c r="F99" s="12">
        <v>52</v>
      </c>
      <c r="G99" s="8" t="s">
        <v>288</v>
      </c>
      <c r="H99" s="7">
        <f t="shared" si="3"/>
        <v>20</v>
      </c>
      <c r="I99" s="3">
        <v>40632.606296296297</v>
      </c>
      <c r="J99" s="8" t="s">
        <v>477</v>
      </c>
      <c r="K99" s="4">
        <f t="shared" si="4"/>
        <v>18</v>
      </c>
      <c r="L99" s="4">
        <v>3</v>
      </c>
      <c r="M99" s="4">
        <v>18</v>
      </c>
      <c r="Q99">
        <v>20</v>
      </c>
      <c r="S99" s="8"/>
      <c r="T99" s="10"/>
    </row>
    <row r="100" spans="3:20">
      <c r="C100" s="3"/>
      <c r="F100" s="12">
        <v>56</v>
      </c>
      <c r="G100" s="8" t="s">
        <v>288</v>
      </c>
      <c r="H100" s="7">
        <f t="shared" si="3"/>
        <v>20</v>
      </c>
      <c r="I100" s="3">
        <v>40632.423449074071</v>
      </c>
      <c r="J100" s="8" t="s">
        <v>676</v>
      </c>
      <c r="K100" s="4">
        <f t="shared" si="4"/>
        <v>19</v>
      </c>
      <c r="L100" s="4">
        <v>2</v>
      </c>
      <c r="M100" s="4">
        <v>19</v>
      </c>
      <c r="Q100">
        <v>20</v>
      </c>
      <c r="S100" s="8"/>
      <c r="T100" s="10"/>
    </row>
    <row r="101" spans="3:20">
      <c r="C101" s="3"/>
      <c r="F101" s="12">
        <v>58</v>
      </c>
      <c r="G101" s="8" t="s">
        <v>288</v>
      </c>
      <c r="H101" s="7">
        <f t="shared" si="3"/>
        <v>20</v>
      </c>
      <c r="I101" s="3">
        <v>40632.901886574073</v>
      </c>
      <c r="J101" s="8" t="s">
        <v>665</v>
      </c>
      <c r="K101" s="4">
        <f t="shared" si="4"/>
        <v>20</v>
      </c>
      <c r="L101" s="4">
        <v>2</v>
      </c>
      <c r="M101" s="4">
        <v>20</v>
      </c>
      <c r="Q101">
        <v>20</v>
      </c>
      <c r="S101" s="8"/>
      <c r="T101" s="10"/>
    </row>
    <row r="102" spans="3:20">
      <c r="C102" s="3"/>
      <c r="F102" s="12">
        <v>62</v>
      </c>
      <c r="G102" s="8" t="s">
        <v>288</v>
      </c>
      <c r="H102" s="7">
        <f t="shared" si="3"/>
        <v>20</v>
      </c>
      <c r="I102" s="3">
        <v>40633.791666666664</v>
      </c>
      <c r="J102" s="8" t="s">
        <v>586</v>
      </c>
      <c r="K102" s="4">
        <f t="shared" si="4"/>
        <v>21</v>
      </c>
      <c r="L102" s="4">
        <v>2</v>
      </c>
      <c r="M102" s="4">
        <v>21</v>
      </c>
      <c r="Q102">
        <v>20</v>
      </c>
      <c r="S102" s="8"/>
      <c r="T102" s="10"/>
    </row>
    <row r="103" spans="3:20">
      <c r="C103" s="3"/>
      <c r="F103" s="12">
        <v>63</v>
      </c>
      <c r="G103" s="8" t="s">
        <v>288</v>
      </c>
      <c r="H103" s="7">
        <f t="shared" si="3"/>
        <v>20</v>
      </c>
      <c r="I103" s="3">
        <v>40633.763344907406</v>
      </c>
      <c r="J103" s="8" t="s">
        <v>1155</v>
      </c>
      <c r="K103" s="4">
        <f t="shared" si="4"/>
        <v>22</v>
      </c>
      <c r="L103" s="4">
        <v>3</v>
      </c>
      <c r="M103" s="4">
        <v>22</v>
      </c>
      <c r="Q103">
        <v>20</v>
      </c>
      <c r="S103" s="8"/>
      <c r="T103" s="10"/>
    </row>
    <row r="104" spans="3:20">
      <c r="C104" s="3"/>
      <c r="F104" s="12">
        <v>67</v>
      </c>
      <c r="G104" s="8" t="s">
        <v>288</v>
      </c>
      <c r="H104" s="7">
        <f t="shared" si="3"/>
        <v>20</v>
      </c>
      <c r="I104" s="3">
        <v>40634.62972222222</v>
      </c>
      <c r="J104" s="8" t="s">
        <v>579</v>
      </c>
      <c r="K104" s="4">
        <f t="shared" si="4"/>
        <v>23</v>
      </c>
      <c r="L104" s="4">
        <v>2</v>
      </c>
      <c r="M104" s="4">
        <v>23</v>
      </c>
      <c r="Q104">
        <v>20</v>
      </c>
      <c r="S104" s="8"/>
      <c r="T104" s="10"/>
    </row>
    <row r="105" spans="3:20">
      <c r="C105" s="3"/>
      <c r="F105" s="12">
        <v>69</v>
      </c>
      <c r="G105" s="8" t="s">
        <v>288</v>
      </c>
      <c r="H105" s="7">
        <f t="shared" si="3"/>
        <v>20</v>
      </c>
      <c r="I105" s="3">
        <v>40634.601226851853</v>
      </c>
      <c r="J105" s="8" t="s">
        <v>1108</v>
      </c>
      <c r="K105" s="4">
        <f t="shared" si="4"/>
        <v>24</v>
      </c>
      <c r="L105" s="4">
        <v>6</v>
      </c>
      <c r="M105" s="4">
        <v>24</v>
      </c>
      <c r="Q105">
        <v>20</v>
      </c>
      <c r="S105" s="8"/>
      <c r="T105" s="10"/>
    </row>
    <row r="106" spans="3:20">
      <c r="C106" s="3"/>
      <c r="F106" s="12">
        <v>73</v>
      </c>
      <c r="G106" s="8" t="s">
        <v>288</v>
      </c>
      <c r="H106" s="7">
        <f t="shared" si="3"/>
        <v>20</v>
      </c>
      <c r="I106" s="3">
        <v>40637.410833333335</v>
      </c>
      <c r="J106" s="8" t="s">
        <v>1002</v>
      </c>
      <c r="K106" s="4">
        <f t="shared" si="4"/>
        <v>25</v>
      </c>
      <c r="L106" s="4">
        <v>2</v>
      </c>
      <c r="M106" s="4">
        <v>25</v>
      </c>
      <c r="Q106">
        <v>20</v>
      </c>
      <c r="S106" s="8"/>
      <c r="T106" s="10"/>
    </row>
    <row r="107" spans="3:20">
      <c r="C107" s="3"/>
      <c r="F107" s="12">
        <v>75</v>
      </c>
      <c r="G107" s="8" t="s">
        <v>288</v>
      </c>
      <c r="H107" s="7">
        <f t="shared" si="3"/>
        <v>20</v>
      </c>
      <c r="I107" s="3">
        <v>40644.391863425924</v>
      </c>
      <c r="J107" s="8" t="s">
        <v>1180</v>
      </c>
      <c r="K107" s="4">
        <f t="shared" si="4"/>
        <v>26</v>
      </c>
      <c r="L107" s="4">
        <v>2</v>
      </c>
      <c r="M107" s="4">
        <v>26</v>
      </c>
      <c r="Q107">
        <v>20</v>
      </c>
      <c r="S107" s="8"/>
      <c r="T107" s="10"/>
    </row>
    <row r="108" spans="3:20">
      <c r="C108" s="3"/>
      <c r="F108" s="12">
        <v>77</v>
      </c>
      <c r="G108" s="8" t="s">
        <v>288</v>
      </c>
      <c r="H108" s="7">
        <f t="shared" si="3"/>
        <v>20</v>
      </c>
      <c r="I108" s="3">
        <v>40646.385740740741</v>
      </c>
      <c r="J108" s="8" t="s">
        <v>1044</v>
      </c>
      <c r="K108" s="4">
        <f t="shared" si="4"/>
        <v>27</v>
      </c>
      <c r="L108" s="4">
        <v>5</v>
      </c>
      <c r="M108" s="4">
        <v>27</v>
      </c>
      <c r="Q108">
        <v>20</v>
      </c>
      <c r="S108" s="8"/>
      <c r="T108" s="10"/>
    </row>
    <row r="109" spans="3:20">
      <c r="C109" s="3"/>
      <c r="F109" s="12">
        <v>78</v>
      </c>
      <c r="G109" s="8" t="s">
        <v>288</v>
      </c>
      <c r="H109" s="7">
        <f t="shared" si="3"/>
        <v>20</v>
      </c>
      <c r="I109" s="3">
        <v>40648.731712962966</v>
      </c>
      <c r="J109" s="8" t="s">
        <v>1164</v>
      </c>
      <c r="K109" s="4">
        <f t="shared" si="4"/>
        <v>28</v>
      </c>
      <c r="L109" s="4">
        <v>2</v>
      </c>
      <c r="M109" s="4">
        <v>28</v>
      </c>
      <c r="Q109">
        <v>20</v>
      </c>
      <c r="S109" s="8"/>
      <c r="T109" s="10"/>
    </row>
    <row r="110" spans="3:20">
      <c r="C110" s="3"/>
      <c r="F110" s="12">
        <v>80</v>
      </c>
      <c r="G110" s="8" t="s">
        <v>288</v>
      </c>
      <c r="H110" s="7">
        <f t="shared" si="3"/>
        <v>20</v>
      </c>
      <c r="I110" s="3">
        <v>40648.621666666666</v>
      </c>
      <c r="J110" s="8" t="s">
        <v>1132</v>
      </c>
      <c r="K110" s="4">
        <f t="shared" si="4"/>
        <v>29</v>
      </c>
      <c r="L110" s="4">
        <v>4</v>
      </c>
      <c r="M110" s="4">
        <v>29</v>
      </c>
      <c r="Q110">
        <v>20</v>
      </c>
      <c r="S110" s="8"/>
      <c r="T110" s="10"/>
    </row>
    <row r="111" spans="3:20">
      <c r="C111" s="3"/>
      <c r="F111" s="12">
        <v>82</v>
      </c>
      <c r="G111" s="8" t="s">
        <v>288</v>
      </c>
      <c r="H111" s="7">
        <f t="shared" si="3"/>
        <v>20</v>
      </c>
      <c r="I111" s="3">
        <v>40648.902824074074</v>
      </c>
      <c r="J111" s="8" t="s">
        <v>1152</v>
      </c>
      <c r="K111" s="4">
        <f t="shared" si="4"/>
        <v>30</v>
      </c>
      <c r="L111" s="4">
        <v>10</v>
      </c>
      <c r="M111" s="4">
        <v>30</v>
      </c>
      <c r="Q111">
        <v>20</v>
      </c>
      <c r="S111" s="8"/>
      <c r="T111" s="10"/>
    </row>
    <row r="112" spans="3:20">
      <c r="C112" s="3"/>
      <c r="F112" s="12">
        <v>84</v>
      </c>
      <c r="G112" s="8" t="s">
        <v>288</v>
      </c>
      <c r="H112" s="7">
        <f t="shared" si="3"/>
        <v>20</v>
      </c>
      <c r="I112" s="3">
        <v>40648.955590277779</v>
      </c>
      <c r="J112" s="8" t="s">
        <v>1062</v>
      </c>
      <c r="K112" s="4">
        <f t="shared" si="4"/>
        <v>31</v>
      </c>
      <c r="L112" s="4">
        <v>2</v>
      </c>
      <c r="M112" s="4">
        <v>31</v>
      </c>
      <c r="Q112">
        <v>20</v>
      </c>
      <c r="S112" s="8"/>
      <c r="T112" s="10"/>
    </row>
    <row r="113" spans="3:20">
      <c r="C113" s="3"/>
      <c r="F113" s="12">
        <v>87</v>
      </c>
      <c r="G113" s="8" t="s">
        <v>288</v>
      </c>
      <c r="H113" s="7">
        <f t="shared" si="3"/>
        <v>20</v>
      </c>
      <c r="I113" s="3">
        <v>40651.556504629632</v>
      </c>
      <c r="J113" s="8" t="s">
        <v>1478</v>
      </c>
      <c r="K113" s="4">
        <f t="shared" si="4"/>
        <v>32</v>
      </c>
      <c r="L113" s="4">
        <v>9</v>
      </c>
      <c r="M113" s="4">
        <v>32</v>
      </c>
      <c r="Q113">
        <v>20</v>
      </c>
      <c r="S113" s="8"/>
      <c r="T113" s="10"/>
    </row>
    <row r="114" spans="3:20">
      <c r="C114" s="3"/>
      <c r="F114" s="12">
        <v>90</v>
      </c>
      <c r="G114" s="8" t="s">
        <v>288</v>
      </c>
      <c r="H114" s="7">
        <f t="shared" si="3"/>
        <v>20</v>
      </c>
      <c r="I114" s="3">
        <v>40651.561539351853</v>
      </c>
      <c r="J114" s="8" t="s">
        <v>1025</v>
      </c>
      <c r="K114" s="4">
        <f t="shared" si="4"/>
        <v>33</v>
      </c>
      <c r="L114" s="4">
        <v>10</v>
      </c>
      <c r="M114" s="4">
        <v>33</v>
      </c>
      <c r="Q114">
        <v>20</v>
      </c>
      <c r="S114" s="8"/>
      <c r="T114" s="10"/>
    </row>
    <row r="115" spans="3:20">
      <c r="C115" s="3"/>
      <c r="F115" s="12">
        <v>91</v>
      </c>
      <c r="G115" s="8" t="s">
        <v>288</v>
      </c>
      <c r="H115" s="7">
        <f t="shared" si="3"/>
        <v>20</v>
      </c>
      <c r="I115" s="3">
        <v>40651.562025462961</v>
      </c>
      <c r="J115" s="8" t="s">
        <v>794</v>
      </c>
      <c r="K115" s="4">
        <f t="shared" si="4"/>
        <v>34</v>
      </c>
      <c r="L115" s="4">
        <v>10</v>
      </c>
      <c r="M115" s="4">
        <v>34</v>
      </c>
      <c r="Q115">
        <v>20</v>
      </c>
      <c r="S115" s="8"/>
      <c r="T115" s="10"/>
    </row>
    <row r="116" spans="3:20">
      <c r="C116" s="3"/>
      <c r="F116" s="12">
        <v>93</v>
      </c>
      <c r="G116" s="8" t="s">
        <v>288</v>
      </c>
      <c r="H116" s="7">
        <f t="shared" si="3"/>
        <v>20</v>
      </c>
      <c r="I116" s="3">
        <v>40651.558622685188</v>
      </c>
      <c r="J116" s="8" t="s">
        <v>595</v>
      </c>
      <c r="K116" s="4">
        <f t="shared" si="4"/>
        <v>35</v>
      </c>
      <c r="L116" s="4">
        <v>2</v>
      </c>
      <c r="M116" s="4">
        <v>35</v>
      </c>
      <c r="Q116">
        <v>20</v>
      </c>
      <c r="S116" s="8"/>
      <c r="T116" s="10"/>
    </row>
    <row r="117" spans="3:20">
      <c r="C117" s="3"/>
      <c r="F117" s="12">
        <v>97</v>
      </c>
      <c r="G117" s="8" t="s">
        <v>288</v>
      </c>
      <c r="H117" s="7">
        <f t="shared" si="3"/>
        <v>20</v>
      </c>
      <c r="I117" s="3">
        <v>40652.437719907408</v>
      </c>
      <c r="J117" s="8" t="s">
        <v>754</v>
      </c>
      <c r="K117" s="4">
        <f t="shared" si="4"/>
        <v>36</v>
      </c>
      <c r="L117" s="4">
        <v>2</v>
      </c>
      <c r="M117" s="4">
        <v>36</v>
      </c>
      <c r="Q117">
        <v>20</v>
      </c>
      <c r="S117" s="8"/>
      <c r="T117" s="10"/>
    </row>
    <row r="118" spans="3:20">
      <c r="C118" s="3"/>
      <c r="F118" s="12">
        <v>102</v>
      </c>
      <c r="G118" s="8" t="s">
        <v>288</v>
      </c>
      <c r="H118" s="7">
        <f t="shared" si="3"/>
        <v>20</v>
      </c>
      <c r="I118" s="3">
        <v>40654.639826388891</v>
      </c>
      <c r="J118" s="8" t="s">
        <v>1496</v>
      </c>
      <c r="K118" s="4">
        <f t="shared" si="4"/>
        <v>37</v>
      </c>
      <c r="L118" s="4">
        <v>2</v>
      </c>
      <c r="M118" s="4">
        <v>37</v>
      </c>
      <c r="Q118">
        <v>20</v>
      </c>
      <c r="S118" s="8"/>
      <c r="T118" s="10"/>
    </row>
    <row r="119" spans="3:20">
      <c r="C119" s="3"/>
      <c r="F119" s="12">
        <v>103</v>
      </c>
      <c r="G119" s="8" t="s">
        <v>288</v>
      </c>
      <c r="H119" s="7">
        <f t="shared" si="3"/>
        <v>20</v>
      </c>
      <c r="I119" s="3">
        <v>40655.459537037037</v>
      </c>
      <c r="J119" s="8" t="s">
        <v>1059</v>
      </c>
      <c r="K119" s="4">
        <f t="shared" si="4"/>
        <v>38</v>
      </c>
      <c r="L119" s="4">
        <v>3</v>
      </c>
      <c r="M119" s="4">
        <v>38</v>
      </c>
      <c r="Q119">
        <v>20</v>
      </c>
      <c r="S119" s="8"/>
      <c r="T119" s="10"/>
    </row>
    <row r="120" spans="3:20">
      <c r="C120" s="3"/>
      <c r="F120" s="12">
        <v>105</v>
      </c>
      <c r="G120" s="8" t="s">
        <v>288</v>
      </c>
      <c r="H120" s="7">
        <f t="shared" si="3"/>
        <v>20</v>
      </c>
      <c r="I120" s="3">
        <v>40654.878101851849</v>
      </c>
      <c r="J120" s="8" t="s">
        <v>1105</v>
      </c>
      <c r="K120" s="4">
        <f t="shared" si="4"/>
        <v>39</v>
      </c>
      <c r="L120" s="4">
        <v>2</v>
      </c>
      <c r="M120" s="4">
        <v>39</v>
      </c>
      <c r="Q120">
        <v>20</v>
      </c>
      <c r="S120" s="8"/>
      <c r="T120" s="10"/>
    </row>
    <row r="121" spans="3:20">
      <c r="C121" s="3"/>
      <c r="F121" s="12">
        <v>108</v>
      </c>
      <c r="G121" s="8" t="s">
        <v>288</v>
      </c>
      <c r="H121" s="7">
        <f t="shared" si="3"/>
        <v>20</v>
      </c>
      <c r="I121" s="3">
        <v>40658.514502314814</v>
      </c>
      <c r="J121" s="8" t="s">
        <v>855</v>
      </c>
      <c r="K121" s="4">
        <f t="shared" si="4"/>
        <v>40</v>
      </c>
      <c r="L121" s="4">
        <v>2</v>
      </c>
      <c r="M121" s="4">
        <v>40</v>
      </c>
      <c r="Q121">
        <v>20</v>
      </c>
      <c r="S121" s="8"/>
      <c r="T121" s="10"/>
    </row>
    <row r="122" spans="3:20">
      <c r="C122" s="3"/>
      <c r="F122" s="12">
        <v>109</v>
      </c>
      <c r="G122" s="8" t="s">
        <v>288</v>
      </c>
      <c r="H122" s="7">
        <f t="shared" si="3"/>
        <v>20</v>
      </c>
      <c r="I122" s="3">
        <v>40658.560115740744</v>
      </c>
      <c r="J122" s="8" t="s">
        <v>1472</v>
      </c>
      <c r="K122" s="4">
        <f t="shared" si="4"/>
        <v>41</v>
      </c>
      <c r="L122" s="4">
        <v>10</v>
      </c>
      <c r="M122" s="4">
        <v>41</v>
      </c>
      <c r="Q122">
        <v>20</v>
      </c>
      <c r="S122" s="8"/>
      <c r="T122" s="10"/>
    </row>
    <row r="123" spans="3:20">
      <c r="C123" s="3"/>
      <c r="F123" s="12">
        <v>111</v>
      </c>
      <c r="G123" s="8" t="s">
        <v>288</v>
      </c>
      <c r="H123" s="7">
        <f t="shared" si="3"/>
        <v>20</v>
      </c>
      <c r="I123" s="3">
        <v>40659.734965277778</v>
      </c>
      <c r="J123" s="8" t="s">
        <v>1054</v>
      </c>
      <c r="K123" s="4">
        <f t="shared" si="4"/>
        <v>42</v>
      </c>
      <c r="L123" s="4">
        <v>10</v>
      </c>
      <c r="M123" s="4">
        <v>42</v>
      </c>
      <c r="Q123">
        <v>20</v>
      </c>
      <c r="S123" s="8"/>
      <c r="T123" s="10"/>
    </row>
    <row r="124" spans="3:20">
      <c r="C124" s="3"/>
      <c r="F124" s="12">
        <v>113</v>
      </c>
      <c r="G124" s="8" t="s">
        <v>288</v>
      </c>
      <c r="H124" s="7">
        <f t="shared" si="3"/>
        <v>20</v>
      </c>
      <c r="I124" s="3">
        <v>40661.711574074077</v>
      </c>
      <c r="J124" s="8" t="s">
        <v>486</v>
      </c>
      <c r="K124" s="4">
        <f t="shared" si="4"/>
        <v>43</v>
      </c>
      <c r="L124" s="4">
        <v>3</v>
      </c>
      <c r="M124" s="4">
        <v>43</v>
      </c>
      <c r="Q124">
        <v>20</v>
      </c>
      <c r="S124" s="8"/>
      <c r="T124" s="10"/>
    </row>
    <row r="125" spans="3:20">
      <c r="C125" s="3"/>
      <c r="F125" s="12">
        <v>124</v>
      </c>
      <c r="G125" s="8" t="s">
        <v>288</v>
      </c>
      <c r="H125" s="7">
        <f t="shared" si="3"/>
        <v>20</v>
      </c>
      <c r="I125" s="3">
        <v>40664.63554398148</v>
      </c>
      <c r="J125" s="8" t="s">
        <v>1290</v>
      </c>
      <c r="K125" s="4">
        <f t="shared" si="4"/>
        <v>44</v>
      </c>
      <c r="L125" s="4">
        <v>2</v>
      </c>
      <c r="M125" s="4">
        <v>44</v>
      </c>
      <c r="Q125">
        <v>20</v>
      </c>
      <c r="S125" s="8"/>
      <c r="T125" s="10"/>
    </row>
    <row r="126" spans="3:20">
      <c r="C126" s="3"/>
      <c r="F126" s="12">
        <v>126</v>
      </c>
      <c r="G126" s="8" t="s">
        <v>288</v>
      </c>
      <c r="H126" s="7">
        <f t="shared" si="3"/>
        <v>20</v>
      </c>
      <c r="I126" s="3">
        <v>40664.679166666669</v>
      </c>
      <c r="J126" s="8">
        <v>7149903</v>
      </c>
      <c r="K126" s="4">
        <f t="shared" si="4"/>
        <v>45</v>
      </c>
      <c r="L126" s="4">
        <v>2</v>
      </c>
      <c r="M126" s="4">
        <v>45</v>
      </c>
      <c r="Q126">
        <v>20</v>
      </c>
      <c r="S126" s="8"/>
      <c r="T126" s="10"/>
    </row>
    <row r="127" spans="3:20">
      <c r="C127" s="3"/>
      <c r="F127" s="12">
        <v>128</v>
      </c>
      <c r="G127" s="8" t="s">
        <v>288</v>
      </c>
      <c r="H127" s="7">
        <f t="shared" si="3"/>
        <v>20</v>
      </c>
      <c r="I127" s="3">
        <v>40664.537835648145</v>
      </c>
      <c r="J127" s="8" t="s">
        <v>952</v>
      </c>
      <c r="K127" s="4">
        <f t="shared" si="4"/>
        <v>46</v>
      </c>
      <c r="L127" s="4">
        <v>3</v>
      </c>
      <c r="M127" s="4">
        <v>46</v>
      </c>
      <c r="Q127">
        <v>20</v>
      </c>
      <c r="S127" s="8"/>
      <c r="T127" s="10"/>
    </row>
    <row r="128" spans="3:20">
      <c r="C128" s="3"/>
      <c r="F128" s="12">
        <v>134</v>
      </c>
      <c r="G128" s="8" t="s">
        <v>288</v>
      </c>
      <c r="H128" s="7">
        <f t="shared" si="3"/>
        <v>20</v>
      </c>
      <c r="I128" s="3">
        <v>40667.482488425929</v>
      </c>
      <c r="J128" s="8" t="s">
        <v>1381</v>
      </c>
      <c r="K128" s="4">
        <f t="shared" si="4"/>
        <v>47</v>
      </c>
      <c r="L128" s="4">
        <v>2</v>
      </c>
      <c r="M128" s="4">
        <v>47</v>
      </c>
      <c r="Q128">
        <v>20</v>
      </c>
      <c r="S128" s="8"/>
      <c r="T128" s="10"/>
    </row>
    <row r="129" spans="3:20">
      <c r="C129" s="3"/>
      <c r="F129" s="12">
        <v>136</v>
      </c>
      <c r="G129" s="8" t="s">
        <v>288</v>
      </c>
      <c r="H129" s="7">
        <f t="shared" si="3"/>
        <v>20</v>
      </c>
      <c r="I129" s="3">
        <v>40645.58189814815</v>
      </c>
      <c r="J129" s="8" t="s">
        <v>1366</v>
      </c>
      <c r="K129" s="4">
        <f t="shared" si="4"/>
        <v>48</v>
      </c>
      <c r="L129" s="4">
        <v>10</v>
      </c>
      <c r="M129" s="4">
        <v>48</v>
      </c>
      <c r="Q129">
        <v>20</v>
      </c>
      <c r="S129" s="8"/>
      <c r="T129" s="10"/>
    </row>
    <row r="130" spans="3:20">
      <c r="C130" s="3"/>
      <c r="F130" s="12">
        <v>142</v>
      </c>
      <c r="G130" s="8" t="s">
        <v>288</v>
      </c>
      <c r="H130" s="7">
        <f t="shared" ref="H130:H193" si="5">LOOKUP(G130,$N$2:$N$42,$O$2:$O$42)</f>
        <v>20</v>
      </c>
      <c r="I130" s="3">
        <v>40672.400185185186</v>
      </c>
      <c r="J130" s="8" t="s">
        <v>1417</v>
      </c>
      <c r="K130" s="4">
        <f t="shared" si="4"/>
        <v>49</v>
      </c>
      <c r="L130" s="4">
        <v>2</v>
      </c>
      <c r="M130" s="4">
        <v>49</v>
      </c>
      <c r="Q130">
        <v>20</v>
      </c>
      <c r="S130" s="8"/>
      <c r="T130" s="10"/>
    </row>
    <row r="131" spans="3:20">
      <c r="C131" s="3"/>
      <c r="F131" s="12">
        <v>145</v>
      </c>
      <c r="G131" s="8" t="s">
        <v>288</v>
      </c>
      <c r="H131" s="7">
        <f t="shared" si="5"/>
        <v>20</v>
      </c>
      <c r="I131" s="3">
        <v>40673.445381944446</v>
      </c>
      <c r="J131" s="8" t="s">
        <v>674</v>
      </c>
      <c r="K131" s="4">
        <f t="shared" si="4"/>
        <v>50</v>
      </c>
      <c r="L131" s="4">
        <v>2</v>
      </c>
      <c r="M131" s="4">
        <v>50</v>
      </c>
      <c r="Q131">
        <v>20</v>
      </c>
      <c r="S131" s="8"/>
      <c r="T131" s="10"/>
    </row>
    <row r="132" spans="3:20">
      <c r="C132" s="3"/>
      <c r="F132" s="12">
        <v>148</v>
      </c>
      <c r="G132" s="8" t="s">
        <v>288</v>
      </c>
      <c r="H132" s="7">
        <f t="shared" si="5"/>
        <v>20</v>
      </c>
      <c r="I132" s="3">
        <v>40621.917812500003</v>
      </c>
      <c r="J132" s="8" t="s">
        <v>471</v>
      </c>
      <c r="K132" s="4">
        <f t="shared" si="4"/>
        <v>51</v>
      </c>
      <c r="L132" s="4">
        <v>2</v>
      </c>
      <c r="M132" s="4">
        <v>51</v>
      </c>
      <c r="Q132">
        <v>20</v>
      </c>
      <c r="S132" s="8"/>
      <c r="T132" s="10"/>
    </row>
    <row r="133" spans="3:20">
      <c r="C133" s="3"/>
      <c r="F133" s="12">
        <v>150</v>
      </c>
      <c r="G133" s="8" t="s">
        <v>288</v>
      </c>
      <c r="H133" s="7">
        <f t="shared" si="5"/>
        <v>20</v>
      </c>
      <c r="I133" s="3">
        <v>40674.728252314817</v>
      </c>
      <c r="J133" s="8" t="s">
        <v>1120</v>
      </c>
      <c r="K133" s="4">
        <f t="shared" si="4"/>
        <v>52</v>
      </c>
      <c r="L133" s="4">
        <v>2</v>
      </c>
      <c r="M133" s="4">
        <v>52</v>
      </c>
      <c r="Q133">
        <v>20</v>
      </c>
      <c r="S133" s="8"/>
      <c r="T133" s="10"/>
    </row>
    <row r="134" spans="3:20">
      <c r="C134" s="3"/>
      <c r="F134" s="12">
        <v>153</v>
      </c>
      <c r="G134" s="8" t="s">
        <v>288</v>
      </c>
      <c r="H134" s="7">
        <f t="shared" si="5"/>
        <v>20</v>
      </c>
      <c r="I134" s="3">
        <v>40676.600868055553</v>
      </c>
      <c r="J134" s="8" t="s">
        <v>1875</v>
      </c>
      <c r="K134" s="4">
        <f t="shared" si="4"/>
        <v>53</v>
      </c>
      <c r="L134" s="4">
        <v>2</v>
      </c>
      <c r="M134" s="4">
        <v>53</v>
      </c>
      <c r="Q134">
        <v>20</v>
      </c>
      <c r="S134" s="8"/>
      <c r="T134" s="10"/>
    </row>
    <row r="135" spans="3:20">
      <c r="C135" s="3"/>
      <c r="F135" s="12">
        <v>155</v>
      </c>
      <c r="G135" s="8" t="s">
        <v>288</v>
      </c>
      <c r="H135" s="7">
        <f t="shared" si="5"/>
        <v>20</v>
      </c>
      <c r="I135" s="3">
        <v>40676.601805555554</v>
      </c>
      <c r="J135" s="8" t="s">
        <v>1264</v>
      </c>
      <c r="K135" s="4">
        <f t="shared" si="4"/>
        <v>54</v>
      </c>
      <c r="L135" s="4">
        <v>2</v>
      </c>
      <c r="M135" s="4">
        <v>54</v>
      </c>
      <c r="Q135">
        <v>20</v>
      </c>
      <c r="S135" s="8"/>
      <c r="T135" s="10"/>
    </row>
    <row r="136" spans="3:20">
      <c r="C136" s="3"/>
      <c r="F136" s="12">
        <v>157</v>
      </c>
      <c r="G136" s="8" t="s">
        <v>288</v>
      </c>
      <c r="H136" s="7">
        <f t="shared" si="5"/>
        <v>20</v>
      </c>
      <c r="I136" s="3">
        <v>40679.608263888891</v>
      </c>
      <c r="J136" s="8">
        <v>2741433</v>
      </c>
      <c r="K136" s="4">
        <f t="shared" si="4"/>
        <v>55</v>
      </c>
      <c r="L136" s="4">
        <v>10</v>
      </c>
      <c r="M136" s="4">
        <v>55</v>
      </c>
      <c r="Q136">
        <v>20</v>
      </c>
      <c r="S136" s="8"/>
      <c r="T136" s="10"/>
    </row>
    <row r="137" spans="3:20">
      <c r="C137" s="3"/>
      <c r="F137" s="12">
        <v>160</v>
      </c>
      <c r="G137" s="8" t="s">
        <v>288</v>
      </c>
      <c r="H137" s="7">
        <f t="shared" si="5"/>
        <v>20</v>
      </c>
      <c r="I137" s="3">
        <v>40679.646574074075</v>
      </c>
      <c r="J137" s="8" t="s">
        <v>1435</v>
      </c>
      <c r="K137" s="4">
        <f t="shared" si="4"/>
        <v>56</v>
      </c>
      <c r="L137" s="4">
        <v>3</v>
      </c>
      <c r="M137" s="4">
        <v>56</v>
      </c>
      <c r="Q137">
        <v>20</v>
      </c>
      <c r="S137" s="8"/>
      <c r="T137" s="10"/>
    </row>
    <row r="138" spans="3:20">
      <c r="C138" s="3"/>
      <c r="F138" s="12">
        <v>172</v>
      </c>
      <c r="G138" s="8" t="s">
        <v>288</v>
      </c>
      <c r="H138" s="7">
        <f t="shared" si="5"/>
        <v>20</v>
      </c>
      <c r="I138" s="3">
        <v>40685.921053240738</v>
      </c>
      <c r="J138" s="8" t="s">
        <v>994</v>
      </c>
      <c r="K138" s="4">
        <f t="shared" si="4"/>
        <v>57</v>
      </c>
      <c r="L138" s="4">
        <v>2</v>
      </c>
      <c r="M138" s="4">
        <v>57</v>
      </c>
      <c r="Q138">
        <v>20</v>
      </c>
      <c r="S138" s="8"/>
      <c r="T138" s="10"/>
    </row>
    <row r="139" spans="3:20">
      <c r="C139" s="3"/>
      <c r="F139" s="12">
        <v>175</v>
      </c>
      <c r="G139" s="8" t="s">
        <v>288</v>
      </c>
      <c r="H139" s="7">
        <f t="shared" si="5"/>
        <v>20</v>
      </c>
      <c r="I139" s="3">
        <v>40686.084872685184</v>
      </c>
      <c r="J139" s="8" t="s">
        <v>1207</v>
      </c>
      <c r="K139" s="4">
        <f t="shared" si="4"/>
        <v>58</v>
      </c>
      <c r="L139" s="4">
        <v>10</v>
      </c>
      <c r="M139" s="4">
        <v>58</v>
      </c>
      <c r="Q139">
        <v>20</v>
      </c>
      <c r="S139" s="8"/>
      <c r="T139" s="10"/>
    </row>
    <row r="140" spans="3:20">
      <c r="C140" s="3"/>
      <c r="F140" s="12">
        <v>202</v>
      </c>
      <c r="G140" s="8" t="s">
        <v>288</v>
      </c>
      <c r="H140" s="7">
        <f t="shared" si="5"/>
        <v>20</v>
      </c>
      <c r="I140" s="3">
        <v>40697.648645833331</v>
      </c>
      <c r="J140" s="8" t="s">
        <v>1014</v>
      </c>
      <c r="K140" s="4">
        <f t="shared" si="4"/>
        <v>59</v>
      </c>
      <c r="L140" s="4">
        <v>3</v>
      </c>
      <c r="M140" s="4">
        <v>59</v>
      </c>
      <c r="Q140">
        <v>20</v>
      </c>
      <c r="S140" s="8"/>
      <c r="T140" s="10"/>
    </row>
    <row r="141" spans="3:20">
      <c r="C141" s="3"/>
      <c r="F141" s="12">
        <v>203</v>
      </c>
      <c r="G141" s="8" t="s">
        <v>288</v>
      </c>
      <c r="H141" s="7">
        <f t="shared" si="5"/>
        <v>20</v>
      </c>
      <c r="I141" s="3">
        <v>40676.575289351851</v>
      </c>
      <c r="J141" s="8" t="s">
        <v>1086</v>
      </c>
      <c r="K141" s="4">
        <f t="shared" si="4"/>
        <v>60</v>
      </c>
      <c r="L141" s="4">
        <v>3</v>
      </c>
      <c r="M141" s="4">
        <v>60</v>
      </c>
      <c r="Q141">
        <v>20</v>
      </c>
      <c r="S141" s="8"/>
      <c r="T141" s="10"/>
    </row>
    <row r="142" spans="3:20">
      <c r="C142" s="3"/>
      <c r="F142" s="12">
        <v>206</v>
      </c>
      <c r="G142" s="8" t="s">
        <v>288</v>
      </c>
      <c r="H142" s="7">
        <f t="shared" si="5"/>
        <v>20</v>
      </c>
      <c r="I142" s="3">
        <v>40698.44259259259</v>
      </c>
      <c r="J142" s="8" t="s">
        <v>898</v>
      </c>
      <c r="K142" s="4">
        <f t="shared" si="4"/>
        <v>61</v>
      </c>
      <c r="L142" s="4">
        <v>2</v>
      </c>
      <c r="M142" s="4">
        <v>61</v>
      </c>
      <c r="Q142">
        <v>20</v>
      </c>
      <c r="S142" s="8"/>
      <c r="T142" s="10"/>
    </row>
    <row r="143" spans="3:20">
      <c r="C143" s="3"/>
      <c r="F143" s="12">
        <v>207</v>
      </c>
      <c r="G143" s="8" t="s">
        <v>288</v>
      </c>
      <c r="H143" s="7">
        <f t="shared" si="5"/>
        <v>20</v>
      </c>
      <c r="I143" s="3">
        <v>40697.485046296293</v>
      </c>
      <c r="J143" s="8" t="s">
        <v>891</v>
      </c>
      <c r="K143" s="4">
        <f t="shared" si="4"/>
        <v>62</v>
      </c>
      <c r="L143" s="4">
        <v>7</v>
      </c>
      <c r="M143" s="4">
        <v>62</v>
      </c>
      <c r="Q143">
        <v>20</v>
      </c>
      <c r="S143" s="8"/>
      <c r="T143" s="10"/>
    </row>
    <row r="144" spans="3:20">
      <c r="C144" s="3"/>
      <c r="D144" s="1"/>
      <c r="F144" s="12">
        <v>210</v>
      </c>
      <c r="G144" s="8" t="s">
        <v>288</v>
      </c>
      <c r="H144" s="7">
        <f t="shared" si="5"/>
        <v>20</v>
      </c>
      <c r="I144" s="3">
        <v>40699.677581018521</v>
      </c>
      <c r="J144" s="8" t="s">
        <v>889</v>
      </c>
      <c r="K144" s="4">
        <f t="shared" si="4"/>
        <v>63</v>
      </c>
      <c r="L144" s="4">
        <v>4</v>
      </c>
      <c r="M144" s="4">
        <v>63</v>
      </c>
      <c r="Q144">
        <v>20</v>
      </c>
      <c r="S144" s="8"/>
      <c r="T144" s="10"/>
    </row>
    <row r="145" spans="3:20">
      <c r="C145" s="3"/>
      <c r="F145" s="12">
        <v>213</v>
      </c>
      <c r="G145" s="8" t="s">
        <v>288</v>
      </c>
      <c r="H145" s="7">
        <f t="shared" si="5"/>
        <v>20</v>
      </c>
      <c r="I145" s="3">
        <v>40700.679039351853</v>
      </c>
      <c r="J145" s="8" t="s">
        <v>394</v>
      </c>
      <c r="K145" s="4">
        <f t="shared" si="4"/>
        <v>64</v>
      </c>
      <c r="L145" s="4">
        <v>3</v>
      </c>
      <c r="M145" s="4">
        <v>64</v>
      </c>
      <c r="Q145">
        <v>20</v>
      </c>
      <c r="S145" s="8"/>
      <c r="T145" s="10"/>
    </row>
    <row r="146" spans="3:20">
      <c r="C146" s="3"/>
      <c r="F146" s="12">
        <v>215</v>
      </c>
      <c r="G146" s="8" t="s">
        <v>288</v>
      </c>
      <c r="H146" s="7">
        <f t="shared" si="5"/>
        <v>20</v>
      </c>
      <c r="I146" s="3">
        <v>40700.768090277779</v>
      </c>
      <c r="J146" s="8" t="s">
        <v>548</v>
      </c>
      <c r="K146" s="4">
        <f t="shared" si="4"/>
        <v>65</v>
      </c>
      <c r="L146" s="4">
        <v>2</v>
      </c>
      <c r="M146" s="4">
        <v>65</v>
      </c>
      <c r="Q146">
        <v>20</v>
      </c>
      <c r="S146" s="8"/>
      <c r="T146" s="10"/>
    </row>
    <row r="147" spans="3:20">
      <c r="C147" s="3"/>
      <c r="F147" s="12">
        <v>218</v>
      </c>
      <c r="G147" s="8" t="s">
        <v>288</v>
      </c>
      <c r="H147" s="7">
        <f t="shared" si="5"/>
        <v>20</v>
      </c>
      <c r="I147" s="3">
        <v>40701.436886574076</v>
      </c>
      <c r="J147" s="8" t="s">
        <v>425</v>
      </c>
      <c r="K147" s="4">
        <f t="shared" si="4"/>
        <v>66</v>
      </c>
      <c r="L147" s="4">
        <v>2</v>
      </c>
      <c r="M147" s="4">
        <v>66</v>
      </c>
      <c r="Q147">
        <v>20</v>
      </c>
      <c r="S147" s="8"/>
      <c r="T147" s="10"/>
    </row>
    <row r="148" spans="3:20">
      <c r="C148" s="3"/>
      <c r="F148" s="12">
        <v>219</v>
      </c>
      <c r="G148" s="8" t="s">
        <v>288</v>
      </c>
      <c r="H148" s="7">
        <f t="shared" si="5"/>
        <v>20</v>
      </c>
      <c r="I148" s="3">
        <v>40701.602673611109</v>
      </c>
      <c r="J148" s="8">
        <v>8291720</v>
      </c>
      <c r="K148" s="4">
        <f t="shared" si="4"/>
        <v>67</v>
      </c>
      <c r="L148" s="4">
        <v>2</v>
      </c>
      <c r="M148" s="4">
        <v>67</v>
      </c>
      <c r="Q148">
        <v>20</v>
      </c>
      <c r="S148" s="8"/>
      <c r="T148" s="10"/>
    </row>
    <row r="149" spans="3:20">
      <c r="C149" s="3"/>
      <c r="F149" s="12">
        <v>227</v>
      </c>
      <c r="G149" s="8" t="s">
        <v>288</v>
      </c>
      <c r="H149" s="7">
        <f t="shared" si="5"/>
        <v>20</v>
      </c>
      <c r="I149" s="3">
        <v>40706.922083333331</v>
      </c>
      <c r="J149" s="8" t="s">
        <v>1346</v>
      </c>
      <c r="K149" s="4">
        <f t="shared" si="4"/>
        <v>68</v>
      </c>
      <c r="L149" s="4">
        <v>2</v>
      </c>
      <c r="M149" s="4">
        <v>68</v>
      </c>
      <c r="Q149">
        <v>20</v>
      </c>
      <c r="S149" s="8"/>
      <c r="T149" s="10"/>
    </row>
    <row r="150" spans="3:20">
      <c r="C150" s="3"/>
      <c r="F150" s="12">
        <v>228</v>
      </c>
      <c r="G150" s="8" t="s">
        <v>288</v>
      </c>
      <c r="H150" s="7">
        <f t="shared" si="5"/>
        <v>20</v>
      </c>
      <c r="I150" s="3">
        <v>40705.777488425927</v>
      </c>
      <c r="J150" s="8" t="s">
        <v>948</v>
      </c>
      <c r="K150" s="4">
        <f t="shared" si="4"/>
        <v>69</v>
      </c>
      <c r="L150" s="4">
        <v>6</v>
      </c>
      <c r="M150" s="4">
        <v>69</v>
      </c>
      <c r="Q150">
        <v>20</v>
      </c>
      <c r="S150" s="8"/>
      <c r="T150" s="10"/>
    </row>
    <row r="151" spans="3:20">
      <c r="C151" s="3"/>
      <c r="F151" s="12">
        <v>231</v>
      </c>
      <c r="G151" s="8" t="s">
        <v>288</v>
      </c>
      <c r="H151" s="7">
        <f t="shared" si="5"/>
        <v>20</v>
      </c>
      <c r="I151" s="3">
        <v>40707.390694444446</v>
      </c>
      <c r="J151" s="8" t="s">
        <v>646</v>
      </c>
      <c r="K151" s="4">
        <f t="shared" si="4"/>
        <v>70</v>
      </c>
      <c r="L151" s="4">
        <v>2</v>
      </c>
      <c r="M151" s="4">
        <v>70</v>
      </c>
      <c r="Q151">
        <v>20</v>
      </c>
      <c r="S151" s="8"/>
      <c r="T151" s="10"/>
    </row>
    <row r="152" spans="3:20">
      <c r="C152" s="3"/>
      <c r="F152" s="12">
        <v>232</v>
      </c>
      <c r="G152" s="8" t="s">
        <v>288</v>
      </c>
      <c r="H152" s="7">
        <f t="shared" si="5"/>
        <v>20</v>
      </c>
      <c r="I152" s="3">
        <v>40707.402453703704</v>
      </c>
      <c r="J152" s="8">
        <v>6464917</v>
      </c>
      <c r="K152" s="4">
        <f t="shared" si="4"/>
        <v>71</v>
      </c>
      <c r="L152" s="4">
        <v>10</v>
      </c>
      <c r="M152" s="4">
        <v>71</v>
      </c>
      <c r="Q152">
        <v>20</v>
      </c>
      <c r="S152" s="8"/>
      <c r="T152" s="10"/>
    </row>
    <row r="153" spans="3:20">
      <c r="C153" s="3"/>
      <c r="F153" s="12">
        <v>242</v>
      </c>
      <c r="G153" s="8" t="s">
        <v>288</v>
      </c>
      <c r="H153" s="7">
        <f t="shared" si="5"/>
        <v>20</v>
      </c>
      <c r="I153" s="3">
        <v>40711.476921296293</v>
      </c>
      <c r="J153" s="8" t="s">
        <v>1191</v>
      </c>
      <c r="K153" s="4">
        <f t="shared" si="4"/>
        <v>72</v>
      </c>
      <c r="L153" s="4">
        <v>11</v>
      </c>
      <c r="M153" s="4">
        <v>72</v>
      </c>
      <c r="Q153">
        <v>20</v>
      </c>
      <c r="S153" s="8"/>
      <c r="T153" s="10"/>
    </row>
    <row r="154" spans="3:20">
      <c r="C154" s="3"/>
      <c r="F154" s="12">
        <v>244</v>
      </c>
      <c r="G154" s="8" t="s">
        <v>288</v>
      </c>
      <c r="H154" s="7">
        <f t="shared" si="5"/>
        <v>20</v>
      </c>
      <c r="I154" s="3">
        <v>40711.777349537035</v>
      </c>
      <c r="J154" s="8" t="s">
        <v>1004</v>
      </c>
      <c r="K154" s="4">
        <f t="shared" si="4"/>
        <v>73</v>
      </c>
      <c r="L154" s="4">
        <v>7</v>
      </c>
      <c r="M154" s="4">
        <v>73</v>
      </c>
      <c r="Q154">
        <v>20</v>
      </c>
      <c r="S154" s="8"/>
      <c r="T154" s="10"/>
    </row>
    <row r="155" spans="3:20">
      <c r="C155" s="3"/>
      <c r="F155" s="12">
        <v>246</v>
      </c>
      <c r="G155" s="8" t="s">
        <v>288</v>
      </c>
      <c r="H155" s="7">
        <f t="shared" si="5"/>
        <v>20</v>
      </c>
      <c r="I155" s="3">
        <v>40711.925393518519</v>
      </c>
      <c r="J155" s="8" t="s">
        <v>1313</v>
      </c>
      <c r="K155" s="4">
        <f t="shared" si="4"/>
        <v>74</v>
      </c>
      <c r="L155" s="4">
        <v>13</v>
      </c>
      <c r="M155" s="4">
        <v>74</v>
      </c>
      <c r="Q155">
        <v>20</v>
      </c>
      <c r="S155" s="8"/>
      <c r="T155" s="10"/>
    </row>
    <row r="156" spans="3:20">
      <c r="C156" s="3"/>
      <c r="F156" s="12">
        <v>248</v>
      </c>
      <c r="G156" s="8" t="s">
        <v>288</v>
      </c>
      <c r="H156" s="7">
        <f t="shared" si="5"/>
        <v>20</v>
      </c>
      <c r="I156" s="3">
        <v>40711.972210648149</v>
      </c>
      <c r="J156" s="8" t="s">
        <v>809</v>
      </c>
      <c r="K156" s="4">
        <f t="shared" ref="K156:K219" si="6">IF(Q156&gt;Q155,1,K155+1)</f>
        <v>75</v>
      </c>
      <c r="L156" s="4">
        <v>2</v>
      </c>
      <c r="M156" s="4">
        <v>75</v>
      </c>
      <c r="Q156">
        <v>20</v>
      </c>
      <c r="S156" s="8"/>
      <c r="T156" s="10"/>
    </row>
    <row r="157" spans="3:20">
      <c r="C157" s="3"/>
      <c r="F157" s="12">
        <v>252</v>
      </c>
      <c r="G157" s="8" t="s">
        <v>288</v>
      </c>
      <c r="H157" s="7">
        <f t="shared" si="5"/>
        <v>20</v>
      </c>
      <c r="I157" s="3">
        <v>40714.46402777778</v>
      </c>
      <c r="J157" s="8" t="s">
        <v>801</v>
      </c>
      <c r="K157" s="4">
        <f t="shared" si="6"/>
        <v>76</v>
      </c>
      <c r="L157" s="4">
        <v>2</v>
      </c>
      <c r="M157" s="4">
        <v>76</v>
      </c>
      <c r="Q157">
        <v>20</v>
      </c>
      <c r="S157" s="8"/>
      <c r="T157" s="10"/>
    </row>
    <row r="158" spans="3:20">
      <c r="C158" s="3"/>
      <c r="F158" s="12">
        <v>254</v>
      </c>
      <c r="G158" s="8" t="s">
        <v>288</v>
      </c>
      <c r="H158" s="7">
        <f t="shared" si="5"/>
        <v>20</v>
      </c>
      <c r="I158" s="3">
        <v>40714.74690972222</v>
      </c>
      <c r="J158" s="8" t="s">
        <v>733</v>
      </c>
      <c r="K158" s="4">
        <f t="shared" si="6"/>
        <v>77</v>
      </c>
      <c r="L158" s="4">
        <v>2</v>
      </c>
      <c r="M158" s="4">
        <v>77</v>
      </c>
      <c r="Q158">
        <v>20</v>
      </c>
      <c r="S158" s="8"/>
      <c r="T158" s="10"/>
    </row>
    <row r="159" spans="3:20">
      <c r="C159" s="3"/>
      <c r="F159" s="12">
        <v>255</v>
      </c>
      <c r="G159" s="8" t="s">
        <v>288</v>
      </c>
      <c r="H159" s="7">
        <f t="shared" si="5"/>
        <v>20</v>
      </c>
      <c r="I159" s="3">
        <v>40714.46398148148</v>
      </c>
      <c r="J159" s="8" t="s">
        <v>381</v>
      </c>
      <c r="K159" s="4">
        <f t="shared" si="6"/>
        <v>78</v>
      </c>
      <c r="L159" s="4">
        <v>2</v>
      </c>
      <c r="M159" s="4">
        <v>78</v>
      </c>
      <c r="Q159">
        <v>20</v>
      </c>
      <c r="S159" s="8"/>
      <c r="T159" s="10"/>
    </row>
    <row r="160" spans="3:20">
      <c r="C160" s="3"/>
      <c r="F160" s="12">
        <v>257</v>
      </c>
      <c r="G160" s="8" t="s">
        <v>288</v>
      </c>
      <c r="H160" s="7">
        <f t="shared" si="5"/>
        <v>20</v>
      </c>
      <c r="I160" s="3">
        <v>40712.396724537037</v>
      </c>
      <c r="J160" s="8" t="s">
        <v>1257</v>
      </c>
      <c r="K160" s="4">
        <f t="shared" si="6"/>
        <v>79</v>
      </c>
      <c r="L160" s="4">
        <v>23</v>
      </c>
      <c r="M160" s="4">
        <v>79</v>
      </c>
      <c r="Q160">
        <v>20</v>
      </c>
      <c r="S160" s="8"/>
      <c r="T160" s="10"/>
    </row>
    <row r="161" spans="3:20">
      <c r="C161" s="3"/>
      <c r="F161" s="12">
        <v>261</v>
      </c>
      <c r="G161" s="8" t="s">
        <v>288</v>
      </c>
      <c r="H161" s="7">
        <f t="shared" si="5"/>
        <v>20</v>
      </c>
      <c r="I161" s="3">
        <v>40715.710081018522</v>
      </c>
      <c r="J161" s="8" t="s">
        <v>403</v>
      </c>
      <c r="K161" s="4">
        <f t="shared" si="6"/>
        <v>80</v>
      </c>
      <c r="L161" s="4">
        <v>2</v>
      </c>
      <c r="M161" s="4">
        <v>80</v>
      </c>
      <c r="Q161">
        <v>20</v>
      </c>
      <c r="S161" s="8"/>
      <c r="T161" s="10"/>
    </row>
    <row r="162" spans="3:20">
      <c r="C162" s="3"/>
      <c r="F162" s="12">
        <v>267</v>
      </c>
      <c r="G162" s="8" t="s">
        <v>288</v>
      </c>
      <c r="H162" s="7">
        <f t="shared" si="5"/>
        <v>20</v>
      </c>
      <c r="I162" s="3">
        <v>40721.417511574073</v>
      </c>
      <c r="J162" s="8" t="s">
        <v>859</v>
      </c>
      <c r="K162" s="4">
        <f t="shared" si="6"/>
        <v>81</v>
      </c>
      <c r="L162" s="4">
        <v>2</v>
      </c>
      <c r="M162" s="4">
        <v>81</v>
      </c>
      <c r="Q162">
        <v>20</v>
      </c>
      <c r="S162" s="8"/>
      <c r="T162" s="10"/>
    </row>
    <row r="163" spans="3:20">
      <c r="C163" s="3"/>
      <c r="F163" s="12">
        <v>268</v>
      </c>
      <c r="G163" s="8" t="s">
        <v>288</v>
      </c>
      <c r="H163" s="7">
        <f t="shared" si="5"/>
        <v>20</v>
      </c>
      <c r="I163" s="3">
        <v>40722.973796296297</v>
      </c>
      <c r="J163" s="8" t="s">
        <v>998</v>
      </c>
      <c r="K163" s="4">
        <f t="shared" si="6"/>
        <v>82</v>
      </c>
      <c r="L163" s="4">
        <v>5</v>
      </c>
      <c r="M163" s="4">
        <v>82</v>
      </c>
      <c r="Q163">
        <v>20</v>
      </c>
      <c r="S163" s="8"/>
      <c r="T163" s="10"/>
    </row>
    <row r="164" spans="3:20">
      <c r="C164" s="3"/>
      <c r="F164" s="12">
        <v>151</v>
      </c>
      <c r="G164" s="8" t="s">
        <v>455</v>
      </c>
      <c r="H164" s="7">
        <f t="shared" si="5"/>
        <v>21</v>
      </c>
      <c r="I164" s="3">
        <v>40675.417928240742</v>
      </c>
      <c r="J164" s="8" t="s">
        <v>1121</v>
      </c>
      <c r="K164" s="4">
        <f t="shared" si="6"/>
        <v>1</v>
      </c>
      <c r="L164" s="4">
        <v>2</v>
      </c>
      <c r="M164" s="4">
        <v>1</v>
      </c>
      <c r="Q164">
        <v>21</v>
      </c>
      <c r="S164" s="8"/>
      <c r="T164" s="10"/>
    </row>
    <row r="165" spans="3:20">
      <c r="C165" s="3"/>
      <c r="F165" s="12">
        <v>170</v>
      </c>
      <c r="G165" s="8" t="s">
        <v>455</v>
      </c>
      <c r="H165" s="7">
        <f t="shared" si="5"/>
        <v>21</v>
      </c>
      <c r="I165" s="3">
        <v>40683.388124999998</v>
      </c>
      <c r="J165" s="8" t="s">
        <v>454</v>
      </c>
      <c r="K165" s="4">
        <f t="shared" si="6"/>
        <v>2</v>
      </c>
      <c r="L165" s="4">
        <v>7</v>
      </c>
      <c r="M165" s="4">
        <v>2</v>
      </c>
      <c r="Q165">
        <v>21</v>
      </c>
      <c r="S165" s="8"/>
      <c r="T165" s="10"/>
    </row>
    <row r="166" spans="3:20">
      <c r="C166" s="3"/>
      <c r="F166" s="12">
        <v>176</v>
      </c>
      <c r="G166" s="8" t="s">
        <v>455</v>
      </c>
      <c r="H166" s="7">
        <f t="shared" si="5"/>
        <v>21</v>
      </c>
      <c r="I166" s="3">
        <v>40686.401203703703</v>
      </c>
      <c r="J166" s="8" t="s">
        <v>1208</v>
      </c>
      <c r="K166" s="4">
        <f t="shared" si="6"/>
        <v>3</v>
      </c>
      <c r="L166" s="4">
        <v>3</v>
      </c>
      <c r="M166" s="4">
        <v>3</v>
      </c>
      <c r="Q166">
        <v>21</v>
      </c>
      <c r="S166" s="8"/>
      <c r="T166" s="10"/>
    </row>
    <row r="167" spans="3:20">
      <c r="C167" s="3"/>
      <c r="F167" s="12">
        <v>179</v>
      </c>
      <c r="G167" s="8" t="s">
        <v>455</v>
      </c>
      <c r="H167" s="7">
        <f t="shared" si="5"/>
        <v>21</v>
      </c>
      <c r="I167" s="3">
        <v>40686.694861111115</v>
      </c>
      <c r="J167" s="8" t="s">
        <v>1228</v>
      </c>
      <c r="K167" s="4">
        <f t="shared" si="6"/>
        <v>4</v>
      </c>
      <c r="L167" s="4">
        <v>10</v>
      </c>
      <c r="M167" s="4">
        <v>4</v>
      </c>
      <c r="Q167">
        <v>21</v>
      </c>
      <c r="S167" s="8"/>
      <c r="T167" s="10"/>
    </row>
    <row r="168" spans="3:20">
      <c r="C168" s="3"/>
      <c r="F168" s="12">
        <v>187</v>
      </c>
      <c r="G168" s="8" t="s">
        <v>455</v>
      </c>
      <c r="H168" s="7">
        <f t="shared" si="5"/>
        <v>21</v>
      </c>
      <c r="I168" s="3">
        <v>40687.571516203701</v>
      </c>
      <c r="J168" s="8" t="s">
        <v>1231</v>
      </c>
      <c r="K168" s="4">
        <f t="shared" si="6"/>
        <v>5</v>
      </c>
      <c r="L168" s="4">
        <v>2</v>
      </c>
      <c r="M168" s="4">
        <v>5</v>
      </c>
      <c r="Q168">
        <v>21</v>
      </c>
      <c r="S168" s="8"/>
      <c r="T168" s="10"/>
    </row>
    <row r="169" spans="3:20">
      <c r="C169" s="3"/>
      <c r="F169" s="12">
        <v>259</v>
      </c>
      <c r="G169" s="8" t="s">
        <v>543</v>
      </c>
      <c r="H169" s="7">
        <f t="shared" si="5"/>
        <v>22</v>
      </c>
      <c r="I169" s="3">
        <v>40715.68204861111</v>
      </c>
      <c r="J169" s="8" t="s">
        <v>542</v>
      </c>
      <c r="K169" s="4">
        <f t="shared" si="6"/>
        <v>1</v>
      </c>
      <c r="L169" s="4">
        <v>2</v>
      </c>
      <c r="M169" s="4">
        <v>1</v>
      </c>
      <c r="Q169">
        <v>22</v>
      </c>
      <c r="S169" s="8"/>
      <c r="T169" s="10"/>
    </row>
    <row r="170" spans="3:20">
      <c r="C170" s="3"/>
      <c r="F170" s="12">
        <v>116</v>
      </c>
      <c r="G170" s="8" t="s">
        <v>651</v>
      </c>
      <c r="H170" s="7">
        <f t="shared" si="5"/>
        <v>23</v>
      </c>
      <c r="I170" s="3">
        <v>40661.934548611112</v>
      </c>
      <c r="J170" s="8" t="s">
        <v>976</v>
      </c>
      <c r="K170" s="4">
        <f t="shared" si="6"/>
        <v>1</v>
      </c>
      <c r="L170" s="4">
        <v>2</v>
      </c>
      <c r="M170" s="4">
        <v>1</v>
      </c>
      <c r="Q170">
        <v>23</v>
      </c>
      <c r="S170" s="8"/>
      <c r="T170" s="10"/>
    </row>
    <row r="171" spans="3:20">
      <c r="C171" s="3"/>
      <c r="F171" s="12">
        <v>117</v>
      </c>
      <c r="G171" s="8" t="s">
        <v>651</v>
      </c>
      <c r="H171" s="7">
        <f t="shared" si="5"/>
        <v>23</v>
      </c>
      <c r="I171" s="3">
        <v>40661.561041666668</v>
      </c>
      <c r="J171" s="8" t="s">
        <v>652</v>
      </c>
      <c r="K171" s="4">
        <f t="shared" si="6"/>
        <v>2</v>
      </c>
      <c r="L171" s="4">
        <v>2</v>
      </c>
      <c r="M171" s="4">
        <v>2</v>
      </c>
      <c r="Q171">
        <v>23</v>
      </c>
      <c r="S171" s="8"/>
      <c r="T171" s="10"/>
    </row>
    <row r="172" spans="3:20">
      <c r="C172" s="3"/>
      <c r="F172" s="12">
        <v>159</v>
      </c>
      <c r="G172" s="8" t="s">
        <v>651</v>
      </c>
      <c r="H172" s="7">
        <f t="shared" si="5"/>
        <v>23</v>
      </c>
      <c r="I172" s="3">
        <v>40676.914710648147</v>
      </c>
      <c r="J172" s="8" t="s">
        <v>1434</v>
      </c>
      <c r="K172" s="4">
        <f t="shared" si="6"/>
        <v>3</v>
      </c>
      <c r="L172" s="4">
        <v>6</v>
      </c>
      <c r="M172" s="4">
        <v>3</v>
      </c>
      <c r="Q172">
        <v>23</v>
      </c>
      <c r="S172" s="8"/>
      <c r="T172" s="10"/>
    </row>
    <row r="173" spans="3:20">
      <c r="C173" s="3"/>
      <c r="F173" s="12">
        <v>200</v>
      </c>
      <c r="G173" s="8" t="s">
        <v>1578</v>
      </c>
      <c r="H173" s="7">
        <f t="shared" si="5"/>
        <v>24</v>
      </c>
      <c r="I173" s="3">
        <v>40696.952337962961</v>
      </c>
      <c r="J173" s="8" t="s">
        <v>702</v>
      </c>
      <c r="K173" s="4">
        <f t="shared" si="6"/>
        <v>1</v>
      </c>
      <c r="L173" s="4">
        <v>4</v>
      </c>
      <c r="M173" s="4">
        <v>1</v>
      </c>
      <c r="Q173">
        <v>24</v>
      </c>
      <c r="S173" s="8"/>
      <c r="T173" s="10"/>
    </row>
    <row r="174" spans="3:20">
      <c r="C174" s="3"/>
      <c r="F174" s="12">
        <v>37</v>
      </c>
      <c r="G174" s="8" t="s">
        <v>306</v>
      </c>
      <c r="H174" s="7">
        <f t="shared" si="5"/>
        <v>25</v>
      </c>
      <c r="I174" s="3">
        <v>40624.712766203702</v>
      </c>
      <c r="J174" s="8" t="s">
        <v>518</v>
      </c>
      <c r="K174" s="4">
        <f t="shared" si="6"/>
        <v>1</v>
      </c>
      <c r="L174" s="4">
        <v>2</v>
      </c>
      <c r="M174" s="4">
        <v>1</v>
      </c>
      <c r="Q174">
        <v>25</v>
      </c>
      <c r="S174" s="8"/>
      <c r="T174" s="10"/>
    </row>
    <row r="175" spans="3:20">
      <c r="C175" s="3"/>
      <c r="F175" s="12">
        <v>182</v>
      </c>
      <c r="G175" s="8" t="s">
        <v>306</v>
      </c>
      <c r="H175" s="7">
        <f t="shared" si="5"/>
        <v>25</v>
      </c>
      <c r="I175" s="3">
        <v>40691.668310185189</v>
      </c>
      <c r="J175" s="8" t="s">
        <v>692</v>
      </c>
      <c r="K175" s="4">
        <f t="shared" si="6"/>
        <v>2</v>
      </c>
      <c r="L175" s="4">
        <v>8</v>
      </c>
      <c r="M175" s="4">
        <v>2</v>
      </c>
      <c r="Q175">
        <v>25</v>
      </c>
      <c r="S175" s="8"/>
      <c r="T175" s="10"/>
    </row>
    <row r="176" spans="3:20">
      <c r="C176" s="3"/>
      <c r="F176" s="12">
        <v>186</v>
      </c>
      <c r="G176" s="8" t="s">
        <v>302</v>
      </c>
      <c r="H176" s="7">
        <f t="shared" si="5"/>
        <v>25</v>
      </c>
      <c r="I176" s="3">
        <v>40694.203912037039</v>
      </c>
      <c r="J176" s="8" t="s">
        <v>895</v>
      </c>
      <c r="K176" s="4">
        <f t="shared" si="6"/>
        <v>3</v>
      </c>
      <c r="L176" s="4">
        <v>7</v>
      </c>
      <c r="M176" s="4">
        <v>3</v>
      </c>
      <c r="Q176">
        <v>25</v>
      </c>
      <c r="S176" s="8"/>
      <c r="T176" s="10"/>
    </row>
    <row r="177" spans="3:20">
      <c r="C177" s="3"/>
      <c r="F177" s="12">
        <v>193</v>
      </c>
      <c r="G177" s="8" t="s">
        <v>302</v>
      </c>
      <c r="H177" s="7">
        <f t="shared" si="5"/>
        <v>25</v>
      </c>
      <c r="I177" s="3">
        <v>40694.271736111114</v>
      </c>
      <c r="J177" s="8" t="s">
        <v>1354</v>
      </c>
      <c r="K177" s="4">
        <f t="shared" si="6"/>
        <v>4</v>
      </c>
      <c r="L177" s="4">
        <v>8</v>
      </c>
      <c r="M177" s="4">
        <v>4</v>
      </c>
      <c r="Q177">
        <v>25</v>
      </c>
      <c r="S177" s="8"/>
      <c r="T177" s="10"/>
    </row>
    <row r="178" spans="3:20">
      <c r="C178" s="3"/>
      <c r="F178" s="12">
        <v>199</v>
      </c>
      <c r="G178" s="8" t="s">
        <v>302</v>
      </c>
      <c r="H178" s="7">
        <f t="shared" si="5"/>
        <v>25</v>
      </c>
      <c r="I178" s="3">
        <v>40696.952337962961</v>
      </c>
      <c r="J178" s="8" t="s">
        <v>701</v>
      </c>
      <c r="K178" s="4">
        <f t="shared" si="6"/>
        <v>5</v>
      </c>
      <c r="L178" s="4">
        <v>4</v>
      </c>
      <c r="M178" s="4">
        <v>5</v>
      </c>
      <c r="Q178">
        <v>25</v>
      </c>
      <c r="S178" s="8"/>
      <c r="T178" s="10"/>
    </row>
    <row r="179" spans="3:20">
      <c r="C179" s="3"/>
      <c r="F179" s="12">
        <v>201</v>
      </c>
      <c r="G179" s="8" t="s">
        <v>306</v>
      </c>
      <c r="H179" s="7">
        <f t="shared" si="5"/>
        <v>25</v>
      </c>
      <c r="I179" s="3">
        <v>40697.331620370373</v>
      </c>
      <c r="J179" s="8" t="s">
        <v>1013</v>
      </c>
      <c r="K179" s="4">
        <f t="shared" si="6"/>
        <v>6</v>
      </c>
      <c r="L179" s="4">
        <v>4</v>
      </c>
      <c r="M179" s="4">
        <v>6</v>
      </c>
      <c r="Q179">
        <v>25</v>
      </c>
      <c r="S179" s="8"/>
      <c r="T179" s="10"/>
    </row>
    <row r="180" spans="3:20">
      <c r="C180" s="3"/>
      <c r="F180" s="12">
        <v>258</v>
      </c>
      <c r="G180" s="8" t="s">
        <v>306</v>
      </c>
      <c r="H180" s="7">
        <f t="shared" si="5"/>
        <v>25</v>
      </c>
      <c r="I180" s="3">
        <v>40715.608356481483</v>
      </c>
      <c r="J180" s="8" t="s">
        <v>541</v>
      </c>
      <c r="K180" s="4">
        <f t="shared" si="6"/>
        <v>7</v>
      </c>
      <c r="L180" s="4">
        <v>2</v>
      </c>
      <c r="M180" s="4">
        <v>7</v>
      </c>
      <c r="Q180">
        <v>25</v>
      </c>
      <c r="S180" s="8"/>
      <c r="T180" s="10"/>
    </row>
    <row r="181" spans="3:20">
      <c r="C181" s="3"/>
      <c r="F181" s="12">
        <v>3</v>
      </c>
      <c r="G181" s="8" t="s">
        <v>423</v>
      </c>
      <c r="H181" s="7">
        <f t="shared" si="5"/>
        <v>26</v>
      </c>
      <c r="I181" s="3">
        <v>40608.701342592591</v>
      </c>
      <c r="J181" s="8" t="s">
        <v>450</v>
      </c>
      <c r="K181" s="4">
        <f t="shared" si="6"/>
        <v>1</v>
      </c>
      <c r="L181" s="4">
        <v>7</v>
      </c>
      <c r="M181" s="4">
        <v>1</v>
      </c>
      <c r="Q181">
        <v>26</v>
      </c>
      <c r="S181" s="8"/>
      <c r="T181" s="10"/>
    </row>
    <row r="182" spans="3:20">
      <c r="C182" s="3"/>
      <c r="F182" s="12">
        <v>211</v>
      </c>
      <c r="G182" s="8" t="s">
        <v>423</v>
      </c>
      <c r="H182" s="7">
        <f t="shared" si="5"/>
        <v>26</v>
      </c>
      <c r="I182" s="3">
        <v>40692.461423611108</v>
      </c>
      <c r="J182" s="8" t="s">
        <v>965</v>
      </c>
      <c r="K182" s="4">
        <f t="shared" si="6"/>
        <v>2</v>
      </c>
      <c r="L182" s="4">
        <v>10</v>
      </c>
      <c r="M182" s="4">
        <v>2</v>
      </c>
      <c r="Q182">
        <v>26</v>
      </c>
      <c r="S182" s="8"/>
      <c r="T182" s="10"/>
    </row>
    <row r="183" spans="3:20">
      <c r="C183" s="3"/>
      <c r="F183" s="12">
        <v>216</v>
      </c>
      <c r="G183" s="8" t="s">
        <v>423</v>
      </c>
      <c r="H183" s="7">
        <f t="shared" si="5"/>
        <v>26</v>
      </c>
      <c r="I183" s="3">
        <v>40701.379791666666</v>
      </c>
      <c r="J183" s="8" t="s">
        <v>920</v>
      </c>
      <c r="K183" s="4">
        <f t="shared" si="6"/>
        <v>3</v>
      </c>
      <c r="L183" s="4">
        <v>3</v>
      </c>
      <c r="M183" s="4">
        <v>3</v>
      </c>
      <c r="Q183">
        <v>26</v>
      </c>
      <c r="S183" s="8"/>
      <c r="T183" s="10"/>
    </row>
    <row r="184" spans="3:20">
      <c r="C184" s="3"/>
      <c r="F184" s="12">
        <v>217</v>
      </c>
      <c r="G184" s="8" t="s">
        <v>423</v>
      </c>
      <c r="H184" s="7">
        <f t="shared" si="5"/>
        <v>26</v>
      </c>
      <c r="I184" s="3">
        <v>40701.404490740744</v>
      </c>
      <c r="J184" s="8" t="s">
        <v>424</v>
      </c>
      <c r="K184" s="4">
        <f t="shared" si="6"/>
        <v>4</v>
      </c>
      <c r="L184" s="4">
        <v>3</v>
      </c>
      <c r="M184" s="4">
        <v>4</v>
      </c>
      <c r="Q184">
        <v>26</v>
      </c>
      <c r="S184" s="8"/>
      <c r="T184" s="10"/>
    </row>
    <row r="185" spans="3:20">
      <c r="C185" s="3"/>
      <c r="F185" s="12">
        <v>224</v>
      </c>
      <c r="G185" s="8" t="s">
        <v>423</v>
      </c>
      <c r="H185" s="7">
        <f t="shared" si="5"/>
        <v>26</v>
      </c>
      <c r="I185" s="3">
        <v>40702.422696759262</v>
      </c>
      <c r="J185" s="8" t="s">
        <v>1411</v>
      </c>
      <c r="K185" s="4">
        <f t="shared" si="6"/>
        <v>5</v>
      </c>
      <c r="L185" s="4">
        <v>4</v>
      </c>
      <c r="M185" s="4">
        <v>5</v>
      </c>
      <c r="Q185">
        <v>26</v>
      </c>
      <c r="S185" s="8"/>
      <c r="T185" s="10"/>
    </row>
    <row r="186" spans="3:20">
      <c r="C186" s="3"/>
      <c r="F186" s="12">
        <v>21</v>
      </c>
      <c r="G186" s="8" t="s">
        <v>371</v>
      </c>
      <c r="H186" s="7">
        <f t="shared" si="5"/>
        <v>27</v>
      </c>
      <c r="I186" s="3">
        <v>40619.932083333333</v>
      </c>
      <c r="J186" s="8" t="s">
        <v>1254</v>
      </c>
      <c r="K186" s="4">
        <f t="shared" si="6"/>
        <v>1</v>
      </c>
      <c r="L186" s="4">
        <v>3</v>
      </c>
      <c r="M186" s="4">
        <v>1</v>
      </c>
      <c r="Q186">
        <v>27</v>
      </c>
      <c r="S186" s="8"/>
      <c r="T186" s="10"/>
    </row>
    <row r="187" spans="3:20">
      <c r="C187" s="3"/>
      <c r="F187" s="12">
        <v>26</v>
      </c>
      <c r="G187" s="8" t="s">
        <v>371</v>
      </c>
      <c r="H187" s="7">
        <f t="shared" si="5"/>
        <v>27</v>
      </c>
      <c r="I187" s="3">
        <v>40619.991238425922</v>
      </c>
      <c r="J187" s="8" t="s">
        <v>370</v>
      </c>
      <c r="K187" s="4">
        <f t="shared" si="6"/>
        <v>2</v>
      </c>
      <c r="L187" s="4">
        <v>4</v>
      </c>
      <c r="M187" s="4">
        <v>2</v>
      </c>
      <c r="Q187">
        <v>27</v>
      </c>
      <c r="S187" s="8"/>
      <c r="T187" s="10"/>
    </row>
    <row r="188" spans="3:20">
      <c r="C188" s="3"/>
      <c r="F188" s="12">
        <v>2</v>
      </c>
      <c r="G188" s="8" t="s">
        <v>300</v>
      </c>
      <c r="H188" s="7">
        <f t="shared" si="5"/>
        <v>28</v>
      </c>
      <c r="I188" s="3">
        <v>40609.036909722221</v>
      </c>
      <c r="J188" s="8" t="s">
        <v>926</v>
      </c>
      <c r="K188" s="4">
        <f t="shared" si="6"/>
        <v>1</v>
      </c>
      <c r="L188" s="4">
        <v>3</v>
      </c>
      <c r="M188" s="4">
        <v>1</v>
      </c>
      <c r="Q188">
        <v>28</v>
      </c>
      <c r="S188" s="8"/>
      <c r="T188" s="10"/>
    </row>
    <row r="189" spans="3:20">
      <c r="C189" s="3"/>
      <c r="F189" s="12">
        <v>4</v>
      </c>
      <c r="G189" s="8" t="s">
        <v>300</v>
      </c>
      <c r="H189" s="7">
        <f t="shared" si="5"/>
        <v>28</v>
      </c>
      <c r="I189" s="3">
        <v>40612.937280092592</v>
      </c>
      <c r="J189" s="8" t="s">
        <v>451</v>
      </c>
      <c r="K189" s="4">
        <f t="shared" si="6"/>
        <v>2</v>
      </c>
      <c r="L189" s="4">
        <v>2</v>
      </c>
      <c r="M189" s="4">
        <v>2</v>
      </c>
      <c r="Q189">
        <v>28</v>
      </c>
      <c r="S189" s="8"/>
      <c r="T189" s="10"/>
    </row>
    <row r="190" spans="3:20">
      <c r="C190" s="3"/>
      <c r="F190" s="12">
        <v>6</v>
      </c>
      <c r="G190" s="8" t="s">
        <v>300</v>
      </c>
      <c r="H190" s="7">
        <f t="shared" si="5"/>
        <v>28</v>
      </c>
      <c r="I190" s="3">
        <v>40613.493715277778</v>
      </c>
      <c r="J190" s="8" t="s">
        <v>568</v>
      </c>
      <c r="K190" s="4">
        <f t="shared" si="6"/>
        <v>3</v>
      </c>
      <c r="L190" s="4">
        <v>2</v>
      </c>
      <c r="M190" s="4">
        <v>3</v>
      </c>
      <c r="Q190">
        <v>28</v>
      </c>
      <c r="S190" s="8"/>
      <c r="T190" s="10"/>
    </row>
    <row r="191" spans="3:20">
      <c r="C191" s="3"/>
      <c r="F191" s="12">
        <v>9</v>
      </c>
      <c r="G191" s="8" t="s">
        <v>300</v>
      </c>
      <c r="H191" s="7">
        <f t="shared" si="5"/>
        <v>28</v>
      </c>
      <c r="I191" s="3">
        <v>40615.871898148151</v>
      </c>
      <c r="J191" s="8" t="s">
        <v>916</v>
      </c>
      <c r="K191" s="4">
        <f t="shared" si="6"/>
        <v>4</v>
      </c>
      <c r="L191" s="4">
        <v>2</v>
      </c>
      <c r="M191" s="4">
        <v>4</v>
      </c>
      <c r="Q191">
        <v>28</v>
      </c>
      <c r="S191" s="8"/>
      <c r="T191" s="10"/>
    </row>
    <row r="192" spans="3:20">
      <c r="C192" s="3"/>
      <c r="F192" s="12">
        <v>13</v>
      </c>
      <c r="G192" s="8" t="s">
        <v>300</v>
      </c>
      <c r="H192" s="7">
        <f t="shared" si="5"/>
        <v>28</v>
      </c>
      <c r="I192" s="3">
        <v>40616.585879629631</v>
      </c>
      <c r="J192" s="8" t="s">
        <v>642</v>
      </c>
      <c r="K192" s="4">
        <f t="shared" si="6"/>
        <v>5</v>
      </c>
      <c r="L192" s="4">
        <v>3</v>
      </c>
      <c r="M192" s="4">
        <v>5</v>
      </c>
      <c r="Q192">
        <v>28</v>
      </c>
      <c r="S192" s="8"/>
      <c r="T192" s="10"/>
    </row>
    <row r="193" spans="3:20">
      <c r="C193" s="3"/>
      <c r="F193" s="12">
        <v>18</v>
      </c>
      <c r="G193" s="8" t="s">
        <v>300</v>
      </c>
      <c r="H193" s="7">
        <f t="shared" si="5"/>
        <v>28</v>
      </c>
      <c r="I193" s="3">
        <v>40616.810729166667</v>
      </c>
      <c r="J193" s="8" t="s">
        <v>798</v>
      </c>
      <c r="K193" s="4">
        <f t="shared" si="6"/>
        <v>6</v>
      </c>
      <c r="L193" s="4">
        <v>2</v>
      </c>
      <c r="M193" s="4">
        <v>6</v>
      </c>
      <c r="Q193">
        <v>28</v>
      </c>
      <c r="S193" s="8"/>
      <c r="T193" s="10"/>
    </row>
    <row r="194" spans="3:20">
      <c r="C194" s="3"/>
      <c r="F194" s="12">
        <v>22</v>
      </c>
      <c r="G194" s="8" t="s">
        <v>300</v>
      </c>
      <c r="H194" s="7">
        <f t="shared" ref="H194:H257" si="7">LOOKUP(G194,$N$2:$N$42,$O$2:$O$42)</f>
        <v>28</v>
      </c>
      <c r="I194" s="3">
        <v>40619.935567129629</v>
      </c>
      <c r="J194" s="8" t="s">
        <v>1255</v>
      </c>
      <c r="K194" s="4">
        <f t="shared" si="6"/>
        <v>7</v>
      </c>
      <c r="L194" s="4">
        <v>3</v>
      </c>
      <c r="M194" s="4">
        <v>7</v>
      </c>
      <c r="Q194">
        <v>28</v>
      </c>
      <c r="S194" s="8"/>
      <c r="T194" s="10"/>
    </row>
    <row r="195" spans="3:20">
      <c r="C195" s="3"/>
      <c r="F195" s="12">
        <v>25</v>
      </c>
      <c r="G195" s="8" t="s">
        <v>300</v>
      </c>
      <c r="H195" s="7">
        <f t="shared" si="7"/>
        <v>28</v>
      </c>
      <c r="I195" s="3">
        <v>40619.958113425928</v>
      </c>
      <c r="J195" s="8" t="s">
        <v>369</v>
      </c>
      <c r="K195" s="4">
        <f t="shared" si="6"/>
        <v>8</v>
      </c>
      <c r="L195" s="4">
        <v>2</v>
      </c>
      <c r="M195" s="4">
        <v>8</v>
      </c>
      <c r="Q195">
        <v>28</v>
      </c>
      <c r="S195" s="8"/>
      <c r="T195" s="10"/>
    </row>
    <row r="196" spans="3:20">
      <c r="C196" s="3"/>
      <c r="F196" s="12">
        <v>65</v>
      </c>
      <c r="G196" s="8" t="s">
        <v>300</v>
      </c>
      <c r="H196" s="7">
        <f t="shared" si="7"/>
        <v>28</v>
      </c>
      <c r="I196" s="3">
        <v>40633.951550925929</v>
      </c>
      <c r="J196" s="8" t="s">
        <v>712</v>
      </c>
      <c r="K196" s="4">
        <f t="shared" si="6"/>
        <v>9</v>
      </c>
      <c r="L196" s="4">
        <v>2</v>
      </c>
      <c r="M196" s="4">
        <v>9</v>
      </c>
      <c r="Q196">
        <v>28</v>
      </c>
    </row>
    <row r="197" spans="3:20">
      <c r="C197" s="3"/>
      <c r="F197" s="12">
        <v>94</v>
      </c>
      <c r="G197" s="8" t="s">
        <v>300</v>
      </c>
      <c r="H197" s="7">
        <f t="shared" si="7"/>
        <v>28</v>
      </c>
      <c r="I197" s="3">
        <v>40651.909675925926</v>
      </c>
      <c r="J197" s="8" t="s">
        <v>596</v>
      </c>
      <c r="K197" s="4">
        <f t="shared" si="6"/>
        <v>10</v>
      </c>
      <c r="L197" s="4">
        <v>2</v>
      </c>
      <c r="M197" s="4">
        <v>10</v>
      </c>
      <c r="Q197">
        <v>28</v>
      </c>
    </row>
    <row r="198" spans="3:20">
      <c r="C198" s="3"/>
      <c r="F198" s="12">
        <v>118</v>
      </c>
      <c r="G198" s="8" t="s">
        <v>300</v>
      </c>
      <c r="H198" s="7">
        <f t="shared" si="7"/>
        <v>28</v>
      </c>
      <c r="I198" s="3">
        <v>40661.941874999997</v>
      </c>
      <c r="J198" s="8" t="s">
        <v>653</v>
      </c>
      <c r="K198" s="4">
        <f t="shared" si="6"/>
        <v>11</v>
      </c>
      <c r="L198" s="4">
        <v>2</v>
      </c>
      <c r="M198" s="4">
        <v>11</v>
      </c>
      <c r="Q198">
        <v>28</v>
      </c>
    </row>
    <row r="199" spans="3:20">
      <c r="C199" s="3"/>
      <c r="F199" s="12">
        <v>120</v>
      </c>
      <c r="G199" s="8" t="s">
        <v>300</v>
      </c>
      <c r="H199" s="7">
        <f t="shared" si="7"/>
        <v>28</v>
      </c>
      <c r="I199" s="3">
        <v>40662.050324074073</v>
      </c>
      <c r="J199" s="8" t="s">
        <v>972</v>
      </c>
      <c r="K199" s="4">
        <f t="shared" si="6"/>
        <v>12</v>
      </c>
      <c r="L199" s="4">
        <v>3</v>
      </c>
      <c r="M199" s="4">
        <v>12</v>
      </c>
      <c r="Q199">
        <v>28</v>
      </c>
    </row>
    <row r="200" spans="3:20">
      <c r="C200" s="3"/>
      <c r="F200" s="12">
        <v>122</v>
      </c>
      <c r="G200" s="8" t="s">
        <v>300</v>
      </c>
      <c r="H200" s="7">
        <f t="shared" si="7"/>
        <v>28</v>
      </c>
      <c r="I200" s="3">
        <v>40662.427361111113</v>
      </c>
      <c r="J200" s="8" t="s">
        <v>1150</v>
      </c>
      <c r="K200" s="4">
        <f t="shared" si="6"/>
        <v>13</v>
      </c>
      <c r="L200" s="4">
        <v>3</v>
      </c>
      <c r="M200" s="4">
        <v>13</v>
      </c>
      <c r="Q200">
        <v>28</v>
      </c>
    </row>
    <row r="201" spans="3:20">
      <c r="C201" s="3"/>
      <c r="F201" s="12">
        <v>130</v>
      </c>
      <c r="G201" s="8" t="s">
        <v>300</v>
      </c>
      <c r="H201" s="7">
        <f t="shared" si="7"/>
        <v>28</v>
      </c>
      <c r="I201" s="3">
        <v>40666.330254629633</v>
      </c>
      <c r="J201" s="8" t="s">
        <v>1357</v>
      </c>
      <c r="K201" s="4">
        <f t="shared" si="6"/>
        <v>14</v>
      </c>
      <c r="L201" s="4">
        <v>5</v>
      </c>
      <c r="M201" s="4">
        <v>14</v>
      </c>
      <c r="Q201">
        <v>28</v>
      </c>
    </row>
    <row r="202" spans="3:20">
      <c r="F202" s="12">
        <v>132</v>
      </c>
      <c r="G202" s="8" t="s">
        <v>300</v>
      </c>
      <c r="H202" s="7">
        <f t="shared" si="7"/>
        <v>28</v>
      </c>
      <c r="I202" s="3">
        <v>40666.334224537037</v>
      </c>
      <c r="J202" s="8" t="s">
        <v>1451</v>
      </c>
      <c r="K202" s="4">
        <f t="shared" si="6"/>
        <v>15</v>
      </c>
      <c r="L202" s="4">
        <v>2</v>
      </c>
      <c r="M202" s="4">
        <v>15</v>
      </c>
      <c r="Q202">
        <v>28</v>
      </c>
    </row>
    <row r="203" spans="3:20">
      <c r="F203" s="12">
        <v>152</v>
      </c>
      <c r="G203" s="8" t="s">
        <v>300</v>
      </c>
      <c r="H203" s="7">
        <f t="shared" si="7"/>
        <v>28</v>
      </c>
      <c r="I203" s="3">
        <v>40675.045011574075</v>
      </c>
      <c r="J203" s="8" t="s">
        <v>1173</v>
      </c>
      <c r="K203" s="4">
        <f t="shared" si="6"/>
        <v>16</v>
      </c>
      <c r="L203" s="4">
        <v>2</v>
      </c>
      <c r="M203" s="4">
        <v>16</v>
      </c>
      <c r="Q203">
        <v>28</v>
      </c>
    </row>
    <row r="204" spans="3:20">
      <c r="F204" s="12">
        <v>180</v>
      </c>
      <c r="G204" s="8" t="s">
        <v>300</v>
      </c>
      <c r="H204" s="7">
        <f t="shared" si="7"/>
        <v>28</v>
      </c>
      <c r="I204" s="3">
        <v>40687.451493055552</v>
      </c>
      <c r="J204" s="8" t="s">
        <v>1229</v>
      </c>
      <c r="K204" s="4">
        <f t="shared" si="6"/>
        <v>17</v>
      </c>
      <c r="L204" s="4">
        <v>2</v>
      </c>
      <c r="M204" s="4">
        <v>17</v>
      </c>
      <c r="Q204">
        <v>28</v>
      </c>
    </row>
    <row r="205" spans="3:20">
      <c r="F205" s="12">
        <v>190</v>
      </c>
      <c r="G205" s="8" t="s">
        <v>300</v>
      </c>
      <c r="H205" s="7">
        <f t="shared" si="7"/>
        <v>28</v>
      </c>
      <c r="I205" s="3">
        <v>40694.240520833337</v>
      </c>
      <c r="J205" s="8">
        <v>6204016</v>
      </c>
      <c r="K205" s="4">
        <f t="shared" si="6"/>
        <v>18</v>
      </c>
      <c r="L205" s="4">
        <v>7</v>
      </c>
      <c r="M205" s="4">
        <v>18</v>
      </c>
      <c r="Q205">
        <v>28</v>
      </c>
    </row>
    <row r="206" spans="3:20">
      <c r="F206" s="12">
        <v>194</v>
      </c>
      <c r="G206" s="8" t="s">
        <v>300</v>
      </c>
      <c r="H206" s="7">
        <f t="shared" si="7"/>
        <v>28</v>
      </c>
      <c r="I206" s="3">
        <v>40694.632210648146</v>
      </c>
      <c r="J206" s="8" t="s">
        <v>1355</v>
      </c>
      <c r="K206" s="4">
        <f t="shared" si="6"/>
        <v>19</v>
      </c>
      <c r="L206" s="4">
        <v>7</v>
      </c>
      <c r="M206" s="4">
        <v>19</v>
      </c>
      <c r="Q206">
        <v>28</v>
      </c>
    </row>
    <row r="207" spans="3:20">
      <c r="F207" s="12">
        <v>195</v>
      </c>
      <c r="G207" s="8" t="s">
        <v>300</v>
      </c>
      <c r="H207" s="7">
        <f t="shared" si="7"/>
        <v>28</v>
      </c>
      <c r="I207" s="3">
        <v>40694.674085648148</v>
      </c>
      <c r="J207" s="8" t="s">
        <v>384</v>
      </c>
      <c r="K207" s="4">
        <f t="shared" si="6"/>
        <v>20</v>
      </c>
      <c r="L207" s="4">
        <v>2</v>
      </c>
      <c r="M207" s="4">
        <v>20</v>
      </c>
      <c r="Q207">
        <v>28</v>
      </c>
    </row>
    <row r="208" spans="3:20">
      <c r="F208" s="12">
        <v>212</v>
      </c>
      <c r="G208" s="8" t="s">
        <v>300</v>
      </c>
      <c r="H208" s="7">
        <f t="shared" si="7"/>
        <v>28</v>
      </c>
      <c r="I208" s="3">
        <v>40700.010196759256</v>
      </c>
      <c r="J208" s="8" t="s">
        <v>966</v>
      </c>
      <c r="K208" s="4">
        <f t="shared" si="6"/>
        <v>21</v>
      </c>
      <c r="L208" s="4">
        <v>4</v>
      </c>
      <c r="M208" s="4">
        <v>21</v>
      </c>
      <c r="Q208">
        <v>28</v>
      </c>
    </row>
    <row r="209" spans="6:17">
      <c r="F209" s="12">
        <v>214</v>
      </c>
      <c r="G209" s="8" t="s">
        <v>300</v>
      </c>
      <c r="H209" s="7">
        <f t="shared" si="7"/>
        <v>28</v>
      </c>
      <c r="I209" s="3">
        <v>40700.932523148149</v>
      </c>
      <c r="J209" s="8" t="s">
        <v>395</v>
      </c>
      <c r="K209" s="4">
        <f t="shared" si="6"/>
        <v>22</v>
      </c>
      <c r="L209" s="4">
        <v>3</v>
      </c>
      <c r="M209" s="4">
        <v>22</v>
      </c>
      <c r="Q209">
        <v>28</v>
      </c>
    </row>
    <row r="210" spans="6:17">
      <c r="F210" s="12">
        <v>225</v>
      </c>
      <c r="G210" s="8" t="s">
        <v>300</v>
      </c>
      <c r="H210" s="7">
        <f t="shared" si="7"/>
        <v>28</v>
      </c>
      <c r="I210" s="3">
        <v>40702.462013888886</v>
      </c>
      <c r="J210" s="8" t="s">
        <v>1412</v>
      </c>
      <c r="K210" s="4">
        <f t="shared" si="6"/>
        <v>23</v>
      </c>
      <c r="L210" s="4">
        <v>3</v>
      </c>
      <c r="M210" s="4">
        <v>23</v>
      </c>
      <c r="Q210">
        <v>28</v>
      </c>
    </row>
    <row r="211" spans="6:17">
      <c r="F211" s="12">
        <v>230</v>
      </c>
      <c r="G211" s="8" t="s">
        <v>300</v>
      </c>
      <c r="H211" s="7">
        <f t="shared" si="7"/>
        <v>28</v>
      </c>
      <c r="I211" s="3">
        <v>40707.24287037037</v>
      </c>
      <c r="J211" s="8" t="s">
        <v>645</v>
      </c>
      <c r="K211" s="4">
        <f t="shared" si="6"/>
        <v>24</v>
      </c>
      <c r="L211" s="4">
        <v>2</v>
      </c>
      <c r="M211" s="4">
        <v>24</v>
      </c>
      <c r="Q211">
        <v>28</v>
      </c>
    </row>
    <row r="212" spans="6:17">
      <c r="F212" s="12">
        <v>235</v>
      </c>
      <c r="G212" s="8" t="s">
        <v>300</v>
      </c>
      <c r="H212" s="7">
        <f t="shared" si="7"/>
        <v>28</v>
      </c>
      <c r="I212" s="3">
        <v>40708.062604166669</v>
      </c>
      <c r="J212" s="8">
        <v>3059872</v>
      </c>
      <c r="K212" s="4">
        <f t="shared" si="6"/>
        <v>25</v>
      </c>
      <c r="L212" s="4">
        <v>2</v>
      </c>
      <c r="M212" s="4">
        <v>25</v>
      </c>
      <c r="Q212">
        <v>28</v>
      </c>
    </row>
    <row r="213" spans="6:17">
      <c r="F213" s="12">
        <v>237</v>
      </c>
      <c r="G213" s="8" t="s">
        <v>300</v>
      </c>
      <c r="H213" s="7">
        <f t="shared" si="7"/>
        <v>28</v>
      </c>
      <c r="I213" s="3">
        <v>40708.528703703705</v>
      </c>
      <c r="J213" s="8" t="s">
        <v>1032</v>
      </c>
      <c r="K213" s="4">
        <f t="shared" si="6"/>
        <v>26</v>
      </c>
      <c r="L213" s="4">
        <v>2</v>
      </c>
      <c r="M213" s="4">
        <v>26</v>
      </c>
      <c r="Q213">
        <v>28</v>
      </c>
    </row>
    <row r="214" spans="6:17">
      <c r="F214" s="12">
        <v>240</v>
      </c>
      <c r="G214" s="8" t="s">
        <v>300</v>
      </c>
      <c r="H214" s="7">
        <f t="shared" si="7"/>
        <v>28</v>
      </c>
      <c r="I214" s="3">
        <v>40710.669398148151</v>
      </c>
      <c r="J214" s="8" t="s">
        <v>1079</v>
      </c>
      <c r="K214" s="4">
        <f t="shared" si="6"/>
        <v>27</v>
      </c>
      <c r="L214" s="4">
        <v>2</v>
      </c>
      <c r="M214" s="4">
        <v>27</v>
      </c>
      <c r="Q214">
        <v>28</v>
      </c>
    </row>
    <row r="215" spans="6:17">
      <c r="F215" s="12">
        <v>260</v>
      </c>
      <c r="G215" s="8" t="s">
        <v>300</v>
      </c>
      <c r="H215" s="7">
        <f t="shared" si="7"/>
        <v>28</v>
      </c>
      <c r="I215" s="3">
        <v>40715.608993055554</v>
      </c>
      <c r="J215" s="8" t="s">
        <v>1573</v>
      </c>
      <c r="K215" s="4">
        <f t="shared" si="6"/>
        <v>28</v>
      </c>
      <c r="L215" s="4">
        <v>2</v>
      </c>
      <c r="M215" s="4">
        <v>28</v>
      </c>
      <c r="Q215">
        <v>28</v>
      </c>
    </row>
    <row r="216" spans="6:17">
      <c r="F216" s="12">
        <v>262</v>
      </c>
      <c r="G216" s="8" t="s">
        <v>300</v>
      </c>
      <c r="H216" s="7">
        <f t="shared" si="7"/>
        <v>28</v>
      </c>
      <c r="I216" s="3">
        <v>40716.568391203706</v>
      </c>
      <c r="J216" s="8" t="s">
        <v>939</v>
      </c>
      <c r="K216" s="4">
        <f t="shared" si="6"/>
        <v>29</v>
      </c>
      <c r="L216" s="4">
        <v>2</v>
      </c>
      <c r="M216" s="4">
        <v>29</v>
      </c>
      <c r="Q216">
        <v>28</v>
      </c>
    </row>
    <row r="217" spans="6:17">
      <c r="F217" s="12">
        <v>10</v>
      </c>
      <c r="G217" s="8" t="s">
        <v>918</v>
      </c>
      <c r="H217" s="7">
        <f t="shared" si="7"/>
        <v>29</v>
      </c>
      <c r="I217" s="3">
        <v>40615.912546296298</v>
      </c>
      <c r="J217" s="8" t="s">
        <v>917</v>
      </c>
      <c r="K217" s="4">
        <f t="shared" si="6"/>
        <v>1</v>
      </c>
      <c r="L217" s="4">
        <v>4</v>
      </c>
      <c r="M217" s="4">
        <v>1</v>
      </c>
      <c r="Q217">
        <v>29</v>
      </c>
    </row>
    <row r="218" spans="6:17">
      <c r="F218" s="12">
        <v>222</v>
      </c>
      <c r="G218" s="8" t="s">
        <v>918</v>
      </c>
      <c r="H218" s="7">
        <f t="shared" si="7"/>
        <v>29</v>
      </c>
      <c r="I218" s="3">
        <v>40687.690706018519</v>
      </c>
      <c r="J218" s="8" t="s">
        <v>1270</v>
      </c>
      <c r="K218" s="4">
        <f t="shared" si="6"/>
        <v>2</v>
      </c>
      <c r="L218" s="4">
        <v>2</v>
      </c>
      <c r="M218" s="4">
        <v>2</v>
      </c>
      <c r="Q218">
        <v>29</v>
      </c>
    </row>
    <row r="219" spans="6:17">
      <c r="F219" s="12">
        <v>269</v>
      </c>
      <c r="G219" s="8" t="s">
        <v>918</v>
      </c>
      <c r="H219" s="7">
        <f t="shared" si="7"/>
        <v>29</v>
      </c>
      <c r="I219" s="3">
        <v>40723.671377314815</v>
      </c>
      <c r="J219" s="8" t="s">
        <v>999</v>
      </c>
      <c r="K219" s="4">
        <f t="shared" si="6"/>
        <v>3</v>
      </c>
      <c r="L219" s="4">
        <v>2</v>
      </c>
      <c r="M219" s="4">
        <v>3</v>
      </c>
      <c r="Q219">
        <v>29</v>
      </c>
    </row>
    <row r="220" spans="6:17">
      <c r="F220" s="12">
        <v>96</v>
      </c>
      <c r="G220" s="8" t="s">
        <v>1130</v>
      </c>
      <c r="H220" s="7">
        <f t="shared" si="7"/>
        <v>30</v>
      </c>
      <c r="I220" s="3">
        <v>40651.94122685185</v>
      </c>
      <c r="J220" s="8" t="s">
        <v>1129</v>
      </c>
      <c r="K220" s="4">
        <f t="shared" ref="K220:K270" si="8">IF(Q220&gt;Q219,1,K219+1)</f>
        <v>1</v>
      </c>
      <c r="L220" s="4">
        <v>3</v>
      </c>
      <c r="M220" s="4">
        <v>1</v>
      </c>
      <c r="Q220">
        <v>30</v>
      </c>
    </row>
    <row r="221" spans="6:17">
      <c r="F221" s="12">
        <v>36</v>
      </c>
      <c r="G221" s="8" t="s">
        <v>416</v>
      </c>
      <c r="H221" s="7">
        <f t="shared" si="7"/>
        <v>31</v>
      </c>
      <c r="I221" s="3">
        <v>40624.417500000003</v>
      </c>
      <c r="J221" s="8" t="s">
        <v>517</v>
      </c>
      <c r="K221" s="4">
        <f t="shared" si="8"/>
        <v>1</v>
      </c>
      <c r="L221" s="4">
        <v>2</v>
      </c>
      <c r="M221" s="4">
        <v>1</v>
      </c>
      <c r="Q221">
        <v>31</v>
      </c>
    </row>
    <row r="222" spans="6:17">
      <c r="F222" s="12">
        <v>110</v>
      </c>
      <c r="G222" s="8" t="s">
        <v>416</v>
      </c>
      <c r="H222" s="7">
        <f t="shared" si="7"/>
        <v>31</v>
      </c>
      <c r="I222" s="3">
        <v>40658.968773148146</v>
      </c>
      <c r="J222" s="8" t="s">
        <v>1473</v>
      </c>
      <c r="K222" s="4">
        <f t="shared" si="8"/>
        <v>2</v>
      </c>
      <c r="L222" s="4">
        <v>2</v>
      </c>
      <c r="M222" s="4">
        <v>2</v>
      </c>
      <c r="Q222">
        <v>31</v>
      </c>
    </row>
    <row r="223" spans="6:17">
      <c r="F223" s="12">
        <v>144</v>
      </c>
      <c r="G223" s="8" t="s">
        <v>416</v>
      </c>
      <c r="H223" s="7">
        <f t="shared" si="7"/>
        <v>31</v>
      </c>
      <c r="I223" s="3">
        <v>40659.015879629631</v>
      </c>
      <c r="J223" s="8" t="s">
        <v>673</v>
      </c>
      <c r="K223" s="4">
        <f t="shared" si="8"/>
        <v>3</v>
      </c>
      <c r="L223" s="4">
        <v>3</v>
      </c>
      <c r="M223" s="4">
        <v>3</v>
      </c>
      <c r="Q223">
        <v>31</v>
      </c>
    </row>
    <row r="224" spans="6:17">
      <c r="F224" s="12">
        <v>250</v>
      </c>
      <c r="G224" s="8" t="s">
        <v>416</v>
      </c>
      <c r="H224" s="7">
        <f t="shared" si="7"/>
        <v>31</v>
      </c>
      <c r="I224" s="3">
        <v>40713.964016203703</v>
      </c>
      <c r="J224" s="8" t="s">
        <v>1316</v>
      </c>
      <c r="K224" s="4">
        <f t="shared" si="8"/>
        <v>4</v>
      </c>
      <c r="L224" s="4">
        <v>2</v>
      </c>
      <c r="M224" s="4">
        <v>4</v>
      </c>
      <c r="Q224">
        <v>31</v>
      </c>
    </row>
    <row r="225" spans="6:17">
      <c r="F225" s="12">
        <v>112</v>
      </c>
      <c r="G225" s="8" t="s">
        <v>974</v>
      </c>
      <c r="H225" s="7">
        <f t="shared" si="7"/>
        <v>32</v>
      </c>
      <c r="I225" s="3">
        <v>40661.752569444441</v>
      </c>
      <c r="J225" s="8" t="s">
        <v>1055</v>
      </c>
      <c r="K225" s="4">
        <f t="shared" si="8"/>
        <v>1</v>
      </c>
      <c r="L225" s="4">
        <v>2</v>
      </c>
      <c r="M225" s="4">
        <v>1</v>
      </c>
      <c r="Q225">
        <v>32</v>
      </c>
    </row>
    <row r="226" spans="6:17">
      <c r="F226" s="12">
        <v>115</v>
      </c>
      <c r="G226" s="8" t="s">
        <v>974</v>
      </c>
      <c r="H226" s="7">
        <f t="shared" si="7"/>
        <v>32</v>
      </c>
      <c r="I226" s="3">
        <v>40661.754907407405</v>
      </c>
      <c r="J226" s="8" t="s">
        <v>975</v>
      </c>
      <c r="K226" s="4">
        <f t="shared" si="8"/>
        <v>2</v>
      </c>
      <c r="L226" s="4">
        <v>2</v>
      </c>
      <c r="M226" s="4">
        <v>2</v>
      </c>
      <c r="Q226">
        <v>32</v>
      </c>
    </row>
    <row r="227" spans="6:17">
      <c r="F227" s="12">
        <v>33</v>
      </c>
      <c r="G227" s="8" t="s">
        <v>289</v>
      </c>
      <c r="H227" s="7">
        <f t="shared" si="7"/>
        <v>33</v>
      </c>
      <c r="I227" s="3">
        <v>40621.581678240742</v>
      </c>
      <c r="J227" s="8" t="s">
        <v>635</v>
      </c>
      <c r="K227" s="4">
        <f t="shared" si="8"/>
        <v>1</v>
      </c>
      <c r="L227" s="4">
        <v>36</v>
      </c>
      <c r="M227" s="4">
        <v>1</v>
      </c>
      <c r="Q227">
        <v>33</v>
      </c>
    </row>
    <row r="228" spans="6:17">
      <c r="F228" s="12">
        <v>35</v>
      </c>
      <c r="G228" s="8" t="s">
        <v>289</v>
      </c>
      <c r="H228" s="7">
        <f t="shared" si="7"/>
        <v>33</v>
      </c>
      <c r="I228" s="3">
        <v>40623.580347222225</v>
      </c>
      <c r="J228" s="8" t="s">
        <v>1136</v>
      </c>
      <c r="K228" s="4">
        <f t="shared" si="8"/>
        <v>2</v>
      </c>
      <c r="L228" s="4">
        <v>3</v>
      </c>
      <c r="M228" s="4">
        <v>2</v>
      </c>
      <c r="Q228">
        <v>33</v>
      </c>
    </row>
    <row r="229" spans="6:17">
      <c r="F229" s="12">
        <v>70</v>
      </c>
      <c r="G229" s="8" t="s">
        <v>289</v>
      </c>
      <c r="H229" s="7">
        <f t="shared" si="7"/>
        <v>33</v>
      </c>
      <c r="I229" s="3">
        <v>40635.272743055553</v>
      </c>
      <c r="J229" s="8" t="s">
        <v>1109</v>
      </c>
      <c r="K229" s="4">
        <f t="shared" si="8"/>
        <v>3</v>
      </c>
      <c r="L229" s="4">
        <v>2</v>
      </c>
      <c r="M229" s="4">
        <v>3</v>
      </c>
      <c r="Q229">
        <v>33</v>
      </c>
    </row>
    <row r="230" spans="6:17">
      <c r="F230" s="12">
        <v>71</v>
      </c>
      <c r="G230" s="8" t="s">
        <v>289</v>
      </c>
      <c r="H230" s="7">
        <f t="shared" si="7"/>
        <v>33</v>
      </c>
      <c r="I230" s="3">
        <v>40635.34306712963</v>
      </c>
      <c r="J230" s="8" t="s">
        <v>434</v>
      </c>
      <c r="K230" s="4">
        <f t="shared" si="8"/>
        <v>4</v>
      </c>
      <c r="L230" s="4">
        <v>2</v>
      </c>
      <c r="M230" s="4">
        <v>4</v>
      </c>
      <c r="Q230">
        <v>33</v>
      </c>
    </row>
    <row r="231" spans="6:17">
      <c r="F231" s="12">
        <v>72</v>
      </c>
      <c r="G231" s="8" t="s">
        <v>289</v>
      </c>
      <c r="H231" s="7">
        <f t="shared" si="7"/>
        <v>33</v>
      </c>
      <c r="I231" s="3">
        <v>40636.227476851855</v>
      </c>
      <c r="J231" s="8" t="s">
        <v>1001</v>
      </c>
      <c r="K231" s="4">
        <f t="shared" si="8"/>
        <v>5</v>
      </c>
      <c r="L231" s="4">
        <v>2</v>
      </c>
      <c r="M231" s="4">
        <v>5</v>
      </c>
      <c r="Q231">
        <v>33</v>
      </c>
    </row>
    <row r="232" spans="6:17">
      <c r="F232" s="12">
        <v>81</v>
      </c>
      <c r="G232" s="8" t="s">
        <v>289</v>
      </c>
      <c r="H232" s="7">
        <f t="shared" si="7"/>
        <v>33</v>
      </c>
      <c r="I232" s="3">
        <v>40648.916319444441</v>
      </c>
      <c r="J232" s="8" t="s">
        <v>1133</v>
      </c>
      <c r="K232" s="4">
        <f t="shared" si="8"/>
        <v>6</v>
      </c>
      <c r="L232" s="4">
        <v>3</v>
      </c>
      <c r="M232" s="4">
        <v>6</v>
      </c>
      <c r="Q232">
        <v>33</v>
      </c>
    </row>
    <row r="233" spans="6:17">
      <c r="F233" s="12">
        <v>100</v>
      </c>
      <c r="G233" s="8" t="s">
        <v>289</v>
      </c>
      <c r="H233" s="7">
        <f t="shared" si="7"/>
        <v>33</v>
      </c>
      <c r="I233" s="3">
        <v>40653.323194444441</v>
      </c>
      <c r="J233" s="8" t="s">
        <v>807</v>
      </c>
      <c r="K233" s="4">
        <f t="shared" si="8"/>
        <v>7</v>
      </c>
      <c r="L233" s="4">
        <v>5</v>
      </c>
      <c r="M233" s="4">
        <v>7</v>
      </c>
      <c r="Q233">
        <v>33</v>
      </c>
    </row>
    <row r="234" spans="6:17">
      <c r="F234" s="12">
        <v>107</v>
      </c>
      <c r="G234" s="8" t="s">
        <v>289</v>
      </c>
      <c r="H234" s="7">
        <f t="shared" si="7"/>
        <v>33</v>
      </c>
      <c r="I234" s="3">
        <v>40656.97011574074</v>
      </c>
      <c r="J234" s="8" t="s">
        <v>854</v>
      </c>
      <c r="K234" s="4">
        <f t="shared" si="8"/>
        <v>8</v>
      </c>
      <c r="L234" s="4">
        <v>3</v>
      </c>
      <c r="M234" s="4">
        <v>8</v>
      </c>
      <c r="Q234">
        <v>33</v>
      </c>
    </row>
    <row r="235" spans="6:17">
      <c r="F235" s="12">
        <v>135</v>
      </c>
      <c r="G235" s="8" t="s">
        <v>289</v>
      </c>
      <c r="H235" s="7">
        <f t="shared" si="7"/>
        <v>33</v>
      </c>
      <c r="I235" s="3">
        <v>40668.248437499999</v>
      </c>
      <c r="J235" s="8" t="s">
        <v>1382</v>
      </c>
      <c r="K235" s="4">
        <f t="shared" si="8"/>
        <v>9</v>
      </c>
      <c r="L235" s="4">
        <v>3</v>
      </c>
      <c r="M235" s="4">
        <v>9</v>
      </c>
      <c r="Q235">
        <v>33</v>
      </c>
    </row>
    <row r="236" spans="6:17">
      <c r="F236" s="12">
        <v>139</v>
      </c>
      <c r="G236" s="8" t="s">
        <v>289</v>
      </c>
      <c r="H236" s="7">
        <f t="shared" si="7"/>
        <v>33</v>
      </c>
      <c r="I236" s="3">
        <v>40668.809988425928</v>
      </c>
      <c r="J236" s="8" t="s">
        <v>780</v>
      </c>
      <c r="K236" s="4">
        <f t="shared" si="8"/>
        <v>10</v>
      </c>
      <c r="L236" s="4">
        <v>2</v>
      </c>
      <c r="M236" s="4">
        <v>10</v>
      </c>
      <c r="Q236">
        <v>33</v>
      </c>
    </row>
    <row r="237" spans="6:17">
      <c r="F237" s="12">
        <v>141</v>
      </c>
      <c r="G237" s="8" t="s">
        <v>289</v>
      </c>
      <c r="H237" s="7">
        <f t="shared" si="7"/>
        <v>33</v>
      </c>
      <c r="I237" s="3">
        <v>40670.363796296297</v>
      </c>
      <c r="J237" s="8">
        <v>7501670</v>
      </c>
      <c r="K237" s="4">
        <f t="shared" si="8"/>
        <v>11</v>
      </c>
      <c r="L237" s="4">
        <v>2</v>
      </c>
      <c r="M237" s="4">
        <v>11</v>
      </c>
      <c r="Q237">
        <v>33</v>
      </c>
    </row>
    <row r="238" spans="6:17">
      <c r="F238" s="12">
        <v>188</v>
      </c>
      <c r="G238" s="8" t="s">
        <v>289</v>
      </c>
      <c r="H238" s="7">
        <f t="shared" si="7"/>
        <v>33</v>
      </c>
      <c r="I238" s="3">
        <v>40694.225011574075</v>
      </c>
      <c r="J238" s="8" t="s">
        <v>1232</v>
      </c>
      <c r="K238" s="4">
        <f t="shared" si="8"/>
        <v>12</v>
      </c>
      <c r="L238" s="4">
        <v>7</v>
      </c>
      <c r="M238" s="4">
        <v>12</v>
      </c>
      <c r="Q238">
        <v>33</v>
      </c>
    </row>
    <row r="239" spans="6:17">
      <c r="F239" s="12">
        <v>191</v>
      </c>
      <c r="G239" s="8" t="s">
        <v>289</v>
      </c>
      <c r="H239" s="7">
        <f t="shared" si="7"/>
        <v>33</v>
      </c>
      <c r="I239" s="3">
        <v>40693.818842592591</v>
      </c>
      <c r="J239" s="8" t="s">
        <v>1037</v>
      </c>
      <c r="K239" s="4">
        <f t="shared" si="8"/>
        <v>13</v>
      </c>
      <c r="L239" s="4">
        <v>2</v>
      </c>
      <c r="M239" s="4">
        <v>13</v>
      </c>
      <c r="Q239">
        <v>33</v>
      </c>
    </row>
    <row r="240" spans="6:17">
      <c r="F240" s="12">
        <v>204</v>
      </c>
      <c r="G240" s="8" t="s">
        <v>289</v>
      </c>
      <c r="H240" s="7">
        <f t="shared" si="7"/>
        <v>33</v>
      </c>
      <c r="I240" s="3">
        <v>40698.13212962963</v>
      </c>
      <c r="J240" s="8" t="s">
        <v>1087</v>
      </c>
      <c r="K240" s="4">
        <f t="shared" si="8"/>
        <v>14</v>
      </c>
      <c r="L240" s="4">
        <v>7</v>
      </c>
      <c r="M240" s="4">
        <v>14</v>
      </c>
      <c r="Q240">
        <v>33</v>
      </c>
    </row>
    <row r="241" spans="6:17">
      <c r="F241" s="12">
        <v>256</v>
      </c>
      <c r="G241" s="8" t="s">
        <v>289</v>
      </c>
      <c r="H241" s="7">
        <f t="shared" si="7"/>
        <v>33</v>
      </c>
      <c r="I241" s="3">
        <v>40715.065335648149</v>
      </c>
      <c r="J241" s="8" t="s">
        <v>382</v>
      </c>
      <c r="K241" s="4">
        <f t="shared" si="8"/>
        <v>15</v>
      </c>
      <c r="L241" s="4">
        <v>2</v>
      </c>
      <c r="M241" s="4">
        <v>15</v>
      </c>
      <c r="Q241">
        <v>33</v>
      </c>
    </row>
    <row r="242" spans="6:17">
      <c r="F242" s="12">
        <v>167</v>
      </c>
      <c r="G242" s="8" t="s">
        <v>1468</v>
      </c>
      <c r="H242" s="7">
        <f t="shared" si="7"/>
        <v>34</v>
      </c>
      <c r="I242" s="3">
        <v>40676.419328703705</v>
      </c>
      <c r="J242" s="8" t="s">
        <v>1469</v>
      </c>
      <c r="K242" s="4">
        <f t="shared" si="8"/>
        <v>1</v>
      </c>
      <c r="L242" s="4">
        <v>2</v>
      </c>
      <c r="M242" s="4">
        <v>1</v>
      </c>
      <c r="Q242">
        <v>34</v>
      </c>
    </row>
    <row r="243" spans="6:17">
      <c r="F243" s="12">
        <v>236</v>
      </c>
      <c r="G243" s="8" t="s">
        <v>1030</v>
      </c>
      <c r="H243" s="7">
        <f t="shared" si="7"/>
        <v>34</v>
      </c>
      <c r="I243" s="3">
        <v>40704.275393518517</v>
      </c>
      <c r="J243" s="8" t="s">
        <v>1031</v>
      </c>
      <c r="K243" s="4">
        <f t="shared" si="8"/>
        <v>2</v>
      </c>
      <c r="L243" s="4">
        <v>2</v>
      </c>
      <c r="M243" s="4">
        <v>2</v>
      </c>
      <c r="Q243">
        <v>34</v>
      </c>
    </row>
    <row r="244" spans="6:17">
      <c r="F244" s="12">
        <v>54</v>
      </c>
      <c r="G244" s="8" t="s">
        <v>1581</v>
      </c>
      <c r="H244" s="7">
        <f t="shared" si="7"/>
        <v>35</v>
      </c>
      <c r="I244" s="3">
        <v>40632.723993055559</v>
      </c>
      <c r="J244" s="8" t="s">
        <v>1455</v>
      </c>
      <c r="K244" s="4">
        <f t="shared" si="8"/>
        <v>1</v>
      </c>
      <c r="L244" s="4">
        <v>4</v>
      </c>
      <c r="M244" s="4">
        <v>1</v>
      </c>
      <c r="Q244">
        <v>35</v>
      </c>
    </row>
    <row r="245" spans="6:17">
      <c r="F245" s="12">
        <v>48</v>
      </c>
      <c r="G245" s="8" t="s">
        <v>299</v>
      </c>
      <c r="H245" s="7">
        <f t="shared" si="7"/>
        <v>36</v>
      </c>
      <c r="I245" s="3">
        <v>40625.667847222219</v>
      </c>
      <c r="J245" s="8" t="s">
        <v>1239</v>
      </c>
      <c r="K245" s="4">
        <f t="shared" si="8"/>
        <v>1</v>
      </c>
      <c r="L245" s="4">
        <v>5</v>
      </c>
      <c r="M245" s="4">
        <v>1</v>
      </c>
      <c r="Q245">
        <v>36</v>
      </c>
    </row>
    <row r="246" spans="6:17">
      <c r="F246" s="12">
        <v>53</v>
      </c>
      <c r="G246" s="8" t="s">
        <v>299</v>
      </c>
      <c r="H246" s="7">
        <f t="shared" si="7"/>
        <v>36</v>
      </c>
      <c r="I246" s="3">
        <v>40632.50582175926</v>
      </c>
      <c r="J246" s="8" t="s">
        <v>1454</v>
      </c>
      <c r="K246" s="4">
        <f t="shared" si="8"/>
        <v>2</v>
      </c>
      <c r="L246" s="4">
        <v>6</v>
      </c>
      <c r="M246" s="4">
        <v>2</v>
      </c>
      <c r="Q246">
        <v>36</v>
      </c>
    </row>
    <row r="247" spans="6:17">
      <c r="F247" s="12">
        <v>55</v>
      </c>
      <c r="G247" s="8" t="s">
        <v>299</v>
      </c>
      <c r="H247" s="7">
        <f t="shared" si="7"/>
        <v>36</v>
      </c>
      <c r="I247" s="3">
        <v>40632.724247685182</v>
      </c>
      <c r="J247" s="8" t="s">
        <v>1057</v>
      </c>
      <c r="K247" s="4">
        <f t="shared" si="8"/>
        <v>3</v>
      </c>
      <c r="L247" s="4">
        <v>4</v>
      </c>
      <c r="M247" s="4">
        <v>3</v>
      </c>
      <c r="Q247">
        <v>36</v>
      </c>
    </row>
    <row r="248" spans="6:17">
      <c r="F248" s="12">
        <v>57</v>
      </c>
      <c r="G248" s="8" t="s">
        <v>299</v>
      </c>
      <c r="H248" s="7">
        <f t="shared" si="7"/>
        <v>36</v>
      </c>
      <c r="I248" s="3">
        <v>40633.414953703701</v>
      </c>
      <c r="J248" s="8" t="s">
        <v>677</v>
      </c>
      <c r="K248" s="4">
        <f t="shared" si="8"/>
        <v>4</v>
      </c>
      <c r="L248" s="4">
        <v>7</v>
      </c>
      <c r="M248" s="4">
        <v>4</v>
      </c>
      <c r="Q248">
        <v>36</v>
      </c>
    </row>
    <row r="249" spans="6:17">
      <c r="F249" s="12">
        <v>59</v>
      </c>
      <c r="G249" s="8" t="s">
        <v>299</v>
      </c>
      <c r="H249" s="7">
        <f t="shared" si="7"/>
        <v>36</v>
      </c>
      <c r="I249" s="3">
        <v>40633.416678240741</v>
      </c>
      <c r="J249" s="8" t="s">
        <v>585</v>
      </c>
      <c r="K249" s="4">
        <f t="shared" si="8"/>
        <v>5</v>
      </c>
      <c r="L249" s="4">
        <v>2</v>
      </c>
      <c r="M249" s="4">
        <v>5</v>
      </c>
      <c r="Q249">
        <v>36</v>
      </c>
    </row>
    <row r="250" spans="6:17">
      <c r="F250" s="12">
        <v>60</v>
      </c>
      <c r="G250" s="8" t="s">
        <v>299</v>
      </c>
      <c r="H250" s="7">
        <f t="shared" si="7"/>
        <v>36</v>
      </c>
      <c r="I250" s="3">
        <v>40633.691030092596</v>
      </c>
      <c r="J250" s="8" t="s">
        <v>1460</v>
      </c>
      <c r="K250" s="4">
        <f t="shared" si="8"/>
        <v>6</v>
      </c>
      <c r="L250" s="4">
        <v>2</v>
      </c>
      <c r="M250" s="4">
        <v>6</v>
      </c>
      <c r="Q250">
        <v>36</v>
      </c>
    </row>
    <row r="251" spans="6:17">
      <c r="F251" s="12">
        <v>137</v>
      </c>
      <c r="G251" s="8" t="s">
        <v>299</v>
      </c>
      <c r="H251" s="7">
        <f t="shared" si="7"/>
        <v>36</v>
      </c>
      <c r="I251" s="3">
        <v>40668.411736111113</v>
      </c>
      <c r="J251" s="8" t="s">
        <v>1367</v>
      </c>
      <c r="K251" s="4">
        <f t="shared" si="8"/>
        <v>7</v>
      </c>
      <c r="L251" s="4">
        <v>3</v>
      </c>
      <c r="M251" s="4">
        <v>7</v>
      </c>
      <c r="Q251">
        <v>36</v>
      </c>
    </row>
    <row r="252" spans="6:17">
      <c r="F252" s="12">
        <v>221</v>
      </c>
      <c r="G252" s="8" t="s">
        <v>299</v>
      </c>
      <c r="H252" s="7">
        <f t="shared" si="7"/>
        <v>36</v>
      </c>
      <c r="I252" s="3">
        <v>40701.719953703701</v>
      </c>
      <c r="J252" s="8" t="s">
        <v>549</v>
      </c>
      <c r="K252" s="4">
        <f t="shared" si="8"/>
        <v>8</v>
      </c>
      <c r="L252" s="4">
        <v>2</v>
      </c>
      <c r="M252" s="4">
        <v>8</v>
      </c>
      <c r="Q252">
        <v>36</v>
      </c>
    </row>
    <row r="253" spans="6:17">
      <c r="F253" s="12">
        <v>223</v>
      </c>
      <c r="G253" s="8" t="s">
        <v>299</v>
      </c>
      <c r="H253" s="7">
        <f t="shared" si="7"/>
        <v>36</v>
      </c>
      <c r="I253" s="3">
        <v>40701.719953703701</v>
      </c>
      <c r="J253" s="8" t="s">
        <v>1271</v>
      </c>
      <c r="K253" s="4">
        <f t="shared" si="8"/>
        <v>9</v>
      </c>
      <c r="L253" s="4">
        <v>2</v>
      </c>
      <c r="M253" s="4">
        <v>9</v>
      </c>
      <c r="Q253">
        <v>36</v>
      </c>
    </row>
    <row r="254" spans="6:17">
      <c r="F254" s="12">
        <v>45</v>
      </c>
      <c r="G254" s="8" t="s">
        <v>438</v>
      </c>
      <c r="H254" s="7">
        <f t="shared" si="7"/>
        <v>37</v>
      </c>
      <c r="I254" s="3">
        <v>40630.606134259258</v>
      </c>
      <c r="J254" s="8" t="s">
        <v>671</v>
      </c>
      <c r="K254" s="4">
        <f t="shared" si="8"/>
        <v>1</v>
      </c>
      <c r="L254" s="4">
        <v>3</v>
      </c>
      <c r="M254" s="4">
        <v>1</v>
      </c>
      <c r="Q254">
        <v>37</v>
      </c>
    </row>
    <row r="255" spans="6:17">
      <c r="F255" s="12">
        <v>140</v>
      </c>
      <c r="G255" s="8" t="s">
        <v>438</v>
      </c>
      <c r="H255" s="7">
        <f t="shared" si="7"/>
        <v>37</v>
      </c>
      <c r="I255" s="3">
        <v>40669.832905092589</v>
      </c>
      <c r="J255" s="8" t="s">
        <v>902</v>
      </c>
      <c r="K255" s="4">
        <f t="shared" si="8"/>
        <v>2</v>
      </c>
      <c r="L255" s="4">
        <v>2</v>
      </c>
      <c r="M255" s="4">
        <v>2</v>
      </c>
      <c r="Q255">
        <v>37</v>
      </c>
    </row>
    <row r="256" spans="6:17">
      <c r="F256" s="12">
        <v>143</v>
      </c>
      <c r="G256" s="8" t="s">
        <v>438</v>
      </c>
      <c r="H256" s="7">
        <f t="shared" si="7"/>
        <v>37</v>
      </c>
      <c r="I256" s="3">
        <v>40672.698553240742</v>
      </c>
      <c r="J256" s="8" t="s">
        <v>1418</v>
      </c>
      <c r="K256" s="4">
        <f t="shared" si="8"/>
        <v>3</v>
      </c>
      <c r="L256" s="4">
        <v>3</v>
      </c>
      <c r="M256" s="4">
        <v>3</v>
      </c>
      <c r="Q256">
        <v>37</v>
      </c>
    </row>
    <row r="257" spans="6:17">
      <c r="F257" s="12">
        <v>147</v>
      </c>
      <c r="G257" s="8" t="s">
        <v>438</v>
      </c>
      <c r="H257" s="7">
        <f t="shared" si="7"/>
        <v>37</v>
      </c>
      <c r="I257" s="3">
        <v>40673.486018518517</v>
      </c>
      <c r="J257" s="8" t="s">
        <v>437</v>
      </c>
      <c r="K257" s="4">
        <f t="shared" si="8"/>
        <v>4</v>
      </c>
      <c r="L257" s="4">
        <v>2</v>
      </c>
      <c r="M257" s="4">
        <v>4</v>
      </c>
      <c r="Q257">
        <v>37</v>
      </c>
    </row>
    <row r="258" spans="6:17">
      <c r="F258" s="12">
        <v>161</v>
      </c>
      <c r="G258" s="8" t="s">
        <v>438</v>
      </c>
      <c r="H258" s="7">
        <f t="shared" ref="H258:H270" si="9">LOOKUP(G258,$N$2:$N$42,$O$2:$O$42)</f>
        <v>37</v>
      </c>
      <c r="I258" s="3">
        <v>40681.545416666668</v>
      </c>
      <c r="J258" s="8" t="s">
        <v>1277</v>
      </c>
      <c r="K258" s="4">
        <f t="shared" si="8"/>
        <v>5</v>
      </c>
      <c r="L258" s="4">
        <v>2</v>
      </c>
      <c r="M258" s="4">
        <v>5</v>
      </c>
      <c r="Q258">
        <v>37</v>
      </c>
    </row>
    <row r="259" spans="6:17">
      <c r="F259" s="12">
        <v>164</v>
      </c>
      <c r="G259" s="8" t="s">
        <v>438</v>
      </c>
      <c r="H259" s="7">
        <f t="shared" si="9"/>
        <v>37</v>
      </c>
      <c r="I259" s="3">
        <v>40682.430451388886</v>
      </c>
      <c r="J259" s="8" t="s">
        <v>1084</v>
      </c>
      <c r="K259" s="4">
        <f t="shared" si="8"/>
        <v>6</v>
      </c>
      <c r="L259" s="4">
        <v>2</v>
      </c>
      <c r="M259" s="4">
        <v>6</v>
      </c>
      <c r="Q259">
        <v>37</v>
      </c>
    </row>
    <row r="260" spans="6:17">
      <c r="F260" s="12">
        <v>127</v>
      </c>
      <c r="G260" s="8" t="s">
        <v>297</v>
      </c>
      <c r="H260" s="7">
        <f t="shared" si="9"/>
        <v>38</v>
      </c>
      <c r="I260" s="3">
        <v>40665.70380787037</v>
      </c>
      <c r="J260" s="8" t="s">
        <v>561</v>
      </c>
      <c r="K260" s="4">
        <f t="shared" si="8"/>
        <v>1</v>
      </c>
      <c r="L260" s="4">
        <v>10</v>
      </c>
      <c r="M260" s="4">
        <v>1</v>
      </c>
      <c r="Q260">
        <v>38</v>
      </c>
    </row>
    <row r="261" spans="6:17">
      <c r="F261" s="12">
        <v>129</v>
      </c>
      <c r="G261" s="8" t="s">
        <v>297</v>
      </c>
      <c r="H261" s="7">
        <f t="shared" si="9"/>
        <v>38</v>
      </c>
      <c r="I261" s="3">
        <v>40666.702002314814</v>
      </c>
      <c r="J261" s="8" t="s">
        <v>953</v>
      </c>
      <c r="K261" s="4">
        <f t="shared" si="8"/>
        <v>2</v>
      </c>
      <c r="L261" s="4">
        <v>5</v>
      </c>
      <c r="M261" s="4">
        <v>2</v>
      </c>
      <c r="Q261">
        <v>38</v>
      </c>
    </row>
    <row r="262" spans="6:17">
      <c r="F262" s="12">
        <v>131</v>
      </c>
      <c r="G262" s="8" t="s">
        <v>297</v>
      </c>
      <c r="H262" s="7">
        <f t="shared" si="9"/>
        <v>38</v>
      </c>
      <c r="I262" s="3">
        <v>40666.706134259257</v>
      </c>
      <c r="J262" s="8" t="s">
        <v>1358</v>
      </c>
      <c r="K262" s="4">
        <f t="shared" si="8"/>
        <v>3</v>
      </c>
      <c r="L262" s="4">
        <v>2</v>
      </c>
      <c r="M262" s="4">
        <v>3</v>
      </c>
      <c r="Q262">
        <v>38</v>
      </c>
    </row>
    <row r="263" spans="6:17">
      <c r="F263" s="12">
        <v>133</v>
      </c>
      <c r="G263" s="8" t="s">
        <v>297</v>
      </c>
      <c r="H263" s="7">
        <f t="shared" si="9"/>
        <v>38</v>
      </c>
      <c r="I263" s="3">
        <v>40666.717800925922</v>
      </c>
      <c r="J263" s="8" t="s">
        <v>1452</v>
      </c>
      <c r="K263" s="4">
        <f t="shared" si="8"/>
        <v>4</v>
      </c>
      <c r="L263" s="4">
        <v>2</v>
      </c>
      <c r="M263" s="4">
        <v>4</v>
      </c>
      <c r="Q263">
        <v>38</v>
      </c>
    </row>
    <row r="264" spans="6:17">
      <c r="F264" s="12">
        <v>138</v>
      </c>
      <c r="G264" s="8" t="s">
        <v>297</v>
      </c>
      <c r="H264" s="7">
        <f t="shared" si="9"/>
        <v>38</v>
      </c>
      <c r="I264" s="3">
        <v>40668.705127314817</v>
      </c>
      <c r="J264" s="8" t="s">
        <v>779</v>
      </c>
      <c r="K264" s="4">
        <f t="shared" si="8"/>
        <v>5</v>
      </c>
      <c r="L264" s="4">
        <v>4</v>
      </c>
      <c r="M264" s="4">
        <v>5</v>
      </c>
      <c r="Q264">
        <v>38</v>
      </c>
    </row>
    <row r="265" spans="6:17">
      <c r="F265" s="12">
        <v>89</v>
      </c>
      <c r="G265" s="8" t="s">
        <v>315</v>
      </c>
      <c r="H265" s="7">
        <f t="shared" si="9"/>
        <v>39</v>
      </c>
      <c r="I265" s="3">
        <v>40651.55940972222</v>
      </c>
      <c r="J265" s="8" t="s">
        <v>1024</v>
      </c>
      <c r="K265" s="4">
        <f t="shared" si="8"/>
        <v>1</v>
      </c>
      <c r="L265" s="4">
        <v>2</v>
      </c>
      <c r="M265" s="4">
        <v>1</v>
      </c>
      <c r="Q265">
        <v>39</v>
      </c>
    </row>
    <row r="266" spans="6:17">
      <c r="F266" s="12">
        <v>106</v>
      </c>
      <c r="G266" s="8" t="s">
        <v>291</v>
      </c>
      <c r="H266" s="7">
        <f t="shared" si="9"/>
        <v>40</v>
      </c>
      <c r="I266" s="3">
        <v>40655.811886574076</v>
      </c>
      <c r="J266" s="8" t="s">
        <v>1106</v>
      </c>
      <c r="K266" s="4">
        <f t="shared" si="8"/>
        <v>1</v>
      </c>
      <c r="L266" s="4">
        <v>2</v>
      </c>
      <c r="M266" s="4">
        <v>1</v>
      </c>
      <c r="Q266">
        <v>40</v>
      </c>
    </row>
    <row r="267" spans="6:17">
      <c r="F267" s="12">
        <v>185</v>
      </c>
      <c r="G267" s="8" t="s">
        <v>291</v>
      </c>
      <c r="H267" s="7">
        <f t="shared" si="9"/>
        <v>40</v>
      </c>
      <c r="I267" s="3">
        <v>40693.478541666664</v>
      </c>
      <c r="J267" s="8" t="s">
        <v>894</v>
      </c>
      <c r="K267" s="4">
        <f t="shared" si="8"/>
        <v>2</v>
      </c>
      <c r="L267" s="4">
        <v>2</v>
      </c>
      <c r="M267" s="4">
        <v>2</v>
      </c>
      <c r="Q267">
        <v>40</v>
      </c>
    </row>
    <row r="268" spans="6:17">
      <c r="F268" s="12">
        <v>238</v>
      </c>
      <c r="G268" s="8" t="s">
        <v>291</v>
      </c>
      <c r="H268" s="7">
        <f t="shared" si="9"/>
        <v>40</v>
      </c>
      <c r="I268" s="3">
        <v>40704.956805555557</v>
      </c>
      <c r="J268" s="8" t="s">
        <v>1304</v>
      </c>
      <c r="K268" s="4">
        <f t="shared" si="8"/>
        <v>3</v>
      </c>
      <c r="L268" s="4">
        <v>2</v>
      </c>
      <c r="M268" s="4">
        <v>3</v>
      </c>
      <c r="Q268">
        <v>40</v>
      </c>
    </row>
    <row r="269" spans="6:17">
      <c r="F269" s="12">
        <v>241</v>
      </c>
      <c r="G269" s="8" t="s">
        <v>812</v>
      </c>
      <c r="H269" s="7">
        <f t="shared" si="9"/>
        <v>41</v>
      </c>
      <c r="I269" s="3">
        <v>40711.008900462963</v>
      </c>
      <c r="J269" s="8" t="s">
        <v>1080</v>
      </c>
      <c r="K269" s="4">
        <f t="shared" si="8"/>
        <v>1</v>
      </c>
      <c r="L269" s="4">
        <v>2</v>
      </c>
      <c r="M269" s="4">
        <v>1</v>
      </c>
      <c r="Q269">
        <v>41</v>
      </c>
    </row>
    <row r="270" spans="6:17">
      <c r="F270" s="12">
        <v>264</v>
      </c>
      <c r="G270" s="8" t="s">
        <v>812</v>
      </c>
      <c r="H270" s="7">
        <f t="shared" si="9"/>
        <v>41</v>
      </c>
      <c r="I270" s="3">
        <v>40713.057766203703</v>
      </c>
      <c r="J270" s="8" t="s">
        <v>813</v>
      </c>
      <c r="K270" s="4">
        <f t="shared" si="8"/>
        <v>2</v>
      </c>
      <c r="L270" s="4">
        <v>2</v>
      </c>
      <c r="M270" s="4">
        <v>2</v>
      </c>
      <c r="Q270">
        <v>41</v>
      </c>
    </row>
    <row r="271" spans="6:17">
      <c r="G271" s="3"/>
      <c r="J271" s="8" t="s">
        <v>1874</v>
      </c>
      <c r="L271" s="16">
        <f>AVERAGE(L2:L270)</f>
        <v>3.9888475836431225</v>
      </c>
    </row>
    <row r="272" spans="6:17">
      <c r="G272" s="3"/>
    </row>
    <row r="273" spans="7:7">
      <c r="G273"/>
    </row>
    <row r="274" spans="7:7">
      <c r="G274" s="3"/>
    </row>
    <row r="275" spans="7:7">
      <c r="G275" s="3"/>
    </row>
    <row r="276" spans="7:7">
      <c r="G276" s="3"/>
    </row>
    <row r="277" spans="7:7">
      <c r="G277"/>
    </row>
    <row r="278" spans="7:7">
      <c r="G278" s="3"/>
    </row>
    <row r="279" spans="7:7">
      <c r="G279" s="3"/>
    </row>
    <row r="280" spans="7:7">
      <c r="G280"/>
    </row>
    <row r="281" spans="7:7">
      <c r="G281" s="3"/>
    </row>
    <row r="282" spans="7:7">
      <c r="G282"/>
    </row>
    <row r="283" spans="7:7">
      <c r="G283"/>
    </row>
    <row r="284" spans="7:7">
      <c r="G284" s="3"/>
    </row>
    <row r="285" spans="7:7">
      <c r="G285"/>
    </row>
    <row r="286" spans="7:7">
      <c r="G286"/>
    </row>
    <row r="287" spans="7:7">
      <c r="G287"/>
    </row>
    <row r="288" spans="7:7">
      <c r="G288"/>
    </row>
    <row r="289" spans="7:7">
      <c r="G289" s="3"/>
    </row>
    <row r="290" spans="7:7">
      <c r="G290" s="3"/>
    </row>
    <row r="291" spans="7:7">
      <c r="G291"/>
    </row>
    <row r="292" spans="7:7">
      <c r="G292" s="3"/>
    </row>
    <row r="293" spans="7:7">
      <c r="G293"/>
    </row>
    <row r="294" spans="7:7">
      <c r="G294" s="3"/>
    </row>
    <row r="295" spans="7:7">
      <c r="G295" s="3"/>
    </row>
    <row r="296" spans="7:7">
      <c r="G296"/>
    </row>
    <row r="297" spans="7:7">
      <c r="G297" s="3"/>
    </row>
    <row r="298" spans="7:7">
      <c r="G298"/>
    </row>
    <row r="299" spans="7:7">
      <c r="G299" s="3"/>
    </row>
    <row r="300" spans="7:7">
      <c r="G300"/>
    </row>
    <row r="301" spans="7:7">
      <c r="G301"/>
    </row>
    <row r="302" spans="7:7">
      <c r="G302"/>
    </row>
    <row r="303" spans="7:7">
      <c r="G303" s="3"/>
    </row>
    <row r="304" spans="7:7">
      <c r="G304"/>
    </row>
    <row r="305" spans="7:7">
      <c r="G305"/>
    </row>
    <row r="306" spans="7:7">
      <c r="G306" s="3"/>
    </row>
    <row r="307" spans="7:7">
      <c r="G307" s="3"/>
    </row>
    <row r="308" spans="7:7">
      <c r="G308"/>
    </row>
    <row r="309" spans="7:7">
      <c r="G309" s="3"/>
    </row>
    <row r="310" spans="7:7">
      <c r="G310" s="3"/>
    </row>
    <row r="311" spans="7:7">
      <c r="G311"/>
    </row>
    <row r="312" spans="7:7">
      <c r="G312" s="3"/>
    </row>
    <row r="313" spans="7:7">
      <c r="G313" s="3"/>
    </row>
    <row r="314" spans="7:7">
      <c r="G314"/>
    </row>
    <row r="315" spans="7:7">
      <c r="G315" s="3"/>
    </row>
    <row r="316" spans="7:7">
      <c r="G316"/>
    </row>
    <row r="317" spans="7:7">
      <c r="G317" s="3"/>
    </row>
    <row r="318" spans="7:7">
      <c r="G318" s="3"/>
    </row>
    <row r="319" spans="7:7">
      <c r="G319" s="3"/>
    </row>
    <row r="320" spans="7:7">
      <c r="G320" s="3"/>
    </row>
    <row r="321" spans="7:7">
      <c r="G321" s="3"/>
    </row>
    <row r="322" spans="7:7">
      <c r="G322"/>
    </row>
    <row r="323" spans="7:7">
      <c r="G323"/>
    </row>
    <row r="324" spans="7:7">
      <c r="G324"/>
    </row>
    <row r="325" spans="7:7">
      <c r="G325" s="3"/>
    </row>
    <row r="326" spans="7:7">
      <c r="G326" s="3"/>
    </row>
    <row r="327" spans="7:7">
      <c r="G327" s="3"/>
    </row>
    <row r="328" spans="7:7">
      <c r="G328" s="3"/>
    </row>
    <row r="329" spans="7:7">
      <c r="G329" s="3"/>
    </row>
    <row r="330" spans="7:7">
      <c r="G330" s="3"/>
    </row>
    <row r="331" spans="7:7">
      <c r="G331"/>
    </row>
    <row r="332" spans="7:7">
      <c r="G332"/>
    </row>
    <row r="333" spans="7:7">
      <c r="G333" s="3"/>
    </row>
    <row r="334" spans="7:7">
      <c r="G334"/>
    </row>
    <row r="335" spans="7:7">
      <c r="G335" s="3"/>
    </row>
    <row r="336" spans="7:7">
      <c r="G336"/>
    </row>
    <row r="337" spans="7:7">
      <c r="G337"/>
    </row>
    <row r="338" spans="7:7">
      <c r="G338" s="3"/>
    </row>
    <row r="339" spans="7:7">
      <c r="G339"/>
    </row>
    <row r="340" spans="7:7">
      <c r="G340" s="3"/>
    </row>
    <row r="341" spans="7:7">
      <c r="G341" s="3"/>
    </row>
    <row r="342" spans="7:7">
      <c r="G342"/>
    </row>
    <row r="343" spans="7:7">
      <c r="G343"/>
    </row>
    <row r="344" spans="7:7">
      <c r="G344" s="3"/>
    </row>
    <row r="345" spans="7:7">
      <c r="G345"/>
    </row>
    <row r="346" spans="7:7">
      <c r="G346"/>
    </row>
    <row r="347" spans="7:7">
      <c r="G347"/>
    </row>
    <row r="348" spans="7:7">
      <c r="G348" s="2"/>
    </row>
    <row r="349" spans="7:7">
      <c r="G349" s="3"/>
    </row>
    <row r="350" spans="7:7">
      <c r="G350" s="3"/>
    </row>
    <row r="351" spans="7:7">
      <c r="G351"/>
    </row>
    <row r="352" spans="7:7">
      <c r="G352" s="3"/>
    </row>
    <row r="353" spans="7:7">
      <c r="G353" s="3"/>
    </row>
    <row r="354" spans="7:7">
      <c r="G354"/>
    </row>
    <row r="355" spans="7:7">
      <c r="G355"/>
    </row>
    <row r="356" spans="7:7">
      <c r="G356"/>
    </row>
    <row r="357" spans="7:7">
      <c r="G357"/>
    </row>
    <row r="358" spans="7:7">
      <c r="G358" s="3"/>
    </row>
    <row r="359" spans="7:7">
      <c r="G359" s="3"/>
    </row>
    <row r="360" spans="7:7">
      <c r="G360" s="3"/>
    </row>
    <row r="361" spans="7:7">
      <c r="G361" s="3"/>
    </row>
    <row r="362" spans="7:7">
      <c r="G362"/>
    </row>
    <row r="363" spans="7:7">
      <c r="G363" s="3"/>
    </row>
    <row r="364" spans="7:7">
      <c r="G364" s="3"/>
    </row>
    <row r="365" spans="7:7">
      <c r="G365" s="3"/>
    </row>
    <row r="366" spans="7:7">
      <c r="G366"/>
    </row>
    <row r="367" spans="7:7">
      <c r="G367"/>
    </row>
    <row r="368" spans="7:7">
      <c r="G368"/>
    </row>
    <row r="369" spans="7:7">
      <c r="G369"/>
    </row>
    <row r="370" spans="7:7">
      <c r="G370"/>
    </row>
    <row r="371" spans="7:7">
      <c r="G371"/>
    </row>
    <row r="372" spans="7:7">
      <c r="G372"/>
    </row>
    <row r="373" spans="7:7">
      <c r="G373"/>
    </row>
    <row r="374" spans="7:7">
      <c r="G374"/>
    </row>
    <row r="375" spans="7:7">
      <c r="G375"/>
    </row>
    <row r="376" spans="7:7">
      <c r="G376"/>
    </row>
    <row r="377" spans="7:7">
      <c r="G377" s="3"/>
    </row>
    <row r="378" spans="7:7">
      <c r="G378"/>
    </row>
    <row r="379" spans="7:7">
      <c r="G379" s="3"/>
    </row>
    <row r="380" spans="7:7">
      <c r="G380" s="3"/>
    </row>
    <row r="381" spans="7:7">
      <c r="G381" s="3"/>
    </row>
    <row r="382" spans="7:7">
      <c r="G382"/>
    </row>
    <row r="383" spans="7:7">
      <c r="G383"/>
    </row>
    <row r="384" spans="7:7">
      <c r="G384"/>
    </row>
    <row r="385" spans="7:10">
      <c r="G385" s="3"/>
    </row>
    <row r="386" spans="7:10">
      <c r="G386" s="3"/>
    </row>
    <row r="387" spans="7:10">
      <c r="G387"/>
    </row>
    <row r="388" spans="7:10">
      <c r="G388" s="3"/>
    </row>
    <row r="389" spans="7:10">
      <c r="G389" s="3"/>
    </row>
    <row r="390" spans="7:10">
      <c r="G390"/>
    </row>
    <row r="391" spans="7:10">
      <c r="G391" s="3"/>
    </row>
    <row r="392" spans="7:10">
      <c r="G392"/>
      <c r="H392"/>
      <c r="I392"/>
      <c r="J392"/>
    </row>
    <row r="393" spans="7:10">
      <c r="G393"/>
      <c r="H393"/>
      <c r="I393"/>
      <c r="J393"/>
    </row>
    <row r="394" spans="7:10">
      <c r="G394"/>
      <c r="H394"/>
      <c r="I394"/>
      <c r="J394"/>
    </row>
    <row r="395" spans="7:10">
      <c r="G395"/>
      <c r="H395"/>
      <c r="I395"/>
      <c r="J395"/>
    </row>
    <row r="396" spans="7:10">
      <c r="G396"/>
      <c r="H396"/>
      <c r="I396"/>
      <c r="J396"/>
    </row>
  </sheetData>
  <autoFilter ref="H1:H396"/>
  <sortState ref="F2:M270">
    <sortCondition ref="H2:H270"/>
    <sortCondition ref="M2:M270"/>
  </sortState>
  <dataConsolidate/>
  <conditionalFormatting sqref="D2:D101">
    <cfRule type="duplicateValues" dxfId="301" priority="14"/>
  </conditionalFormatting>
  <conditionalFormatting sqref="D102:D201">
    <cfRule type="duplicateValues" dxfId="300" priority="13"/>
  </conditionalFormatting>
  <conditionalFormatting sqref="J298:J391">
    <cfRule type="cellIs" dxfId="299" priority="12" operator="lessThan">
      <formula>0</formula>
    </cfRule>
  </conditionalFormatting>
  <conditionalFormatting sqref="J271:J391">
    <cfRule type="duplicateValues" dxfId="298" priority="18"/>
  </conditionalFormatting>
  <conditionalFormatting sqref="S102:S195">
    <cfRule type="cellIs" dxfId="297" priority="4" operator="lessThan">
      <formula>0</formula>
    </cfRule>
  </conditionalFormatting>
  <conditionalFormatting sqref="S2:S11 S13:S195">
    <cfRule type="duplicateValues" dxfId="296" priority="5"/>
  </conditionalFormatting>
  <conditionalFormatting sqref="S12">
    <cfRule type="duplicateValues" dxfId="295" priority="3"/>
  </conditionalFormatting>
  <conditionalFormatting sqref="I2:I270">
    <cfRule type="duplicateValues" dxfId="294" priority="2"/>
  </conditionalFormatting>
  <conditionalFormatting sqref="J2:J270">
    <cfRule type="duplicateValues" dxfId="293" priority="1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T396"/>
  <sheetViews>
    <sheetView zoomScale="80" zoomScaleNormal="80" zoomScalePageLayoutView="80" workbookViewId="0">
      <selection activeCell="H2" sqref="H2"/>
    </sheetView>
  </sheetViews>
  <sheetFormatPr baseColWidth="10" defaultColWidth="11" defaultRowHeight="15" x14ac:dyDescent="0"/>
  <cols>
    <col min="2" max="2" width="17.5" bestFit="1" customWidth="1"/>
    <col min="3" max="3" width="16.1640625" bestFit="1" customWidth="1"/>
    <col min="5" max="5" width="7.5" customWidth="1"/>
    <col min="7" max="7" width="20.1640625" style="4" bestFit="1" customWidth="1"/>
    <col min="8" max="8" width="8.6640625" style="4" customWidth="1"/>
    <col min="9" max="9" width="18.5" style="9" bestFit="1" customWidth="1"/>
    <col min="10" max="10" width="11" style="8"/>
    <col min="11" max="11" width="4.5" style="4" bestFit="1" customWidth="1"/>
    <col min="12" max="12" width="4.5" style="4" customWidth="1"/>
    <col min="13" max="13" width="13.33203125" style="4" customWidth="1"/>
    <col min="14" max="14" width="18.1640625" bestFit="1" customWidth="1"/>
    <col min="19" max="19" width="16.5" style="2" customWidth="1"/>
  </cols>
  <sheetData>
    <row r="1" spans="1:20" s="18" customFormat="1" ht="20">
      <c r="G1" s="19" t="s">
        <v>329</v>
      </c>
      <c r="H1" s="19" t="s">
        <v>334</v>
      </c>
      <c r="I1" s="20" t="s">
        <v>333</v>
      </c>
      <c r="J1" s="21" t="s">
        <v>332</v>
      </c>
      <c r="K1" s="19" t="s">
        <v>331</v>
      </c>
      <c r="L1" s="19" t="s">
        <v>1867</v>
      </c>
      <c r="M1" s="19" t="s">
        <v>1863</v>
      </c>
      <c r="N1" s="18" t="s">
        <v>329</v>
      </c>
      <c r="O1" s="18" t="s">
        <v>330</v>
      </c>
      <c r="S1" s="22"/>
    </row>
    <row r="2" spans="1:20">
      <c r="A2" s="2" t="s">
        <v>1587</v>
      </c>
      <c r="B2" s="3">
        <v>40810.017708333333</v>
      </c>
      <c r="C2" s="8" t="s">
        <v>1836</v>
      </c>
      <c r="F2" s="12">
        <v>47</v>
      </c>
      <c r="G2" t="s">
        <v>1733</v>
      </c>
      <c r="H2" s="7"/>
      <c r="I2" s="9">
        <v>41013.903298611112</v>
      </c>
      <c r="J2" s="8" t="s">
        <v>1734</v>
      </c>
      <c r="K2" s="4">
        <f t="shared" ref="K2:K15" si="0">IF(Q2&gt;Q1,1,K1+1)</f>
        <v>1</v>
      </c>
      <c r="L2" s="4">
        <v>2</v>
      </c>
      <c r="M2" s="4">
        <v>1</v>
      </c>
      <c r="N2" t="s">
        <v>1733</v>
      </c>
      <c r="O2">
        <v>1</v>
      </c>
      <c r="Q2">
        <v>1</v>
      </c>
      <c r="S2" s="8"/>
      <c r="T2" s="10"/>
    </row>
    <row r="3" spans="1:20">
      <c r="A3" t="s">
        <v>1857</v>
      </c>
      <c r="B3" s="3">
        <v>40810.124780092592</v>
      </c>
      <c r="C3" s="8" t="s">
        <v>1837</v>
      </c>
      <c r="F3" s="12">
        <v>155</v>
      </c>
      <c r="G3" t="s">
        <v>1651</v>
      </c>
      <c r="H3" s="7">
        <f t="shared" ref="H3:H33" si="1">LOOKUP(G3,$N$2:$N$38,$O$2:$O$38)</f>
        <v>2</v>
      </c>
      <c r="I3" s="9">
        <v>41015.885127314818</v>
      </c>
      <c r="J3" s="8" t="s">
        <v>1652</v>
      </c>
      <c r="K3" s="4">
        <f t="shared" si="0"/>
        <v>1</v>
      </c>
      <c r="L3" s="4">
        <v>3</v>
      </c>
      <c r="M3" s="4">
        <v>1</v>
      </c>
      <c r="N3" t="s">
        <v>1651</v>
      </c>
      <c r="O3">
        <v>2</v>
      </c>
      <c r="Q3">
        <v>2</v>
      </c>
      <c r="S3" s="8"/>
      <c r="T3" s="10"/>
    </row>
    <row r="4" spans="1:20">
      <c r="A4" s="2" t="s">
        <v>1587</v>
      </c>
      <c r="B4" s="3">
        <v>40811.042847222219</v>
      </c>
      <c r="C4" s="8" t="s">
        <v>1854</v>
      </c>
      <c r="F4" s="12">
        <v>41</v>
      </c>
      <c r="G4" s="3" t="s">
        <v>1622</v>
      </c>
      <c r="H4" s="7">
        <f t="shared" si="1"/>
        <v>3</v>
      </c>
      <c r="I4" s="9">
        <v>40970.721319444441</v>
      </c>
      <c r="J4" s="8" t="s">
        <v>1623</v>
      </c>
      <c r="K4" s="4">
        <f t="shared" si="0"/>
        <v>1</v>
      </c>
      <c r="L4" s="4">
        <v>2</v>
      </c>
      <c r="M4" s="4">
        <v>1</v>
      </c>
      <c r="N4" t="s">
        <v>1622</v>
      </c>
      <c r="O4">
        <v>3</v>
      </c>
      <c r="Q4">
        <v>3</v>
      </c>
      <c r="S4" s="8"/>
      <c r="T4" s="10"/>
    </row>
    <row r="5" spans="1:20">
      <c r="A5" t="s">
        <v>1760</v>
      </c>
      <c r="B5" s="3">
        <v>40811.828402777777</v>
      </c>
      <c r="C5" s="8" t="s">
        <v>1759</v>
      </c>
      <c r="F5" s="12">
        <v>33</v>
      </c>
      <c r="G5" s="3" t="s">
        <v>1632</v>
      </c>
      <c r="H5" s="7">
        <f t="shared" si="1"/>
        <v>4</v>
      </c>
      <c r="I5" s="9">
        <v>41052.743437500001</v>
      </c>
      <c r="J5" s="8" t="s">
        <v>1633</v>
      </c>
      <c r="K5" s="4">
        <f t="shared" si="0"/>
        <v>1</v>
      </c>
      <c r="L5" s="4">
        <v>2</v>
      </c>
      <c r="M5" s="4">
        <v>1</v>
      </c>
      <c r="N5" t="s">
        <v>1632</v>
      </c>
      <c r="O5">
        <v>4</v>
      </c>
      <c r="Q5">
        <f t="shared" ref="Q5:Q68" si="2">H5</f>
        <v>4</v>
      </c>
      <c r="S5" s="8"/>
      <c r="T5" s="10"/>
    </row>
    <row r="6" spans="1:20">
      <c r="A6" s="2" t="s">
        <v>1685</v>
      </c>
      <c r="B6" s="3">
        <v>40826.737824074073</v>
      </c>
      <c r="C6" s="8" t="s">
        <v>1686</v>
      </c>
      <c r="F6" s="12">
        <v>51</v>
      </c>
      <c r="G6" t="s">
        <v>1762</v>
      </c>
      <c r="H6" s="7">
        <f t="shared" si="1"/>
        <v>5</v>
      </c>
      <c r="I6" s="9">
        <v>41030.48777777778</v>
      </c>
      <c r="J6" s="8" t="s">
        <v>1763</v>
      </c>
      <c r="K6" s="4">
        <f t="shared" si="0"/>
        <v>1</v>
      </c>
      <c r="L6" s="4">
        <v>2</v>
      </c>
      <c r="M6" s="4">
        <v>1</v>
      </c>
      <c r="N6" t="s">
        <v>1762</v>
      </c>
      <c r="O6">
        <v>5</v>
      </c>
      <c r="Q6">
        <f t="shared" si="2"/>
        <v>5</v>
      </c>
      <c r="S6" s="8"/>
      <c r="T6" s="10"/>
    </row>
    <row r="7" spans="1:20">
      <c r="A7" t="s">
        <v>1587</v>
      </c>
      <c r="B7" s="3">
        <v>40827.018449074072</v>
      </c>
      <c r="C7" s="8" t="s">
        <v>1687</v>
      </c>
      <c r="F7" s="12">
        <v>71</v>
      </c>
      <c r="G7" s="3" t="s">
        <v>1762</v>
      </c>
      <c r="H7" s="7">
        <f t="shared" si="1"/>
        <v>5</v>
      </c>
      <c r="I7" s="9">
        <v>41079.390289351853</v>
      </c>
      <c r="J7" s="8" t="s">
        <v>1791</v>
      </c>
      <c r="K7" s="4">
        <f t="shared" si="0"/>
        <v>2</v>
      </c>
      <c r="L7" s="4">
        <v>2</v>
      </c>
      <c r="M7" s="4">
        <v>2</v>
      </c>
      <c r="N7" t="s">
        <v>1753</v>
      </c>
      <c r="O7">
        <v>6</v>
      </c>
      <c r="Q7">
        <f t="shared" si="2"/>
        <v>5</v>
      </c>
      <c r="S7" s="8"/>
      <c r="T7" s="10"/>
    </row>
    <row r="8" spans="1:20">
      <c r="A8" s="2" t="s">
        <v>1587</v>
      </c>
      <c r="B8" s="3">
        <v>40827.022835648146</v>
      </c>
      <c r="C8" s="8">
        <v>2640983</v>
      </c>
      <c r="F8" s="12">
        <v>49</v>
      </c>
      <c r="G8" s="3" t="s">
        <v>1753</v>
      </c>
      <c r="H8" s="7">
        <f t="shared" si="1"/>
        <v>6</v>
      </c>
      <c r="I8" s="9">
        <v>41022.026180555556</v>
      </c>
      <c r="J8" s="8" t="s">
        <v>1754</v>
      </c>
      <c r="K8" s="4">
        <f t="shared" si="0"/>
        <v>1</v>
      </c>
      <c r="L8" s="4">
        <v>5</v>
      </c>
      <c r="M8" s="4">
        <v>1</v>
      </c>
      <c r="N8" t="s">
        <v>1689</v>
      </c>
      <c r="O8">
        <v>7</v>
      </c>
      <c r="Q8">
        <f t="shared" si="2"/>
        <v>6</v>
      </c>
      <c r="S8" s="8"/>
      <c r="T8" s="10"/>
    </row>
    <row r="9" spans="1:20">
      <c r="A9" t="s">
        <v>1857</v>
      </c>
      <c r="B9" s="3">
        <v>40828.646412037036</v>
      </c>
      <c r="C9" s="8">
        <v>9807286</v>
      </c>
      <c r="F9" s="12">
        <v>99</v>
      </c>
      <c r="G9" t="s">
        <v>1689</v>
      </c>
      <c r="H9" s="7">
        <f t="shared" si="1"/>
        <v>7</v>
      </c>
      <c r="I9" s="9">
        <v>41029.521354166667</v>
      </c>
      <c r="J9" s="8" t="s">
        <v>1690</v>
      </c>
      <c r="K9" s="4">
        <f t="shared" si="0"/>
        <v>1</v>
      </c>
      <c r="L9" s="4">
        <v>2</v>
      </c>
      <c r="M9" s="4">
        <v>1</v>
      </c>
      <c r="N9" t="s">
        <v>1804</v>
      </c>
      <c r="O9">
        <v>8</v>
      </c>
      <c r="Q9">
        <f t="shared" si="2"/>
        <v>7</v>
      </c>
      <c r="S9" s="8"/>
      <c r="T9" s="10"/>
    </row>
    <row r="10" spans="1:20">
      <c r="A10" s="2" t="s">
        <v>1584</v>
      </c>
      <c r="B10" s="3">
        <v>40865.933298611111</v>
      </c>
      <c r="C10" s="8" t="s">
        <v>1585</v>
      </c>
      <c r="D10" s="1"/>
      <c r="F10" s="12">
        <v>59</v>
      </c>
      <c r="G10" s="3" t="s">
        <v>1804</v>
      </c>
      <c r="H10" s="7">
        <f t="shared" si="1"/>
        <v>8</v>
      </c>
      <c r="I10" s="9">
        <v>40988.062349537038</v>
      </c>
      <c r="J10" s="8" t="s">
        <v>1805</v>
      </c>
      <c r="K10" s="4">
        <f t="shared" si="0"/>
        <v>1</v>
      </c>
      <c r="L10" s="4">
        <v>2</v>
      </c>
      <c r="M10" s="4">
        <v>1</v>
      </c>
      <c r="N10" t="s">
        <v>1589</v>
      </c>
      <c r="O10">
        <v>9</v>
      </c>
      <c r="Q10">
        <f t="shared" si="2"/>
        <v>8</v>
      </c>
      <c r="S10" s="8"/>
      <c r="T10" s="10"/>
    </row>
    <row r="11" spans="1:20">
      <c r="A11" t="s">
        <v>1587</v>
      </c>
      <c r="B11" s="3">
        <v>40867.649513888886</v>
      </c>
      <c r="C11" s="8" t="s">
        <v>1586</v>
      </c>
      <c r="F11" s="12">
        <v>43</v>
      </c>
      <c r="G11" s="3" t="s">
        <v>1589</v>
      </c>
      <c r="H11" s="7">
        <f t="shared" si="1"/>
        <v>9</v>
      </c>
      <c r="I11" s="9">
        <v>40999.883576388886</v>
      </c>
      <c r="J11" s="8" t="s">
        <v>1590</v>
      </c>
      <c r="K11" s="4">
        <f t="shared" si="0"/>
        <v>1</v>
      </c>
      <c r="L11" s="4">
        <v>3</v>
      </c>
      <c r="M11" s="4">
        <v>1</v>
      </c>
      <c r="N11" t="s">
        <v>1593</v>
      </c>
      <c r="O11">
        <v>10</v>
      </c>
      <c r="Q11">
        <f t="shared" si="2"/>
        <v>9</v>
      </c>
      <c r="S11" s="8"/>
      <c r="T11" s="10"/>
    </row>
    <row r="12" spans="1:20">
      <c r="A12" s="2" t="s">
        <v>1587</v>
      </c>
      <c r="B12" s="3">
        <v>40868.893194444441</v>
      </c>
      <c r="C12" s="8" t="s">
        <v>1839</v>
      </c>
      <c r="F12" s="12">
        <v>53</v>
      </c>
      <c r="G12" s="3" t="s">
        <v>1589</v>
      </c>
      <c r="H12" s="7">
        <f t="shared" si="1"/>
        <v>9</v>
      </c>
      <c r="I12" s="9">
        <v>41053.471215277779</v>
      </c>
      <c r="J12" s="8" t="s">
        <v>1811</v>
      </c>
      <c r="K12" s="4">
        <f t="shared" si="0"/>
        <v>2</v>
      </c>
      <c r="L12" s="4">
        <v>4</v>
      </c>
      <c r="M12" s="4">
        <v>2</v>
      </c>
      <c r="N12" t="s">
        <v>1597</v>
      </c>
      <c r="O12">
        <v>11</v>
      </c>
      <c r="Q12">
        <f t="shared" si="2"/>
        <v>9</v>
      </c>
      <c r="S12" s="8"/>
      <c r="T12" s="10"/>
    </row>
    <row r="13" spans="1:20">
      <c r="A13" t="s">
        <v>1857</v>
      </c>
      <c r="B13" s="3">
        <v>40877.54792824074</v>
      </c>
      <c r="C13" s="8" t="s">
        <v>1840</v>
      </c>
      <c r="F13" s="12">
        <v>55</v>
      </c>
      <c r="G13" t="s">
        <v>1589</v>
      </c>
      <c r="H13" s="7">
        <f t="shared" si="1"/>
        <v>9</v>
      </c>
      <c r="I13" s="9">
        <v>41064.903321759259</v>
      </c>
      <c r="J13" s="8" t="s">
        <v>1723</v>
      </c>
      <c r="K13" s="4">
        <f t="shared" si="0"/>
        <v>3</v>
      </c>
      <c r="L13" s="4">
        <v>3</v>
      </c>
      <c r="M13" s="4">
        <v>3</v>
      </c>
      <c r="N13" t="s">
        <v>1729</v>
      </c>
      <c r="O13">
        <v>12</v>
      </c>
      <c r="Q13">
        <f t="shared" si="2"/>
        <v>9</v>
      </c>
      <c r="S13" s="8"/>
      <c r="T13" s="10"/>
    </row>
    <row r="14" spans="1:20">
      <c r="A14" s="2" t="s">
        <v>1587</v>
      </c>
      <c r="B14" s="3">
        <v>40891.68644675926</v>
      </c>
      <c r="C14" s="8" t="s">
        <v>1616</v>
      </c>
      <c r="D14" s="1"/>
      <c r="F14" s="12">
        <v>57</v>
      </c>
      <c r="G14" t="s">
        <v>1589</v>
      </c>
      <c r="H14" s="7">
        <f t="shared" si="1"/>
        <v>9</v>
      </c>
      <c r="I14" s="9">
        <v>40970.705590277779</v>
      </c>
      <c r="J14" s="8" t="s">
        <v>1833</v>
      </c>
      <c r="K14" s="4">
        <f t="shared" si="0"/>
        <v>4</v>
      </c>
      <c r="L14" s="4">
        <v>2</v>
      </c>
      <c r="M14" s="4">
        <v>4</v>
      </c>
      <c r="N14" t="s">
        <v>1751</v>
      </c>
      <c r="O14">
        <v>13</v>
      </c>
      <c r="Q14">
        <f t="shared" si="2"/>
        <v>9</v>
      </c>
      <c r="S14" s="8"/>
      <c r="T14" s="10"/>
    </row>
    <row r="15" spans="1:20">
      <c r="A15" t="s">
        <v>1857</v>
      </c>
      <c r="B15" s="3">
        <v>40891.947754629633</v>
      </c>
      <c r="C15" s="8" t="s">
        <v>1617</v>
      </c>
      <c r="F15" s="12">
        <v>88</v>
      </c>
      <c r="G15" t="s">
        <v>1593</v>
      </c>
      <c r="H15" s="7">
        <f t="shared" si="1"/>
        <v>10</v>
      </c>
      <c r="I15" s="9">
        <v>41036.775995370372</v>
      </c>
      <c r="J15" s="8" t="s">
        <v>1767</v>
      </c>
      <c r="K15" s="4">
        <f t="shared" si="0"/>
        <v>1</v>
      </c>
      <c r="L15" s="4">
        <v>2</v>
      </c>
      <c r="M15" s="4">
        <v>1</v>
      </c>
      <c r="N15" t="s">
        <v>1857</v>
      </c>
      <c r="O15">
        <v>14</v>
      </c>
      <c r="Q15">
        <f t="shared" si="2"/>
        <v>10</v>
      </c>
      <c r="S15" s="8"/>
      <c r="T15" s="10"/>
    </row>
    <row r="16" spans="1:20">
      <c r="A16" s="2" t="s">
        <v>1587</v>
      </c>
      <c r="B16" s="3">
        <v>40901.984513888892</v>
      </c>
      <c r="C16" s="8" t="s">
        <v>1820</v>
      </c>
      <c r="F16" s="12">
        <v>92</v>
      </c>
      <c r="G16" t="s">
        <v>1593</v>
      </c>
      <c r="H16" s="7">
        <f t="shared" si="1"/>
        <v>10</v>
      </c>
      <c r="I16" s="9">
        <v>41015.533391203702</v>
      </c>
      <c r="J16" s="8">
        <v>6584476</v>
      </c>
      <c r="K16" s="4">
        <v>1</v>
      </c>
      <c r="L16" s="4">
        <v>2</v>
      </c>
      <c r="M16" s="4">
        <v>1</v>
      </c>
      <c r="N16" t="s">
        <v>1587</v>
      </c>
      <c r="O16">
        <v>15</v>
      </c>
      <c r="Q16">
        <f t="shared" si="2"/>
        <v>10</v>
      </c>
      <c r="S16" s="8"/>
      <c r="T16" s="10"/>
    </row>
    <row r="17" spans="1:20">
      <c r="A17" t="s">
        <v>1857</v>
      </c>
      <c r="B17" s="3">
        <v>40902.075636574074</v>
      </c>
      <c r="C17" s="8" t="s">
        <v>1821</v>
      </c>
      <c r="F17" s="12">
        <v>89</v>
      </c>
      <c r="G17" t="s">
        <v>1593</v>
      </c>
      <c r="H17" s="7">
        <f t="shared" si="1"/>
        <v>10</v>
      </c>
      <c r="I17" s="9">
        <v>41050.596446759257</v>
      </c>
      <c r="J17" s="8" t="s">
        <v>1673</v>
      </c>
      <c r="K17" s="4">
        <f t="shared" ref="K17:K48" si="3">IF(Q17&gt;Q16,1,K16+1)</f>
        <v>2</v>
      </c>
      <c r="L17" s="4">
        <v>2</v>
      </c>
      <c r="M17" s="4">
        <v>2</v>
      </c>
      <c r="N17" t="s">
        <v>1584</v>
      </c>
      <c r="O17">
        <v>16</v>
      </c>
      <c r="Q17">
        <f t="shared" si="2"/>
        <v>10</v>
      </c>
      <c r="S17" s="8"/>
      <c r="T17" s="10"/>
    </row>
    <row r="18" spans="1:20">
      <c r="A18" s="2" t="s">
        <v>1635</v>
      </c>
      <c r="B18" s="3">
        <v>40911.368368055555</v>
      </c>
      <c r="C18" s="8" t="s">
        <v>1662</v>
      </c>
      <c r="F18" s="12">
        <v>93</v>
      </c>
      <c r="G18" s="3" t="s">
        <v>1593</v>
      </c>
      <c r="H18" s="7">
        <f t="shared" si="1"/>
        <v>10</v>
      </c>
      <c r="I18" s="9">
        <v>41020.418773148151</v>
      </c>
      <c r="J18" s="8" t="s">
        <v>1594</v>
      </c>
      <c r="K18" s="4">
        <f t="shared" si="3"/>
        <v>3</v>
      </c>
      <c r="L18" s="4">
        <v>3</v>
      </c>
      <c r="M18" s="4">
        <v>2</v>
      </c>
      <c r="N18" t="s">
        <v>1635</v>
      </c>
      <c r="O18">
        <v>17</v>
      </c>
      <c r="Q18">
        <f t="shared" si="2"/>
        <v>10</v>
      </c>
      <c r="S18" s="8"/>
      <c r="T18" s="10"/>
    </row>
    <row r="19" spans="1:20">
      <c r="A19" t="s">
        <v>1587</v>
      </c>
      <c r="B19" s="3">
        <v>40912.607858796298</v>
      </c>
      <c r="C19" s="8" t="s">
        <v>1663</v>
      </c>
      <c r="D19" s="1"/>
      <c r="F19" s="12">
        <v>117</v>
      </c>
      <c r="G19" s="3" t="s">
        <v>1593</v>
      </c>
      <c r="H19" s="7">
        <f t="shared" si="1"/>
        <v>10</v>
      </c>
      <c r="I19" s="9">
        <v>41013.918530092589</v>
      </c>
      <c r="J19" s="8" t="s">
        <v>1850</v>
      </c>
      <c r="K19" s="4">
        <f t="shared" si="3"/>
        <v>4</v>
      </c>
      <c r="L19" s="4">
        <v>2</v>
      </c>
      <c r="M19" s="4">
        <v>3</v>
      </c>
      <c r="N19" t="s">
        <v>1760</v>
      </c>
      <c r="O19">
        <v>18</v>
      </c>
      <c r="Q19">
        <f t="shared" si="2"/>
        <v>10</v>
      </c>
      <c r="S19" s="8"/>
      <c r="T19" s="10"/>
    </row>
    <row r="20" spans="1:20">
      <c r="A20" s="2" t="s">
        <v>1587</v>
      </c>
      <c r="B20" s="3">
        <v>40912.591793981483</v>
      </c>
      <c r="C20" s="8" t="s">
        <v>1619</v>
      </c>
      <c r="F20" s="12">
        <v>119</v>
      </c>
      <c r="G20" t="s">
        <v>1593</v>
      </c>
      <c r="H20" s="7">
        <f t="shared" si="1"/>
        <v>10</v>
      </c>
      <c r="I20" s="9">
        <v>41024.636770833335</v>
      </c>
      <c r="J20" s="8" t="s">
        <v>1658</v>
      </c>
      <c r="K20" s="4">
        <f t="shared" si="3"/>
        <v>5</v>
      </c>
      <c r="L20" s="4">
        <v>2</v>
      </c>
      <c r="M20" s="4">
        <v>4</v>
      </c>
      <c r="N20" t="s">
        <v>1794</v>
      </c>
      <c r="O20">
        <v>19</v>
      </c>
      <c r="Q20">
        <f t="shared" si="2"/>
        <v>10</v>
      </c>
      <c r="S20" s="8"/>
      <c r="T20" s="10"/>
    </row>
    <row r="21" spans="1:20">
      <c r="A21" t="s">
        <v>1857</v>
      </c>
      <c r="B21" s="3">
        <v>40912.621006944442</v>
      </c>
      <c r="C21" s="8" t="s">
        <v>1620</v>
      </c>
      <c r="F21" s="12">
        <v>124</v>
      </c>
      <c r="G21" t="s">
        <v>1593</v>
      </c>
      <c r="H21" s="7">
        <f t="shared" si="1"/>
        <v>10</v>
      </c>
      <c r="I21" s="9">
        <v>41078.938379629632</v>
      </c>
      <c r="J21" s="8" t="s">
        <v>1780</v>
      </c>
      <c r="K21" s="4">
        <f t="shared" si="3"/>
        <v>6</v>
      </c>
      <c r="L21" s="4">
        <v>3</v>
      </c>
      <c r="M21" s="4">
        <v>5</v>
      </c>
      <c r="N21" t="s">
        <v>1707</v>
      </c>
      <c r="O21">
        <v>20</v>
      </c>
      <c r="Q21">
        <f t="shared" si="2"/>
        <v>10</v>
      </c>
      <c r="S21" s="8"/>
      <c r="T21" s="10"/>
    </row>
    <row r="22" spans="1:20">
      <c r="A22" s="2" t="s">
        <v>1587</v>
      </c>
      <c r="B22" s="3">
        <v>40912.673668981479</v>
      </c>
      <c r="C22" s="8" t="s">
        <v>1785</v>
      </c>
      <c r="F22" s="12">
        <v>148</v>
      </c>
      <c r="G22" s="3" t="s">
        <v>1593</v>
      </c>
      <c r="H22" s="7">
        <f t="shared" si="1"/>
        <v>10</v>
      </c>
      <c r="I22" s="9">
        <v>40968.63925925926</v>
      </c>
      <c r="J22" s="8" t="s">
        <v>1720</v>
      </c>
      <c r="K22" s="4">
        <f t="shared" si="3"/>
        <v>7</v>
      </c>
      <c r="L22" s="4">
        <v>6</v>
      </c>
      <c r="M22" s="4">
        <v>6</v>
      </c>
      <c r="N22" t="s">
        <v>1685</v>
      </c>
      <c r="O22">
        <v>21</v>
      </c>
      <c r="Q22">
        <f t="shared" si="2"/>
        <v>10</v>
      </c>
      <c r="S22" s="8"/>
      <c r="T22" s="10"/>
    </row>
    <row r="23" spans="1:20">
      <c r="A23" t="s">
        <v>1857</v>
      </c>
      <c r="B23" s="3">
        <v>40913.2034375</v>
      </c>
      <c r="C23" s="8" t="s">
        <v>1786</v>
      </c>
      <c r="F23" s="12">
        <v>150</v>
      </c>
      <c r="G23" t="s">
        <v>1593</v>
      </c>
      <c r="H23" s="7">
        <f t="shared" si="1"/>
        <v>10</v>
      </c>
      <c r="I23" s="9">
        <v>41036.455879629626</v>
      </c>
      <c r="J23" s="8" t="s">
        <v>1853</v>
      </c>
      <c r="K23" s="4">
        <f t="shared" si="3"/>
        <v>8</v>
      </c>
      <c r="L23" s="4">
        <v>2</v>
      </c>
      <c r="M23" s="4">
        <v>7</v>
      </c>
      <c r="N23" t="s">
        <v>1716</v>
      </c>
      <c r="O23">
        <v>22</v>
      </c>
      <c r="Q23">
        <f t="shared" si="2"/>
        <v>10</v>
      </c>
      <c r="S23" s="8"/>
      <c r="T23" s="10"/>
    </row>
    <row r="24" spans="1:20">
      <c r="A24" s="2" t="s">
        <v>1604</v>
      </c>
      <c r="B24" s="3">
        <v>40915.658495370371</v>
      </c>
      <c r="C24" s="8" t="s">
        <v>1605</v>
      </c>
      <c r="F24" s="12">
        <v>153</v>
      </c>
      <c r="G24" s="3" t="s">
        <v>1593</v>
      </c>
      <c r="H24" s="7">
        <f t="shared" si="1"/>
        <v>10</v>
      </c>
      <c r="I24" s="9">
        <v>41000.389363425929</v>
      </c>
      <c r="J24" s="8" t="s">
        <v>1814</v>
      </c>
      <c r="K24" s="4">
        <f t="shared" si="3"/>
        <v>9</v>
      </c>
      <c r="L24" s="4">
        <v>3</v>
      </c>
      <c r="M24" s="4">
        <v>8</v>
      </c>
      <c r="N24" t="s">
        <v>1604</v>
      </c>
      <c r="O24">
        <v>23</v>
      </c>
      <c r="Q24">
        <f t="shared" si="2"/>
        <v>10</v>
      </c>
      <c r="S24" s="8"/>
      <c r="T24" s="10"/>
    </row>
    <row r="25" spans="1:20">
      <c r="A25" t="s">
        <v>1587</v>
      </c>
      <c r="B25" s="3">
        <v>40920.58971064815</v>
      </c>
      <c r="C25" s="8" t="s">
        <v>1606</v>
      </c>
      <c r="F25" s="12">
        <v>159</v>
      </c>
      <c r="G25" t="s">
        <v>1593</v>
      </c>
      <c r="H25" s="7">
        <f t="shared" si="1"/>
        <v>10</v>
      </c>
      <c r="I25" s="9">
        <v>41024.956817129627</v>
      </c>
      <c r="J25" s="8" t="s">
        <v>1773</v>
      </c>
      <c r="K25" s="4">
        <f t="shared" si="3"/>
        <v>10</v>
      </c>
      <c r="L25" s="4">
        <v>5</v>
      </c>
      <c r="M25" s="4">
        <v>9</v>
      </c>
      <c r="N25" t="s">
        <v>1769</v>
      </c>
      <c r="O25">
        <v>24</v>
      </c>
      <c r="Q25">
        <f t="shared" si="2"/>
        <v>10</v>
      </c>
      <c r="S25" s="8"/>
      <c r="T25" s="10"/>
    </row>
    <row r="26" spans="1:20">
      <c r="A26" s="2" t="s">
        <v>1587</v>
      </c>
      <c r="B26" s="3">
        <v>40920.581435185188</v>
      </c>
      <c r="C26" s="8" t="s">
        <v>1629</v>
      </c>
      <c r="F26" s="12">
        <v>163</v>
      </c>
      <c r="G26" s="3" t="s">
        <v>1593</v>
      </c>
      <c r="H26" s="7">
        <f t="shared" si="1"/>
        <v>10</v>
      </c>
      <c r="I26" s="9">
        <v>41064.903368055559</v>
      </c>
      <c r="J26" s="8" t="s">
        <v>1702</v>
      </c>
      <c r="K26" s="4">
        <f t="shared" si="3"/>
        <v>11</v>
      </c>
      <c r="L26" s="4">
        <v>7</v>
      </c>
      <c r="M26" s="4">
        <v>10</v>
      </c>
      <c r="Q26">
        <f t="shared" si="2"/>
        <v>10</v>
      </c>
      <c r="S26" s="8"/>
      <c r="T26" s="10"/>
    </row>
    <row r="27" spans="1:20">
      <c r="A27" t="s">
        <v>1857</v>
      </c>
      <c r="B27" s="3">
        <v>40921.140381944446</v>
      </c>
      <c r="C27" s="8" t="s">
        <v>1630</v>
      </c>
      <c r="F27" s="12">
        <v>165</v>
      </c>
      <c r="G27" t="s">
        <v>1593</v>
      </c>
      <c r="H27" s="7">
        <f t="shared" si="1"/>
        <v>10</v>
      </c>
      <c r="I27" s="9">
        <v>41058.488634259258</v>
      </c>
      <c r="J27" s="8" t="s">
        <v>1627</v>
      </c>
      <c r="K27" s="4">
        <f t="shared" si="3"/>
        <v>12</v>
      </c>
      <c r="L27" s="4">
        <v>2</v>
      </c>
      <c r="M27" s="4">
        <v>11</v>
      </c>
      <c r="Q27">
        <f t="shared" si="2"/>
        <v>10</v>
      </c>
      <c r="S27" s="8"/>
      <c r="T27" s="10"/>
    </row>
    <row r="28" spans="1:20">
      <c r="A28" s="2" t="s">
        <v>1587</v>
      </c>
      <c r="B28" s="3">
        <v>40921.159097222226</v>
      </c>
      <c r="C28" s="8" t="s">
        <v>1608</v>
      </c>
      <c r="F28" s="12">
        <v>61</v>
      </c>
      <c r="G28" t="s">
        <v>1597</v>
      </c>
      <c r="H28" s="7">
        <f t="shared" si="1"/>
        <v>11</v>
      </c>
      <c r="I28" s="9">
        <v>40990.819456018522</v>
      </c>
      <c r="J28" s="8" t="s">
        <v>1598</v>
      </c>
      <c r="K28" s="4">
        <f t="shared" si="3"/>
        <v>1</v>
      </c>
      <c r="L28" s="4">
        <v>3</v>
      </c>
      <c r="M28" s="4">
        <v>1</v>
      </c>
      <c r="Q28">
        <f t="shared" si="2"/>
        <v>11</v>
      </c>
      <c r="S28" s="8"/>
      <c r="T28" s="10"/>
    </row>
    <row r="29" spans="1:20">
      <c r="A29" t="s">
        <v>1857</v>
      </c>
      <c r="B29" s="3">
        <v>40923.645729166667</v>
      </c>
      <c r="C29" s="8">
        <v>2529452</v>
      </c>
      <c r="F29" s="12">
        <v>79</v>
      </c>
      <c r="G29" s="3" t="s">
        <v>1729</v>
      </c>
      <c r="H29" s="7">
        <f t="shared" si="1"/>
        <v>12</v>
      </c>
      <c r="I29" s="9">
        <v>41035.727581018517</v>
      </c>
      <c r="J29" s="8" t="s">
        <v>1730</v>
      </c>
      <c r="K29" s="4">
        <f t="shared" si="3"/>
        <v>1</v>
      </c>
      <c r="L29" s="4">
        <v>3</v>
      </c>
      <c r="M29" s="4">
        <v>1</v>
      </c>
      <c r="Q29">
        <f t="shared" si="2"/>
        <v>12</v>
      </c>
      <c r="S29" s="8"/>
      <c r="T29" s="10"/>
    </row>
    <row r="30" spans="1:20">
      <c r="A30" s="2" t="s">
        <v>1587</v>
      </c>
      <c r="B30" s="3">
        <v>40923.769143518519</v>
      </c>
      <c r="C30" s="8">
        <v>5124069</v>
      </c>
      <c r="F30" s="12">
        <v>76</v>
      </c>
      <c r="G30" t="s">
        <v>1751</v>
      </c>
      <c r="H30" s="7">
        <f t="shared" si="1"/>
        <v>13</v>
      </c>
      <c r="I30" s="9">
        <v>41020.478136574071</v>
      </c>
      <c r="J30" s="8" t="s">
        <v>1750</v>
      </c>
      <c r="K30" s="4">
        <f t="shared" si="3"/>
        <v>1</v>
      </c>
      <c r="L30" s="4">
        <v>2</v>
      </c>
      <c r="M30" s="4">
        <v>1</v>
      </c>
      <c r="Q30">
        <f t="shared" si="2"/>
        <v>13</v>
      </c>
      <c r="S30" s="8"/>
      <c r="T30" s="10"/>
    </row>
    <row r="31" spans="1:20">
      <c r="A31" t="s">
        <v>1857</v>
      </c>
      <c r="B31" s="3">
        <v>40923.769421296296</v>
      </c>
      <c r="C31" s="8" t="s">
        <v>1842</v>
      </c>
      <c r="F31" s="12">
        <v>2</v>
      </c>
      <c r="G31" s="3" t="s">
        <v>1857</v>
      </c>
      <c r="H31" s="7">
        <f t="shared" si="1"/>
        <v>14</v>
      </c>
      <c r="I31" s="9">
        <v>40967.456180555557</v>
      </c>
      <c r="J31" s="8" t="s">
        <v>1837</v>
      </c>
      <c r="K31" s="4">
        <f t="shared" si="3"/>
        <v>1</v>
      </c>
      <c r="L31" s="4">
        <v>8</v>
      </c>
      <c r="M31" s="4">
        <v>1</v>
      </c>
      <c r="Q31">
        <f t="shared" si="2"/>
        <v>14</v>
      </c>
      <c r="S31" s="8"/>
      <c r="T31" s="10"/>
    </row>
    <row r="32" spans="1:20">
      <c r="A32" s="2" t="s">
        <v>1587</v>
      </c>
      <c r="B32" s="3">
        <v>40927.11855324074</v>
      </c>
      <c r="C32" s="8" t="s">
        <v>1743</v>
      </c>
      <c r="F32" s="12">
        <v>8</v>
      </c>
      <c r="G32" t="s">
        <v>1857</v>
      </c>
      <c r="H32" s="7">
        <f t="shared" si="1"/>
        <v>14</v>
      </c>
      <c r="I32" s="9">
        <v>40994.649641203701</v>
      </c>
      <c r="J32" s="8">
        <v>9807286</v>
      </c>
      <c r="K32" s="4">
        <f t="shared" si="3"/>
        <v>2</v>
      </c>
      <c r="L32" s="4">
        <v>2</v>
      </c>
      <c r="M32" s="4">
        <v>2</v>
      </c>
      <c r="Q32">
        <f t="shared" si="2"/>
        <v>14</v>
      </c>
      <c r="S32" s="8"/>
      <c r="T32" s="10"/>
    </row>
    <row r="33" spans="1:20">
      <c r="A33" t="s">
        <v>1857</v>
      </c>
      <c r="B33" s="3">
        <v>40927.675011574072</v>
      </c>
      <c r="C33" s="8" t="s">
        <v>1744</v>
      </c>
      <c r="F33" s="12">
        <v>12</v>
      </c>
      <c r="G33" s="3" t="s">
        <v>1857</v>
      </c>
      <c r="H33" s="7">
        <f t="shared" si="1"/>
        <v>14</v>
      </c>
      <c r="I33" s="9">
        <v>41002.908020833333</v>
      </c>
      <c r="J33" s="8" t="s">
        <v>1840</v>
      </c>
      <c r="K33" s="4">
        <f t="shared" si="3"/>
        <v>3</v>
      </c>
      <c r="L33" s="4">
        <v>15</v>
      </c>
      <c r="M33" s="4">
        <v>3</v>
      </c>
      <c r="Q33">
        <f t="shared" si="2"/>
        <v>14</v>
      </c>
      <c r="S33" s="8"/>
      <c r="T33" s="10"/>
    </row>
    <row r="34" spans="1:20">
      <c r="A34" s="2" t="s">
        <v>1632</v>
      </c>
      <c r="B34" s="3">
        <v>40927.60974537037</v>
      </c>
      <c r="C34" s="8" t="s">
        <v>1633</v>
      </c>
      <c r="F34" s="12">
        <v>14</v>
      </c>
      <c r="G34" t="s">
        <v>1857</v>
      </c>
      <c r="H34" s="7">
        <f t="shared" ref="H34:H65" si="4">LOOKUP(G34,$N$2:$N$38,$O$2:$O$38)</f>
        <v>14</v>
      </c>
      <c r="I34" s="9">
        <v>41007.128611111111</v>
      </c>
      <c r="J34" s="8" t="s">
        <v>1617</v>
      </c>
      <c r="K34" s="4">
        <f t="shared" si="3"/>
        <v>4</v>
      </c>
      <c r="L34" s="4">
        <v>2</v>
      </c>
      <c r="M34" s="4">
        <v>4</v>
      </c>
      <c r="Q34">
        <f t="shared" si="2"/>
        <v>14</v>
      </c>
      <c r="S34" s="8"/>
      <c r="T34" s="10"/>
    </row>
    <row r="35" spans="1:20">
      <c r="A35" t="s">
        <v>1635</v>
      </c>
      <c r="B35" s="3">
        <v>40928.411504629628</v>
      </c>
      <c r="C35" s="8" t="s">
        <v>1634</v>
      </c>
      <c r="F35" s="12">
        <v>16</v>
      </c>
      <c r="G35" s="3" t="s">
        <v>1857</v>
      </c>
      <c r="H35" s="7">
        <f t="shared" si="4"/>
        <v>14</v>
      </c>
      <c r="I35" s="9">
        <v>41008.994780092595</v>
      </c>
      <c r="J35" s="8" t="s">
        <v>1821</v>
      </c>
      <c r="K35" s="4">
        <f t="shared" si="3"/>
        <v>5</v>
      </c>
      <c r="L35" s="4">
        <v>4</v>
      </c>
      <c r="M35" s="4">
        <v>5</v>
      </c>
      <c r="Q35">
        <f t="shared" si="2"/>
        <v>14</v>
      </c>
      <c r="S35" s="8"/>
      <c r="T35" s="10"/>
    </row>
    <row r="36" spans="1:20">
      <c r="A36" s="2" t="s">
        <v>1587</v>
      </c>
      <c r="B36" s="3">
        <v>40933.648206018515</v>
      </c>
      <c r="C36" s="8" t="s">
        <v>1695</v>
      </c>
      <c r="F36" s="12">
        <v>20</v>
      </c>
      <c r="G36" s="3" t="s">
        <v>1857</v>
      </c>
      <c r="H36" s="7">
        <f t="shared" si="4"/>
        <v>14</v>
      </c>
      <c r="I36" s="9">
        <v>41015.504791666666</v>
      </c>
      <c r="J36" s="8" t="s">
        <v>1620</v>
      </c>
      <c r="K36" s="4">
        <f t="shared" si="3"/>
        <v>6</v>
      </c>
      <c r="L36" s="4">
        <v>2</v>
      </c>
      <c r="M36" s="4">
        <v>6</v>
      </c>
      <c r="Q36">
        <f t="shared" si="2"/>
        <v>14</v>
      </c>
      <c r="S36" s="8"/>
      <c r="T36" s="10"/>
    </row>
    <row r="37" spans="1:20">
      <c r="A37" t="s">
        <v>1857</v>
      </c>
      <c r="B37" s="3">
        <v>40933.64980324074</v>
      </c>
      <c r="C37" s="8" t="s">
        <v>1696</v>
      </c>
      <c r="F37" s="12">
        <v>22</v>
      </c>
      <c r="G37" s="3" t="s">
        <v>1857</v>
      </c>
      <c r="H37" s="7">
        <f t="shared" si="4"/>
        <v>14</v>
      </c>
      <c r="I37" s="9">
        <v>41017.348865740743</v>
      </c>
      <c r="J37" s="8" t="s">
        <v>1786</v>
      </c>
      <c r="K37" s="4">
        <f t="shared" si="3"/>
        <v>7</v>
      </c>
      <c r="L37" s="4">
        <v>2</v>
      </c>
      <c r="M37" s="4">
        <v>7</v>
      </c>
      <c r="Q37">
        <f t="shared" si="2"/>
        <v>14</v>
      </c>
      <c r="S37" s="8"/>
      <c r="T37" s="10"/>
    </row>
    <row r="38" spans="1:20">
      <c r="A38" s="2" t="s">
        <v>1587</v>
      </c>
      <c r="B38" s="3">
        <v>40933.648055555554</v>
      </c>
      <c r="C38" s="8" t="s">
        <v>1637</v>
      </c>
      <c r="F38" s="12">
        <v>26</v>
      </c>
      <c r="G38" s="3" t="s">
        <v>1857</v>
      </c>
      <c r="H38" s="7">
        <f t="shared" si="4"/>
        <v>14</v>
      </c>
      <c r="I38" s="9">
        <v>41037.834131944444</v>
      </c>
      <c r="J38" s="8" t="s">
        <v>1630</v>
      </c>
      <c r="K38" s="4">
        <f t="shared" si="3"/>
        <v>8</v>
      </c>
      <c r="L38" s="4">
        <v>2</v>
      </c>
      <c r="M38" s="4">
        <v>8</v>
      </c>
      <c r="Q38">
        <f t="shared" si="2"/>
        <v>14</v>
      </c>
      <c r="S38" s="8"/>
      <c r="T38" s="10"/>
    </row>
    <row r="39" spans="1:20">
      <c r="A39" t="s">
        <v>1857</v>
      </c>
      <c r="B39" s="3">
        <v>40933.66679398148</v>
      </c>
      <c r="C39" s="8" t="s">
        <v>1638</v>
      </c>
      <c r="F39" s="12">
        <v>28</v>
      </c>
      <c r="G39" t="s">
        <v>1857</v>
      </c>
      <c r="H39" s="7">
        <f t="shared" si="4"/>
        <v>14</v>
      </c>
      <c r="I39" s="9">
        <v>41046.456863425927</v>
      </c>
      <c r="J39" s="8">
        <v>2529452</v>
      </c>
      <c r="K39" s="4">
        <f t="shared" si="3"/>
        <v>9</v>
      </c>
      <c r="L39" s="4">
        <v>2</v>
      </c>
      <c r="M39" s="4">
        <v>9</v>
      </c>
      <c r="Q39">
        <f t="shared" si="2"/>
        <v>14</v>
      </c>
      <c r="S39" s="8"/>
      <c r="T39" s="10"/>
    </row>
    <row r="40" spans="1:20">
      <c r="A40" s="2" t="s">
        <v>1587</v>
      </c>
      <c r="B40" s="3">
        <v>40936.94394675926</v>
      </c>
      <c r="C40" s="8" t="s">
        <v>1668</v>
      </c>
      <c r="F40" s="12">
        <v>30</v>
      </c>
      <c r="G40" t="s">
        <v>1857</v>
      </c>
      <c r="H40" s="7">
        <f t="shared" si="4"/>
        <v>14</v>
      </c>
      <c r="I40" s="9">
        <v>41050.663344907407</v>
      </c>
      <c r="J40" s="8" t="s">
        <v>1842</v>
      </c>
      <c r="K40" s="4">
        <f t="shared" si="3"/>
        <v>10</v>
      </c>
      <c r="L40" s="4">
        <v>2</v>
      </c>
      <c r="M40" s="4">
        <v>10</v>
      </c>
      <c r="Q40">
        <f t="shared" si="2"/>
        <v>14</v>
      </c>
      <c r="S40" s="8"/>
      <c r="T40" s="10"/>
    </row>
    <row r="41" spans="1:20">
      <c r="A41" t="s">
        <v>1857</v>
      </c>
      <c r="B41" s="3">
        <v>40936.948888888888</v>
      </c>
      <c r="C41" s="8" t="s">
        <v>1669</v>
      </c>
      <c r="F41" s="12">
        <v>32</v>
      </c>
      <c r="G41" t="s">
        <v>1857</v>
      </c>
      <c r="H41" s="7">
        <f t="shared" si="4"/>
        <v>14</v>
      </c>
      <c r="I41" s="9">
        <v>41051.552407407406</v>
      </c>
      <c r="J41" s="8" t="s">
        <v>1744</v>
      </c>
      <c r="K41" s="4">
        <f t="shared" si="3"/>
        <v>11</v>
      </c>
      <c r="L41" s="4">
        <v>2</v>
      </c>
      <c r="M41" s="4">
        <v>11</v>
      </c>
      <c r="Q41">
        <f t="shared" si="2"/>
        <v>14</v>
      </c>
      <c r="S41" s="8"/>
      <c r="T41" s="10"/>
    </row>
    <row r="42" spans="1:20">
      <c r="A42" s="2" t="s">
        <v>1622</v>
      </c>
      <c r="B42" s="3">
        <v>40925.591180555559</v>
      </c>
      <c r="C42" s="8" t="s">
        <v>1623</v>
      </c>
      <c r="F42" s="12">
        <v>36</v>
      </c>
      <c r="G42" s="3" t="s">
        <v>1857</v>
      </c>
      <c r="H42" s="7">
        <f t="shared" si="4"/>
        <v>14</v>
      </c>
      <c r="I42" s="9">
        <v>41078.885671296295</v>
      </c>
      <c r="J42" s="8" t="s">
        <v>1696</v>
      </c>
      <c r="K42" s="4">
        <f t="shared" si="3"/>
        <v>12</v>
      </c>
      <c r="L42" s="4">
        <v>2</v>
      </c>
      <c r="M42" s="4">
        <v>12</v>
      </c>
      <c r="Q42">
        <f t="shared" si="2"/>
        <v>14</v>
      </c>
      <c r="S42" s="8"/>
      <c r="T42" s="10"/>
    </row>
    <row r="43" spans="1:20">
      <c r="A43" t="s">
        <v>1587</v>
      </c>
      <c r="B43" s="3">
        <v>40939.868148148147</v>
      </c>
      <c r="C43" s="8" t="s">
        <v>1624</v>
      </c>
      <c r="F43" s="12">
        <v>38</v>
      </c>
      <c r="G43" s="3" t="s">
        <v>1857</v>
      </c>
      <c r="H43" s="7">
        <f t="shared" si="4"/>
        <v>14</v>
      </c>
      <c r="I43" s="9">
        <v>40965.976307870369</v>
      </c>
      <c r="J43" s="8" t="s">
        <v>1638</v>
      </c>
      <c r="K43" s="4">
        <f t="shared" si="3"/>
        <v>13</v>
      </c>
      <c r="L43" s="4">
        <v>2</v>
      </c>
      <c r="M43" s="4">
        <v>13</v>
      </c>
      <c r="Q43">
        <f t="shared" si="2"/>
        <v>14</v>
      </c>
      <c r="S43" s="8"/>
      <c r="T43" s="10"/>
    </row>
    <row r="44" spans="1:20">
      <c r="A44" s="2" t="s">
        <v>1589</v>
      </c>
      <c r="B44" s="3">
        <v>40938.582349537035</v>
      </c>
      <c r="C44" s="8" t="s">
        <v>1590</v>
      </c>
      <c r="F44" s="12">
        <v>40</v>
      </c>
      <c r="G44" s="3" t="s">
        <v>1857</v>
      </c>
      <c r="H44" s="7">
        <f t="shared" si="4"/>
        <v>14</v>
      </c>
      <c r="I44" s="9">
        <v>40970.339965277781</v>
      </c>
      <c r="J44" s="8" t="s">
        <v>1669</v>
      </c>
      <c r="K44" s="4">
        <f t="shared" si="3"/>
        <v>14</v>
      </c>
      <c r="L44" s="4">
        <v>2</v>
      </c>
      <c r="M44" s="4">
        <v>14</v>
      </c>
      <c r="Q44">
        <f t="shared" si="2"/>
        <v>14</v>
      </c>
      <c r="S44" s="8"/>
      <c r="T44" s="10"/>
    </row>
    <row r="45" spans="1:20">
      <c r="A45" t="s">
        <v>1587</v>
      </c>
      <c r="B45" s="3">
        <v>40941.647650462961</v>
      </c>
      <c r="C45" s="8" t="s">
        <v>1591</v>
      </c>
      <c r="F45" s="12">
        <v>46</v>
      </c>
      <c r="G45" s="3" t="s">
        <v>1857</v>
      </c>
      <c r="H45" s="7">
        <f t="shared" si="4"/>
        <v>14</v>
      </c>
      <c r="I45" s="9">
        <v>41009.717835648145</v>
      </c>
      <c r="J45" s="8" t="s">
        <v>1666</v>
      </c>
      <c r="K45" s="4">
        <f t="shared" si="3"/>
        <v>15</v>
      </c>
      <c r="L45" s="4">
        <v>2</v>
      </c>
      <c r="M45" s="4">
        <v>15</v>
      </c>
      <c r="Q45">
        <f t="shared" si="2"/>
        <v>14</v>
      </c>
      <c r="S45" s="8"/>
      <c r="T45" s="10"/>
    </row>
    <row r="46" spans="1:20">
      <c r="A46" s="2" t="s">
        <v>1587</v>
      </c>
      <c r="B46" s="3">
        <v>40941.685208333336</v>
      </c>
      <c r="C46" s="8" t="s">
        <v>1665</v>
      </c>
      <c r="F46" s="12">
        <v>64</v>
      </c>
      <c r="G46" s="3" t="s">
        <v>1857</v>
      </c>
      <c r="H46" s="7">
        <f t="shared" si="4"/>
        <v>14</v>
      </c>
      <c r="I46" s="9">
        <v>41007.437326388892</v>
      </c>
      <c r="J46" s="8" t="s">
        <v>1818</v>
      </c>
      <c r="K46" s="4">
        <f t="shared" si="3"/>
        <v>16</v>
      </c>
      <c r="L46" s="4">
        <v>3</v>
      </c>
      <c r="M46" s="4">
        <v>16</v>
      </c>
      <c r="Q46">
        <f t="shared" si="2"/>
        <v>14</v>
      </c>
      <c r="S46" s="8"/>
      <c r="T46" s="10"/>
    </row>
    <row r="47" spans="1:20">
      <c r="A47" t="s">
        <v>1857</v>
      </c>
      <c r="B47" s="3">
        <v>40941.953923611109</v>
      </c>
      <c r="C47" s="8" t="s">
        <v>1666</v>
      </c>
      <c r="F47" s="12">
        <v>66</v>
      </c>
      <c r="G47" s="3" t="s">
        <v>1857</v>
      </c>
      <c r="H47" s="7">
        <f t="shared" si="4"/>
        <v>14</v>
      </c>
      <c r="I47" s="9">
        <v>41030.390034722222</v>
      </c>
      <c r="J47" s="8" t="s">
        <v>1741</v>
      </c>
      <c r="K47" s="4">
        <f t="shared" si="3"/>
        <v>17</v>
      </c>
      <c r="L47" s="4">
        <v>3</v>
      </c>
      <c r="M47" s="4">
        <v>17</v>
      </c>
      <c r="Q47">
        <f t="shared" si="2"/>
        <v>14</v>
      </c>
      <c r="S47" s="8"/>
      <c r="T47" s="10"/>
    </row>
    <row r="48" spans="1:20">
      <c r="A48" s="2" t="s">
        <v>1733</v>
      </c>
      <c r="B48" s="3">
        <v>40937.061539351853</v>
      </c>
      <c r="C48" s="8" t="s">
        <v>1734</v>
      </c>
      <c r="F48" s="12">
        <v>68</v>
      </c>
      <c r="G48" t="s">
        <v>1857</v>
      </c>
      <c r="H48" s="7">
        <f t="shared" si="4"/>
        <v>14</v>
      </c>
      <c r="I48" s="9">
        <v>41044.597060185188</v>
      </c>
      <c r="J48" s="8">
        <v>3559027</v>
      </c>
      <c r="K48" s="4">
        <f t="shared" si="3"/>
        <v>18</v>
      </c>
      <c r="L48" s="4">
        <v>2</v>
      </c>
      <c r="M48" s="4">
        <v>18</v>
      </c>
      <c r="Q48">
        <f t="shared" si="2"/>
        <v>14</v>
      </c>
      <c r="S48" s="8"/>
      <c r="T48" s="10"/>
    </row>
    <row r="49" spans="1:20">
      <c r="A49" t="s">
        <v>1587</v>
      </c>
      <c r="B49" s="3">
        <v>40942.049456018518</v>
      </c>
      <c r="C49" s="8" t="s">
        <v>1735</v>
      </c>
      <c r="F49" s="12">
        <v>74</v>
      </c>
      <c r="G49" t="s">
        <v>1857</v>
      </c>
      <c r="H49" s="7">
        <f t="shared" si="4"/>
        <v>14</v>
      </c>
      <c r="I49" s="9">
        <v>40997.352870370371</v>
      </c>
      <c r="J49" s="8" t="s">
        <v>1797</v>
      </c>
      <c r="K49" s="4">
        <f t="shared" ref="K49:K80" si="5">IF(Q49&gt;Q48,1,K48+1)</f>
        <v>19</v>
      </c>
      <c r="L49" s="4">
        <v>4</v>
      </c>
      <c r="M49" s="4">
        <v>19</v>
      </c>
      <c r="Q49">
        <f t="shared" si="2"/>
        <v>14</v>
      </c>
      <c r="S49" s="8"/>
      <c r="T49" s="10"/>
    </row>
    <row r="50" spans="1:20">
      <c r="A50" s="2" t="s">
        <v>1753</v>
      </c>
      <c r="B50" s="3">
        <v>40921.47996527778</v>
      </c>
      <c r="C50" s="8" t="s">
        <v>1754</v>
      </c>
      <c r="F50" s="12">
        <v>84</v>
      </c>
      <c r="G50" s="3" t="s">
        <v>1857</v>
      </c>
      <c r="H50" s="7">
        <f t="shared" si="4"/>
        <v>14</v>
      </c>
      <c r="I50" s="9">
        <v>40987.040300925924</v>
      </c>
      <c r="J50" s="8" t="s">
        <v>1614</v>
      </c>
      <c r="K50" s="4">
        <f t="shared" si="5"/>
        <v>20</v>
      </c>
      <c r="L50" s="4">
        <v>2</v>
      </c>
      <c r="M50" s="4">
        <v>20</v>
      </c>
      <c r="Q50">
        <f t="shared" si="2"/>
        <v>14</v>
      </c>
      <c r="S50" s="8"/>
      <c r="T50" s="10"/>
    </row>
    <row r="51" spans="1:20">
      <c r="A51" t="s">
        <v>1587</v>
      </c>
      <c r="B51" s="3">
        <v>40942.711099537039</v>
      </c>
      <c r="C51" s="8" t="s">
        <v>1755</v>
      </c>
      <c r="F51" s="12">
        <v>86</v>
      </c>
      <c r="G51" t="s">
        <v>1857</v>
      </c>
      <c r="H51" s="7">
        <f t="shared" si="4"/>
        <v>14</v>
      </c>
      <c r="I51" s="9">
        <v>41018.047233796293</v>
      </c>
      <c r="J51" s="8" t="s">
        <v>1714</v>
      </c>
      <c r="K51" s="4">
        <f t="shared" si="5"/>
        <v>21</v>
      </c>
      <c r="L51" s="4">
        <v>3</v>
      </c>
      <c r="M51" s="4">
        <v>21</v>
      </c>
      <c r="Q51">
        <f t="shared" si="2"/>
        <v>14</v>
      </c>
      <c r="S51" s="8"/>
      <c r="T51" s="10"/>
    </row>
    <row r="52" spans="1:20">
      <c r="A52" s="2" t="s">
        <v>1762</v>
      </c>
      <c r="B52" s="3">
        <v>40936.515173611115</v>
      </c>
      <c r="C52" s="8" t="s">
        <v>1763</v>
      </c>
      <c r="F52" s="12">
        <v>98</v>
      </c>
      <c r="G52" s="3" t="s">
        <v>1857</v>
      </c>
      <c r="H52" s="7">
        <f t="shared" si="4"/>
        <v>14</v>
      </c>
      <c r="I52" s="9">
        <v>41011.868668981479</v>
      </c>
      <c r="J52" s="8" t="s">
        <v>1683</v>
      </c>
      <c r="K52" s="4">
        <f t="shared" si="5"/>
        <v>22</v>
      </c>
      <c r="L52" s="4">
        <v>2</v>
      </c>
      <c r="M52" s="4">
        <v>22</v>
      </c>
      <c r="Q52">
        <f t="shared" si="2"/>
        <v>14</v>
      </c>
      <c r="S52" s="8"/>
      <c r="T52" s="10"/>
    </row>
    <row r="53" spans="1:20">
      <c r="A53" t="s">
        <v>1587</v>
      </c>
      <c r="B53" s="3">
        <v>40944.940370370372</v>
      </c>
      <c r="C53" s="8" t="s">
        <v>1764</v>
      </c>
      <c r="F53" s="12">
        <v>104</v>
      </c>
      <c r="G53" s="3" t="s">
        <v>1857</v>
      </c>
      <c r="H53" s="7">
        <f t="shared" si="4"/>
        <v>14</v>
      </c>
      <c r="I53" s="9">
        <v>41057.358819444446</v>
      </c>
      <c r="J53" s="8" t="s">
        <v>1738</v>
      </c>
      <c r="K53" s="4">
        <f t="shared" si="5"/>
        <v>23</v>
      </c>
      <c r="L53" s="4">
        <v>3</v>
      </c>
      <c r="M53" s="4">
        <v>23</v>
      </c>
      <c r="Q53">
        <f t="shared" si="2"/>
        <v>14</v>
      </c>
      <c r="S53" s="8"/>
      <c r="T53" s="10"/>
    </row>
    <row r="54" spans="1:20">
      <c r="A54" s="2" t="s">
        <v>1589</v>
      </c>
      <c r="B54" s="3">
        <v>40945.690740740742</v>
      </c>
      <c r="C54" s="8" t="s">
        <v>1811</v>
      </c>
      <c r="F54" s="12">
        <v>108</v>
      </c>
      <c r="G54" t="s">
        <v>1857</v>
      </c>
      <c r="H54" s="7">
        <f t="shared" si="4"/>
        <v>14</v>
      </c>
      <c r="I54" s="9">
        <v>41071.484560185185</v>
      </c>
      <c r="J54" s="8" t="s">
        <v>1789</v>
      </c>
      <c r="K54" s="4">
        <f t="shared" si="5"/>
        <v>24</v>
      </c>
      <c r="L54" s="4">
        <v>3</v>
      </c>
      <c r="M54" s="4">
        <v>24</v>
      </c>
      <c r="Q54">
        <f t="shared" si="2"/>
        <v>14</v>
      </c>
      <c r="S54" s="8"/>
      <c r="T54" s="10"/>
    </row>
    <row r="55" spans="1:20">
      <c r="A55" t="s">
        <v>1587</v>
      </c>
      <c r="B55" s="3">
        <v>40947.905185185184</v>
      </c>
      <c r="C55" s="8" t="s">
        <v>1812</v>
      </c>
      <c r="F55" s="12">
        <v>110</v>
      </c>
      <c r="G55" t="s">
        <v>1857</v>
      </c>
      <c r="H55" s="7">
        <f t="shared" si="4"/>
        <v>14</v>
      </c>
      <c r="I55" s="9">
        <v>41013.533113425925</v>
      </c>
      <c r="J55" s="8" t="s">
        <v>1680</v>
      </c>
      <c r="K55" s="4">
        <f t="shared" si="5"/>
        <v>25</v>
      </c>
      <c r="L55" s="4">
        <v>2</v>
      </c>
      <c r="M55" s="4">
        <v>25</v>
      </c>
      <c r="Q55">
        <f t="shared" si="2"/>
        <v>14</v>
      </c>
      <c r="S55" s="8"/>
      <c r="T55" s="10"/>
    </row>
    <row r="56" spans="1:20">
      <c r="A56" s="2" t="s">
        <v>1589</v>
      </c>
      <c r="B56" s="3">
        <v>40948.749525462961</v>
      </c>
      <c r="C56" s="8" t="s">
        <v>1723</v>
      </c>
      <c r="D56" s="1"/>
      <c r="F56" s="12">
        <v>112</v>
      </c>
      <c r="G56" t="s">
        <v>1857</v>
      </c>
      <c r="H56" s="7">
        <f t="shared" si="4"/>
        <v>14</v>
      </c>
      <c r="I56" s="9">
        <v>41071.416932870372</v>
      </c>
      <c r="J56" s="8" t="s">
        <v>1693</v>
      </c>
      <c r="K56" s="4">
        <f t="shared" si="5"/>
        <v>26</v>
      </c>
      <c r="L56" s="4">
        <v>2</v>
      </c>
      <c r="M56" s="4">
        <v>26</v>
      </c>
      <c r="Q56">
        <f t="shared" si="2"/>
        <v>14</v>
      </c>
      <c r="S56" s="8"/>
      <c r="T56" s="10"/>
    </row>
    <row r="57" spans="1:20">
      <c r="A57" t="s">
        <v>1587</v>
      </c>
      <c r="B57" s="3">
        <v>40952.018935185188</v>
      </c>
      <c r="C57" s="8" t="s">
        <v>1724</v>
      </c>
      <c r="F57" s="12">
        <v>114</v>
      </c>
      <c r="G57" s="3" t="s">
        <v>1857</v>
      </c>
      <c r="H57" s="7">
        <f t="shared" si="4"/>
        <v>14</v>
      </c>
      <c r="I57" s="9">
        <v>41069.531354166669</v>
      </c>
      <c r="J57" s="8" t="s">
        <v>1656</v>
      </c>
      <c r="K57" s="4">
        <f t="shared" si="5"/>
        <v>27</v>
      </c>
      <c r="L57" s="4">
        <v>2</v>
      </c>
      <c r="M57" s="4">
        <v>27</v>
      </c>
      <c r="Q57">
        <f t="shared" si="2"/>
        <v>14</v>
      </c>
      <c r="S57" s="8"/>
      <c r="T57" s="10"/>
    </row>
    <row r="58" spans="1:20">
      <c r="A58" s="2" t="s">
        <v>1589</v>
      </c>
      <c r="B58" s="3">
        <v>40960.925081018519</v>
      </c>
      <c r="C58" s="8" t="s">
        <v>1833</v>
      </c>
      <c r="F58" s="12">
        <v>116</v>
      </c>
      <c r="G58" s="3" t="s">
        <v>1857</v>
      </c>
      <c r="H58" s="7">
        <f t="shared" si="4"/>
        <v>14</v>
      </c>
      <c r="I58" s="9">
        <v>41047.689826388887</v>
      </c>
      <c r="J58" s="8" t="s">
        <v>1855</v>
      </c>
      <c r="K58" s="4">
        <f t="shared" si="5"/>
        <v>28</v>
      </c>
      <c r="L58" s="4">
        <v>2</v>
      </c>
      <c r="M58" s="4">
        <v>28</v>
      </c>
      <c r="Q58">
        <f t="shared" si="2"/>
        <v>14</v>
      </c>
      <c r="S58" s="8"/>
      <c r="T58" s="10"/>
    </row>
    <row r="59" spans="1:20">
      <c r="A59" t="s">
        <v>1587</v>
      </c>
      <c r="B59" s="3">
        <v>40967.481469907405</v>
      </c>
      <c r="C59" s="8" t="s">
        <v>1834</v>
      </c>
      <c r="F59" s="12">
        <v>122</v>
      </c>
      <c r="G59" t="s">
        <v>1857</v>
      </c>
      <c r="H59" s="7">
        <f t="shared" si="4"/>
        <v>14</v>
      </c>
      <c r="I59" s="9">
        <v>41071.969641203701</v>
      </c>
      <c r="J59" s="8" t="s">
        <v>1777</v>
      </c>
      <c r="K59" s="4">
        <f t="shared" si="5"/>
        <v>29</v>
      </c>
      <c r="L59" s="4">
        <v>2</v>
      </c>
      <c r="M59" s="4">
        <v>29</v>
      </c>
      <c r="Q59">
        <f t="shared" si="2"/>
        <v>14</v>
      </c>
      <c r="S59" s="8"/>
      <c r="T59" s="10"/>
    </row>
    <row r="60" spans="1:20">
      <c r="A60" s="2" t="s">
        <v>1804</v>
      </c>
      <c r="B60" s="3">
        <v>40964.102858796294</v>
      </c>
      <c r="C60" s="8" t="s">
        <v>1805</v>
      </c>
      <c r="F60" s="12">
        <v>126</v>
      </c>
      <c r="G60" s="3" t="s">
        <v>1857</v>
      </c>
      <c r="H60" s="7">
        <f t="shared" si="4"/>
        <v>14</v>
      </c>
      <c r="I60" s="9">
        <v>41033.542997685188</v>
      </c>
      <c r="J60" s="8" t="s">
        <v>1783</v>
      </c>
      <c r="K60" s="4">
        <f t="shared" si="5"/>
        <v>30</v>
      </c>
      <c r="L60" s="4">
        <v>2</v>
      </c>
      <c r="M60" s="4">
        <v>30</v>
      </c>
      <c r="Q60">
        <f t="shared" si="2"/>
        <v>14</v>
      </c>
      <c r="S60" s="8"/>
      <c r="T60" s="10"/>
    </row>
    <row r="61" spans="1:20">
      <c r="A61" t="s">
        <v>1587</v>
      </c>
      <c r="B61" s="3">
        <v>40969.832303240742</v>
      </c>
      <c r="C61" s="8" t="s">
        <v>1806</v>
      </c>
      <c r="F61" s="12">
        <v>128</v>
      </c>
      <c r="G61" t="s">
        <v>1857</v>
      </c>
      <c r="H61" s="7">
        <f t="shared" si="4"/>
        <v>14</v>
      </c>
      <c r="I61" s="9">
        <v>41058.810219907406</v>
      </c>
      <c r="J61" s="8" t="s">
        <v>1602</v>
      </c>
      <c r="K61" s="4">
        <f t="shared" si="5"/>
        <v>31</v>
      </c>
      <c r="L61" s="4">
        <v>2</v>
      </c>
      <c r="M61" s="4">
        <v>31</v>
      </c>
      <c r="Q61">
        <f t="shared" si="2"/>
        <v>14</v>
      </c>
      <c r="S61" s="8"/>
      <c r="T61" s="10"/>
    </row>
    <row r="62" spans="1:20">
      <c r="A62" s="2" t="s">
        <v>1597</v>
      </c>
      <c r="B62" s="3">
        <v>40951.052569444444</v>
      </c>
      <c r="C62" s="8" t="s">
        <v>1598</v>
      </c>
      <c r="F62" s="12">
        <v>130</v>
      </c>
      <c r="G62" s="3" t="s">
        <v>1857</v>
      </c>
      <c r="H62" s="7">
        <f t="shared" si="4"/>
        <v>14</v>
      </c>
      <c r="I62" s="9">
        <v>41075.771018518521</v>
      </c>
      <c r="J62" s="8" t="s">
        <v>1705</v>
      </c>
      <c r="K62" s="4">
        <f t="shared" si="5"/>
        <v>32</v>
      </c>
      <c r="L62" s="4">
        <v>2</v>
      </c>
      <c r="M62" s="4">
        <v>32</v>
      </c>
      <c r="Q62">
        <f t="shared" si="2"/>
        <v>14</v>
      </c>
      <c r="S62" s="8"/>
      <c r="T62" s="10"/>
    </row>
    <row r="63" spans="1:20">
      <c r="A63" t="s">
        <v>1587</v>
      </c>
      <c r="B63" s="3">
        <v>40971.712835648148</v>
      </c>
      <c r="C63" s="8" t="s">
        <v>1599</v>
      </c>
      <c r="F63" s="12">
        <v>132</v>
      </c>
      <c r="G63" t="s">
        <v>1857</v>
      </c>
      <c r="H63" s="7">
        <f t="shared" si="4"/>
        <v>14</v>
      </c>
      <c r="I63" s="9">
        <v>41043.483796296299</v>
      </c>
      <c r="J63" s="8" t="s">
        <v>1649</v>
      </c>
      <c r="K63" s="4">
        <f t="shared" si="5"/>
        <v>33</v>
      </c>
      <c r="L63" s="4">
        <v>6</v>
      </c>
      <c r="M63" s="4">
        <v>33</v>
      </c>
      <c r="Q63">
        <f t="shared" si="2"/>
        <v>14</v>
      </c>
      <c r="S63" s="8"/>
      <c r="T63" s="10"/>
    </row>
    <row r="64" spans="1:20">
      <c r="A64" s="2" t="s">
        <v>1587</v>
      </c>
      <c r="B64" s="3">
        <v>40971.713009259256</v>
      </c>
      <c r="C64" s="8" t="s">
        <v>1817</v>
      </c>
      <c r="F64" s="12">
        <v>134</v>
      </c>
      <c r="G64" t="s">
        <v>1857</v>
      </c>
      <c r="H64" s="7">
        <f t="shared" si="4"/>
        <v>14</v>
      </c>
      <c r="I64" s="9">
        <v>41050.752962962964</v>
      </c>
      <c r="J64" s="8" t="s">
        <v>1611</v>
      </c>
      <c r="K64" s="4">
        <f t="shared" si="5"/>
        <v>34</v>
      </c>
      <c r="L64" s="4">
        <v>6</v>
      </c>
      <c r="M64" s="4">
        <v>34</v>
      </c>
      <c r="Q64">
        <f t="shared" si="2"/>
        <v>14</v>
      </c>
      <c r="S64" s="8"/>
      <c r="T64" s="10"/>
    </row>
    <row r="65" spans="1:20">
      <c r="A65" t="s">
        <v>1857</v>
      </c>
      <c r="B65" s="3">
        <v>40971.765243055554</v>
      </c>
      <c r="C65" s="8" t="s">
        <v>1818</v>
      </c>
      <c r="F65" s="12">
        <v>135</v>
      </c>
      <c r="G65" s="2" t="s">
        <v>1857</v>
      </c>
      <c r="H65" s="7">
        <f t="shared" si="4"/>
        <v>14</v>
      </c>
      <c r="I65" s="9">
        <v>40967.851574074077</v>
      </c>
      <c r="J65" s="8" t="s">
        <v>1831</v>
      </c>
      <c r="K65" s="4">
        <f t="shared" si="5"/>
        <v>35</v>
      </c>
      <c r="L65" s="4">
        <v>2</v>
      </c>
      <c r="M65" s="4">
        <v>35</v>
      </c>
      <c r="Q65">
        <f t="shared" si="2"/>
        <v>14</v>
      </c>
      <c r="S65" s="8"/>
      <c r="T65" s="10"/>
    </row>
    <row r="66" spans="1:20">
      <c r="A66" s="2" t="s">
        <v>1587</v>
      </c>
      <c r="B66" s="3">
        <v>40971.765393518515</v>
      </c>
      <c r="C66" s="8" t="s">
        <v>1740</v>
      </c>
      <c r="F66" s="12">
        <v>137</v>
      </c>
      <c r="G66" s="3" t="s">
        <v>1857</v>
      </c>
      <c r="H66" s="7">
        <f t="shared" ref="H66:H97" si="6">LOOKUP(G66,$N$2:$N$38,$O$2:$O$38)</f>
        <v>14</v>
      </c>
      <c r="I66" s="9">
        <v>40994.488946759258</v>
      </c>
      <c r="J66" s="8" t="s">
        <v>1809</v>
      </c>
      <c r="K66" s="4">
        <f t="shared" si="5"/>
        <v>36</v>
      </c>
      <c r="L66" s="4">
        <v>2</v>
      </c>
      <c r="M66" s="4">
        <v>36</v>
      </c>
      <c r="Q66">
        <f t="shared" si="2"/>
        <v>14</v>
      </c>
      <c r="S66" s="8"/>
      <c r="T66" s="10"/>
    </row>
    <row r="67" spans="1:20">
      <c r="A67" t="s">
        <v>1857</v>
      </c>
      <c r="B67" s="3">
        <v>40971.796481481484</v>
      </c>
      <c r="C67" s="8" t="s">
        <v>1741</v>
      </c>
      <c r="F67" s="12">
        <v>139</v>
      </c>
      <c r="G67" t="s">
        <v>1857</v>
      </c>
      <c r="H67" s="7">
        <f t="shared" si="6"/>
        <v>14</v>
      </c>
      <c r="I67" s="9">
        <v>40973.679236111115</v>
      </c>
      <c r="J67" s="8" t="s">
        <v>1644</v>
      </c>
      <c r="K67" s="4">
        <f t="shared" si="5"/>
        <v>37</v>
      </c>
      <c r="L67" s="4">
        <v>2</v>
      </c>
      <c r="M67" s="4">
        <v>37</v>
      </c>
      <c r="Q67">
        <f t="shared" si="2"/>
        <v>14</v>
      </c>
      <c r="S67" s="8"/>
      <c r="T67" s="10"/>
    </row>
    <row r="68" spans="1:20">
      <c r="A68" s="2" t="s">
        <v>1587</v>
      </c>
      <c r="B68" s="3">
        <v>40971.796585648146</v>
      </c>
      <c r="C68" s="8" t="s">
        <v>1757</v>
      </c>
      <c r="F68" s="12">
        <v>141</v>
      </c>
      <c r="G68" t="s">
        <v>1857</v>
      </c>
      <c r="H68" s="7">
        <f t="shared" si="6"/>
        <v>14</v>
      </c>
      <c r="I68" s="9">
        <v>40980.430520833332</v>
      </c>
      <c r="J68" s="8" t="s">
        <v>1848</v>
      </c>
      <c r="K68" s="4">
        <f t="shared" si="5"/>
        <v>38</v>
      </c>
      <c r="L68" s="4">
        <v>2</v>
      </c>
      <c r="M68" s="4">
        <v>38</v>
      </c>
      <c r="Q68">
        <f t="shared" si="2"/>
        <v>14</v>
      </c>
      <c r="S68" s="8"/>
      <c r="T68" s="10"/>
    </row>
    <row r="69" spans="1:20">
      <c r="A69" t="s">
        <v>1857</v>
      </c>
      <c r="B69" s="3">
        <v>40971.796736111108</v>
      </c>
      <c r="C69" s="8">
        <v>3559027</v>
      </c>
      <c r="F69" s="12">
        <v>143</v>
      </c>
      <c r="G69" s="3" t="s">
        <v>1857</v>
      </c>
      <c r="H69" s="7">
        <f t="shared" si="6"/>
        <v>14</v>
      </c>
      <c r="I69" s="9">
        <v>40977.926585648151</v>
      </c>
      <c r="J69" s="8" t="s">
        <v>1641</v>
      </c>
      <c r="K69" s="4">
        <f t="shared" si="5"/>
        <v>39</v>
      </c>
      <c r="L69" s="4">
        <v>7</v>
      </c>
      <c r="M69" s="4">
        <v>39</v>
      </c>
      <c r="Q69">
        <f t="shared" ref="Q69:Q132" si="7">H69</f>
        <v>14</v>
      </c>
      <c r="S69" s="8"/>
      <c r="T69" s="10"/>
    </row>
    <row r="70" spans="1:20">
      <c r="A70" s="2" t="s">
        <v>1716</v>
      </c>
      <c r="B70" s="3">
        <v>40970.605231481481</v>
      </c>
      <c r="C70" s="8" t="s">
        <v>1717</v>
      </c>
      <c r="F70" s="12">
        <v>145</v>
      </c>
      <c r="G70" t="s">
        <v>1857</v>
      </c>
      <c r="H70" s="7">
        <f t="shared" si="6"/>
        <v>14</v>
      </c>
      <c r="I70" s="9">
        <v>41057.82540509259</v>
      </c>
      <c r="J70" s="8" t="s">
        <v>1727</v>
      </c>
      <c r="K70" s="4">
        <f t="shared" si="5"/>
        <v>40</v>
      </c>
      <c r="L70" s="4">
        <v>4</v>
      </c>
      <c r="M70" s="4">
        <v>40</v>
      </c>
      <c r="Q70">
        <f t="shared" si="7"/>
        <v>14</v>
      </c>
      <c r="S70" s="8"/>
      <c r="T70" s="10"/>
    </row>
    <row r="71" spans="1:20">
      <c r="A71" t="s">
        <v>1587</v>
      </c>
      <c r="B71" s="3">
        <v>40971.856319444443</v>
      </c>
      <c r="C71" s="8" t="s">
        <v>1718</v>
      </c>
      <c r="F71" s="12">
        <v>147</v>
      </c>
      <c r="G71" s="3" t="s">
        <v>1857</v>
      </c>
      <c r="H71" s="7">
        <f t="shared" si="6"/>
        <v>14</v>
      </c>
      <c r="I71" s="9">
        <v>41071.440509259257</v>
      </c>
      <c r="J71" s="8" t="s">
        <v>1699</v>
      </c>
      <c r="K71" s="4">
        <f t="shared" si="5"/>
        <v>41</v>
      </c>
      <c r="L71" s="4">
        <v>3</v>
      </c>
      <c r="M71" s="4">
        <v>41</v>
      </c>
      <c r="Q71">
        <f t="shared" si="7"/>
        <v>14</v>
      </c>
      <c r="S71" s="8"/>
      <c r="T71" s="10"/>
    </row>
    <row r="72" spans="1:20">
      <c r="A72" s="2" t="s">
        <v>1762</v>
      </c>
      <c r="B72" s="3">
        <v>40936.522118055553</v>
      </c>
      <c r="C72" s="8" t="s">
        <v>1791</v>
      </c>
      <c r="F72" s="12">
        <v>152</v>
      </c>
      <c r="G72" s="3" t="s">
        <v>1857</v>
      </c>
      <c r="H72" s="7">
        <f t="shared" si="6"/>
        <v>14</v>
      </c>
      <c r="I72" s="9">
        <v>41079.677233796298</v>
      </c>
      <c r="J72" s="8" t="s">
        <v>1824</v>
      </c>
      <c r="K72" s="4">
        <f t="shared" si="5"/>
        <v>42</v>
      </c>
      <c r="L72" s="4">
        <v>2</v>
      </c>
      <c r="M72" s="4">
        <v>42</v>
      </c>
      <c r="Q72">
        <f t="shared" si="7"/>
        <v>14</v>
      </c>
      <c r="S72" s="8"/>
      <c r="T72" s="10"/>
    </row>
    <row r="73" spans="1:20">
      <c r="A73" t="s">
        <v>1587</v>
      </c>
      <c r="B73" s="3">
        <v>40971.863553240742</v>
      </c>
      <c r="C73" s="8" t="s">
        <v>1792</v>
      </c>
      <c r="F73" s="12">
        <v>158</v>
      </c>
      <c r="G73" t="s">
        <v>1857</v>
      </c>
      <c r="H73" s="7">
        <f t="shared" si="6"/>
        <v>14</v>
      </c>
      <c r="I73" s="9">
        <v>41052.841643518521</v>
      </c>
      <c r="J73" s="8" t="s">
        <v>1856</v>
      </c>
      <c r="K73" s="4">
        <f t="shared" si="5"/>
        <v>43</v>
      </c>
      <c r="L73" s="4">
        <v>2</v>
      </c>
      <c r="M73" s="4">
        <v>43</v>
      </c>
      <c r="Q73">
        <f t="shared" si="7"/>
        <v>14</v>
      </c>
      <c r="S73" s="8"/>
      <c r="T73" s="10"/>
    </row>
    <row r="74" spans="1:20">
      <c r="A74" s="2" t="s">
        <v>1587</v>
      </c>
      <c r="B74" s="3">
        <v>40975.658680555556</v>
      </c>
      <c r="C74" s="8">
        <v>3586082</v>
      </c>
      <c r="F74" s="12">
        <v>162</v>
      </c>
      <c r="G74" s="3" t="s">
        <v>1857</v>
      </c>
      <c r="H74" s="7">
        <f t="shared" si="6"/>
        <v>14</v>
      </c>
      <c r="I74" s="9">
        <v>40970.751030092593</v>
      </c>
      <c r="J74" s="8" t="s">
        <v>1711</v>
      </c>
      <c r="K74" s="4">
        <f t="shared" si="5"/>
        <v>44</v>
      </c>
      <c r="L74" s="4">
        <v>2</v>
      </c>
      <c r="M74" s="4">
        <v>44</v>
      </c>
      <c r="Q74">
        <f t="shared" si="7"/>
        <v>14</v>
      </c>
      <c r="S74" s="8"/>
      <c r="T74" s="10"/>
    </row>
    <row r="75" spans="1:20">
      <c r="A75" t="s">
        <v>1857</v>
      </c>
      <c r="B75" s="3">
        <v>40976.782349537039</v>
      </c>
      <c r="C75" s="8" t="s">
        <v>1797</v>
      </c>
      <c r="F75" s="12">
        <v>167</v>
      </c>
      <c r="G75" t="s">
        <v>1857</v>
      </c>
      <c r="H75" s="7">
        <f t="shared" si="6"/>
        <v>14</v>
      </c>
      <c r="I75" s="9">
        <v>41053.833101851851</v>
      </c>
      <c r="J75" s="8" t="s">
        <v>1829</v>
      </c>
      <c r="K75" s="4">
        <f t="shared" si="5"/>
        <v>45</v>
      </c>
      <c r="L75" s="4">
        <v>2</v>
      </c>
      <c r="M75" s="4">
        <v>45</v>
      </c>
      <c r="Q75">
        <f t="shared" si="7"/>
        <v>14</v>
      </c>
      <c r="S75" s="8"/>
      <c r="T75" s="10"/>
    </row>
    <row r="76" spans="1:20">
      <c r="A76" s="2" t="s">
        <v>1587</v>
      </c>
      <c r="B76" s="3">
        <v>40983.737534722219</v>
      </c>
      <c r="C76" s="8" t="s">
        <v>1749</v>
      </c>
      <c r="F76" s="12">
        <v>169</v>
      </c>
      <c r="G76" t="s">
        <v>1857</v>
      </c>
      <c r="H76" s="7">
        <f t="shared" si="6"/>
        <v>14</v>
      </c>
      <c r="I76" s="9">
        <v>40966.389861111114</v>
      </c>
      <c r="J76" s="8" t="s">
        <v>1677</v>
      </c>
      <c r="K76" s="4">
        <f t="shared" si="5"/>
        <v>46</v>
      </c>
      <c r="L76" s="4">
        <v>7</v>
      </c>
      <c r="M76" s="4">
        <v>46</v>
      </c>
      <c r="Q76">
        <f t="shared" si="7"/>
        <v>14</v>
      </c>
      <c r="S76" s="8"/>
      <c r="T76" s="10"/>
    </row>
    <row r="77" spans="1:20">
      <c r="A77" t="s">
        <v>1751</v>
      </c>
      <c r="B77" s="3">
        <v>40985.595567129632</v>
      </c>
      <c r="C77" s="8" t="s">
        <v>1750</v>
      </c>
      <c r="F77" s="12">
        <v>171</v>
      </c>
      <c r="G77" s="3" t="s">
        <v>1857</v>
      </c>
      <c r="H77" s="7">
        <f t="shared" si="6"/>
        <v>14</v>
      </c>
      <c r="I77" s="9">
        <v>41059.743009259262</v>
      </c>
      <c r="J77" s="8" t="s">
        <v>1800</v>
      </c>
      <c r="K77" s="4">
        <f t="shared" si="5"/>
        <v>47</v>
      </c>
      <c r="L77" s="4">
        <v>2</v>
      </c>
      <c r="M77" s="4">
        <v>47</v>
      </c>
      <c r="Q77">
        <f t="shared" si="7"/>
        <v>14</v>
      </c>
      <c r="S77" s="8"/>
      <c r="T77" s="10"/>
    </row>
    <row r="78" spans="1:20">
      <c r="A78" s="2" t="s">
        <v>1707</v>
      </c>
      <c r="B78" s="3">
        <v>40962.997662037036</v>
      </c>
      <c r="C78" s="8" t="s">
        <v>1746</v>
      </c>
      <c r="F78" s="12">
        <v>1</v>
      </c>
      <c r="G78" s="3" t="s">
        <v>1587</v>
      </c>
      <c r="H78" s="7">
        <f t="shared" si="6"/>
        <v>15</v>
      </c>
      <c r="I78" s="9">
        <v>40953.622430555559</v>
      </c>
      <c r="J78" s="8" t="s">
        <v>1836</v>
      </c>
      <c r="K78" s="4">
        <f t="shared" si="5"/>
        <v>1</v>
      </c>
      <c r="L78" s="4">
        <v>2</v>
      </c>
      <c r="M78" s="4">
        <v>1</v>
      </c>
      <c r="Q78">
        <f t="shared" si="7"/>
        <v>15</v>
      </c>
      <c r="S78" s="8"/>
      <c r="T78" s="10"/>
    </row>
    <row r="79" spans="1:20">
      <c r="A79" t="s">
        <v>1587</v>
      </c>
      <c r="B79" s="3">
        <v>40989.187175925923</v>
      </c>
      <c r="C79" s="8" t="s">
        <v>1747</v>
      </c>
      <c r="F79" s="12">
        <v>3</v>
      </c>
      <c r="G79" t="s">
        <v>1587</v>
      </c>
      <c r="H79" s="7">
        <f t="shared" si="6"/>
        <v>15</v>
      </c>
      <c r="I79" s="9">
        <v>40973.827905092592</v>
      </c>
      <c r="J79" s="8" t="s">
        <v>1854</v>
      </c>
      <c r="K79" s="4">
        <f t="shared" si="5"/>
        <v>2</v>
      </c>
      <c r="L79" s="4">
        <v>2</v>
      </c>
      <c r="M79" s="4">
        <v>2</v>
      </c>
      <c r="Q79">
        <f t="shared" si="7"/>
        <v>15</v>
      </c>
      <c r="S79" s="8"/>
      <c r="T79" s="10"/>
    </row>
    <row r="80" spans="1:20">
      <c r="A80" s="2" t="s">
        <v>1729</v>
      </c>
      <c r="B80" s="3">
        <v>40987.401006944441</v>
      </c>
      <c r="C80" s="8" t="s">
        <v>1730</v>
      </c>
      <c r="F80" s="12">
        <v>6</v>
      </c>
      <c r="G80" s="3" t="s">
        <v>1587</v>
      </c>
      <c r="H80" s="7">
        <f t="shared" si="6"/>
        <v>15</v>
      </c>
      <c r="I80" s="9">
        <v>40989.593599537038</v>
      </c>
      <c r="J80" s="8" t="s">
        <v>1687</v>
      </c>
      <c r="K80" s="4">
        <f t="shared" si="5"/>
        <v>3</v>
      </c>
      <c r="L80" s="4">
        <v>2</v>
      </c>
      <c r="M80" s="4">
        <v>3</v>
      </c>
      <c r="Q80">
        <f t="shared" si="7"/>
        <v>15</v>
      </c>
      <c r="S80" s="8"/>
      <c r="T80" s="10"/>
    </row>
    <row r="81" spans="1:20">
      <c r="A81" t="s">
        <v>1587</v>
      </c>
      <c r="B81" s="3">
        <v>40990.09033564815</v>
      </c>
      <c r="C81" s="8" t="s">
        <v>1731</v>
      </c>
      <c r="F81" s="12">
        <v>7</v>
      </c>
      <c r="G81" t="s">
        <v>1587</v>
      </c>
      <c r="H81" s="7">
        <f t="shared" si="6"/>
        <v>15</v>
      </c>
      <c r="I81" s="9">
        <v>40994.513090277775</v>
      </c>
      <c r="J81" s="8">
        <v>2640983</v>
      </c>
      <c r="K81" s="4">
        <f t="shared" ref="K81:K112" si="8">IF(Q81&gt;Q80,1,K80+1)</f>
        <v>4</v>
      </c>
      <c r="L81" s="4">
        <v>2</v>
      </c>
      <c r="M81" s="4">
        <v>4</v>
      </c>
      <c r="Q81">
        <f t="shared" si="7"/>
        <v>15</v>
      </c>
      <c r="S81" s="8"/>
      <c r="T81" s="10"/>
    </row>
    <row r="82" spans="1:20">
      <c r="A82" s="2" t="s">
        <v>1707</v>
      </c>
      <c r="B82" s="3">
        <v>40989.462743055556</v>
      </c>
      <c r="C82" s="8" t="s">
        <v>1708</v>
      </c>
      <c r="D82" s="1"/>
      <c r="F82" s="12">
        <v>10</v>
      </c>
      <c r="G82" s="3" t="s">
        <v>1587</v>
      </c>
      <c r="H82" s="7">
        <f t="shared" si="6"/>
        <v>15</v>
      </c>
      <c r="I82" s="9">
        <v>40995.917870370373</v>
      </c>
      <c r="J82" s="8" t="s">
        <v>1586</v>
      </c>
      <c r="K82" s="4">
        <f t="shared" si="8"/>
        <v>5</v>
      </c>
      <c r="L82" s="4">
        <v>4</v>
      </c>
      <c r="M82" s="4">
        <v>5</v>
      </c>
      <c r="Q82">
        <f t="shared" si="7"/>
        <v>15</v>
      </c>
      <c r="S82" s="8"/>
      <c r="T82" s="10"/>
    </row>
    <row r="83" spans="1:20">
      <c r="A83" t="s">
        <v>1587</v>
      </c>
      <c r="B83" s="3">
        <v>40990.916180555556</v>
      </c>
      <c r="C83" s="8" t="s">
        <v>1709</v>
      </c>
      <c r="F83" s="12">
        <v>11</v>
      </c>
      <c r="G83" t="s">
        <v>1587</v>
      </c>
      <c r="H83" s="7">
        <f t="shared" si="6"/>
        <v>15</v>
      </c>
      <c r="I83" s="9">
        <v>40999.972430555557</v>
      </c>
      <c r="J83" s="8" t="s">
        <v>1839</v>
      </c>
      <c r="K83" s="4">
        <f t="shared" si="8"/>
        <v>6</v>
      </c>
      <c r="L83" s="4">
        <v>2</v>
      </c>
      <c r="M83" s="4">
        <v>6</v>
      </c>
      <c r="Q83">
        <f t="shared" si="7"/>
        <v>15</v>
      </c>
      <c r="S83" s="8"/>
      <c r="T83" s="10"/>
    </row>
    <row r="84" spans="1:20">
      <c r="A84" s="2" t="s">
        <v>1587</v>
      </c>
      <c r="B84" s="3">
        <v>40834.087141203701</v>
      </c>
      <c r="C84" s="8" t="s">
        <v>1613</v>
      </c>
      <c r="F84" s="12">
        <v>13</v>
      </c>
      <c r="G84" t="s">
        <v>1587</v>
      </c>
      <c r="H84" s="7">
        <f t="shared" si="6"/>
        <v>15</v>
      </c>
      <c r="I84" s="9">
        <v>41005.584062499998</v>
      </c>
      <c r="J84" s="8" t="s">
        <v>1616</v>
      </c>
      <c r="K84" s="4">
        <f t="shared" si="8"/>
        <v>7</v>
      </c>
      <c r="L84" s="4">
        <v>2</v>
      </c>
      <c r="M84" s="4">
        <v>7</v>
      </c>
      <c r="Q84">
        <f t="shared" si="7"/>
        <v>15</v>
      </c>
      <c r="S84" s="8"/>
      <c r="T84" s="10"/>
    </row>
    <row r="85" spans="1:20">
      <c r="A85" t="s">
        <v>1857</v>
      </c>
      <c r="B85" s="3">
        <v>41001.536666666667</v>
      </c>
      <c r="C85" s="8" t="s">
        <v>1614</v>
      </c>
      <c r="F85" s="12">
        <v>15</v>
      </c>
      <c r="G85" s="3" t="s">
        <v>1587</v>
      </c>
      <c r="H85" s="7">
        <f t="shared" si="6"/>
        <v>15</v>
      </c>
      <c r="I85" s="9">
        <v>41008.544386574074</v>
      </c>
      <c r="J85" s="8" t="s">
        <v>1820</v>
      </c>
      <c r="K85" s="4">
        <f t="shared" si="8"/>
        <v>8</v>
      </c>
      <c r="L85" s="4">
        <v>3</v>
      </c>
      <c r="M85" s="4">
        <v>8</v>
      </c>
      <c r="Q85">
        <f t="shared" si="7"/>
        <v>15</v>
      </c>
      <c r="S85" s="8"/>
      <c r="T85" s="10"/>
    </row>
    <row r="86" spans="1:20">
      <c r="A86" s="2" t="s">
        <v>1587</v>
      </c>
      <c r="B86" s="3">
        <v>41001.925486111111</v>
      </c>
      <c r="C86" s="8" t="s">
        <v>1713</v>
      </c>
      <c r="F86" s="12">
        <v>18</v>
      </c>
      <c r="G86" s="3" t="s">
        <v>1587</v>
      </c>
      <c r="H86" s="7">
        <f t="shared" si="6"/>
        <v>15</v>
      </c>
      <c r="I86" s="9">
        <v>41013.703611111108</v>
      </c>
      <c r="J86" s="8" t="s">
        <v>1663</v>
      </c>
      <c r="K86" s="4">
        <f t="shared" si="8"/>
        <v>9</v>
      </c>
      <c r="L86" s="4">
        <v>17</v>
      </c>
      <c r="M86" s="4">
        <v>9</v>
      </c>
      <c r="Q86">
        <f t="shared" si="7"/>
        <v>15</v>
      </c>
      <c r="S86" s="8"/>
    </row>
    <row r="87" spans="1:20">
      <c r="A87" t="s">
        <v>1857</v>
      </c>
      <c r="B87" s="3">
        <v>41002.007951388892</v>
      </c>
      <c r="C87" s="8" t="s">
        <v>1714</v>
      </c>
      <c r="F87" s="12">
        <v>19</v>
      </c>
      <c r="G87" t="s">
        <v>1587</v>
      </c>
      <c r="H87" s="7">
        <f t="shared" si="6"/>
        <v>15</v>
      </c>
      <c r="I87" s="9">
        <v>41013.952800925923</v>
      </c>
      <c r="J87" s="8" t="s">
        <v>1619</v>
      </c>
      <c r="K87" s="4">
        <f t="shared" si="8"/>
        <v>10</v>
      </c>
      <c r="L87" s="4">
        <v>7</v>
      </c>
      <c r="M87" s="4">
        <v>10</v>
      </c>
      <c r="Q87">
        <f t="shared" si="7"/>
        <v>15</v>
      </c>
      <c r="S87" s="8"/>
      <c r="T87" s="10"/>
    </row>
    <row r="88" spans="1:20">
      <c r="A88" s="2" t="s">
        <v>1587</v>
      </c>
      <c r="B88" s="3">
        <v>41003.676979166667</v>
      </c>
      <c r="C88" s="8" t="s">
        <v>1766</v>
      </c>
      <c r="F88" s="12">
        <v>21</v>
      </c>
      <c r="G88" t="s">
        <v>1587</v>
      </c>
      <c r="H88" s="7">
        <f t="shared" si="6"/>
        <v>15</v>
      </c>
      <c r="I88" s="9">
        <v>41015.531782407408</v>
      </c>
      <c r="J88" s="8" t="s">
        <v>1785</v>
      </c>
      <c r="K88" s="4">
        <f t="shared" si="8"/>
        <v>11</v>
      </c>
      <c r="L88" s="4">
        <v>2</v>
      </c>
      <c r="M88" s="4">
        <v>11</v>
      </c>
      <c r="Q88">
        <f t="shared" si="7"/>
        <v>15</v>
      </c>
      <c r="S88" s="8"/>
      <c r="T88" s="10"/>
    </row>
    <row r="89" spans="1:20">
      <c r="A89" t="s">
        <v>1593</v>
      </c>
      <c r="B89" s="3">
        <v>41003.982673611114</v>
      </c>
      <c r="C89" s="8" t="s">
        <v>1767</v>
      </c>
      <c r="F89" s="12">
        <v>24</v>
      </c>
      <c r="G89" s="3" t="s">
        <v>1587</v>
      </c>
      <c r="H89" s="7">
        <f t="shared" si="6"/>
        <v>15</v>
      </c>
      <c r="I89" s="9">
        <v>41024.824918981481</v>
      </c>
      <c r="J89" s="8" t="s">
        <v>1606</v>
      </c>
      <c r="K89" s="4">
        <f t="shared" si="8"/>
        <v>12</v>
      </c>
      <c r="L89" s="4">
        <v>2</v>
      </c>
      <c r="M89" s="4">
        <v>12</v>
      </c>
      <c r="Q89">
        <f t="shared" si="7"/>
        <v>15</v>
      </c>
      <c r="S89" s="8"/>
      <c r="T89" s="10"/>
    </row>
    <row r="90" spans="1:20">
      <c r="A90" s="2" t="s">
        <v>1593</v>
      </c>
      <c r="B90" s="3">
        <v>41005.740624999999</v>
      </c>
      <c r="C90" s="8" t="s">
        <v>1673</v>
      </c>
      <c r="F90" s="12">
        <v>25</v>
      </c>
      <c r="G90" t="s">
        <v>1587</v>
      </c>
      <c r="H90" s="7">
        <f t="shared" si="6"/>
        <v>15</v>
      </c>
      <c r="I90" s="9">
        <v>41032.681574074071</v>
      </c>
      <c r="J90" s="8" t="s">
        <v>1629</v>
      </c>
      <c r="K90" s="4">
        <f t="shared" si="8"/>
        <v>13</v>
      </c>
      <c r="L90" s="4">
        <v>3</v>
      </c>
      <c r="M90" s="4">
        <v>13</v>
      </c>
      <c r="Q90">
        <f t="shared" si="7"/>
        <v>15</v>
      </c>
      <c r="S90" s="8"/>
      <c r="T90" s="10"/>
    </row>
    <row r="91" spans="1:20">
      <c r="A91" t="s">
        <v>1587</v>
      </c>
      <c r="B91" s="3">
        <v>41011.578483796293</v>
      </c>
      <c r="C91" s="8" t="s">
        <v>1674</v>
      </c>
      <c r="F91" s="12">
        <v>27</v>
      </c>
      <c r="G91" s="3" t="s">
        <v>1587</v>
      </c>
      <c r="H91" s="7">
        <f t="shared" si="6"/>
        <v>15</v>
      </c>
      <c r="I91" s="9">
        <v>41046.04787037037</v>
      </c>
      <c r="J91" s="8" t="s">
        <v>1608</v>
      </c>
      <c r="K91" s="4">
        <f t="shared" si="8"/>
        <v>14</v>
      </c>
      <c r="L91" s="4">
        <v>2</v>
      </c>
      <c r="M91" s="4">
        <v>14</v>
      </c>
      <c r="Q91">
        <f t="shared" si="7"/>
        <v>15</v>
      </c>
      <c r="S91" s="8"/>
      <c r="T91" s="10"/>
    </row>
    <row r="92" spans="1:20">
      <c r="A92" s="2" t="s">
        <v>1587</v>
      </c>
      <c r="B92" s="3">
        <v>41011.575671296298</v>
      </c>
      <c r="C92" s="8" t="s">
        <v>1826</v>
      </c>
      <c r="F92" s="12">
        <v>29</v>
      </c>
      <c r="G92" t="s">
        <v>1587</v>
      </c>
      <c r="H92" s="7">
        <f t="shared" si="6"/>
        <v>15</v>
      </c>
      <c r="I92" s="9">
        <v>41047.494745370372</v>
      </c>
      <c r="J92" s="8">
        <v>5124069</v>
      </c>
      <c r="K92" s="4">
        <f t="shared" si="8"/>
        <v>15</v>
      </c>
      <c r="L92" s="4">
        <v>2</v>
      </c>
      <c r="M92" s="4">
        <v>15</v>
      </c>
      <c r="Q92">
        <f t="shared" si="7"/>
        <v>15</v>
      </c>
      <c r="S92" s="8"/>
      <c r="T92" s="10"/>
    </row>
    <row r="93" spans="1:20">
      <c r="A93" t="s">
        <v>1593</v>
      </c>
      <c r="B93" s="3">
        <v>41011.823472222219</v>
      </c>
      <c r="C93" s="8">
        <v>6584476</v>
      </c>
      <c r="F93" s="12">
        <v>31</v>
      </c>
      <c r="G93" t="s">
        <v>1587</v>
      </c>
      <c r="H93" s="7">
        <f t="shared" si="6"/>
        <v>15</v>
      </c>
      <c r="I93" s="9">
        <v>41051.522604166668</v>
      </c>
      <c r="J93" s="8" t="s">
        <v>1743</v>
      </c>
      <c r="K93" s="4">
        <f t="shared" si="8"/>
        <v>16</v>
      </c>
      <c r="L93" s="4">
        <v>3</v>
      </c>
      <c r="M93" s="4">
        <v>16</v>
      </c>
      <c r="Q93">
        <f t="shared" si="7"/>
        <v>15</v>
      </c>
      <c r="S93" s="8"/>
      <c r="T93" s="10"/>
    </row>
    <row r="94" spans="1:20">
      <c r="A94" s="2" t="s">
        <v>1593</v>
      </c>
      <c r="B94" s="3">
        <v>41008.872766203705</v>
      </c>
      <c r="C94" s="8" t="s">
        <v>1594</v>
      </c>
      <c r="F94" s="12">
        <v>35</v>
      </c>
      <c r="G94" t="s">
        <v>1587</v>
      </c>
      <c r="H94" s="7">
        <f t="shared" si="6"/>
        <v>15</v>
      </c>
      <c r="I94" s="9">
        <v>41073.739490740743</v>
      </c>
      <c r="J94" s="8" t="s">
        <v>1695</v>
      </c>
      <c r="K94" s="4">
        <f t="shared" si="8"/>
        <v>17</v>
      </c>
      <c r="L94" s="4">
        <v>2</v>
      </c>
      <c r="M94" s="4">
        <v>17</v>
      </c>
      <c r="Q94">
        <f t="shared" si="7"/>
        <v>15</v>
      </c>
      <c r="S94" s="8"/>
      <c r="T94" s="10"/>
    </row>
    <row r="95" spans="1:20">
      <c r="A95" t="s">
        <v>1587</v>
      </c>
      <c r="B95" s="3">
        <v>41012.486481481479</v>
      </c>
      <c r="C95" s="8" t="s">
        <v>1595</v>
      </c>
      <c r="F95" s="12">
        <v>37</v>
      </c>
      <c r="G95" t="s">
        <v>1587</v>
      </c>
      <c r="H95" s="7">
        <f t="shared" si="6"/>
        <v>15</v>
      </c>
      <c r="I95" s="9">
        <v>41079.785729166666</v>
      </c>
      <c r="J95" s="8" t="s">
        <v>1637</v>
      </c>
      <c r="K95" s="4">
        <f t="shared" si="8"/>
        <v>18</v>
      </c>
      <c r="L95" s="4">
        <v>5</v>
      </c>
      <c r="M95" s="4">
        <v>18</v>
      </c>
      <c r="Q95">
        <f t="shared" si="7"/>
        <v>15</v>
      </c>
      <c r="S95" s="8"/>
      <c r="T95" s="10"/>
    </row>
    <row r="96" spans="1:20">
      <c r="A96" s="2" t="s">
        <v>1587</v>
      </c>
      <c r="B96" s="3">
        <v>41016.013078703705</v>
      </c>
      <c r="C96" s="8" t="s">
        <v>1844</v>
      </c>
      <c r="F96" s="12">
        <v>39</v>
      </c>
      <c r="G96" t="s">
        <v>1587</v>
      </c>
      <c r="H96" s="7">
        <f t="shared" si="6"/>
        <v>15</v>
      </c>
      <c r="I96" s="9">
        <v>40969.950613425928</v>
      </c>
      <c r="J96" s="8" t="s">
        <v>1668</v>
      </c>
      <c r="K96" s="4">
        <f t="shared" si="8"/>
        <v>19</v>
      </c>
      <c r="L96" s="4">
        <v>3</v>
      </c>
      <c r="M96" s="4">
        <v>19</v>
      </c>
      <c r="Q96">
        <f t="shared" si="7"/>
        <v>15</v>
      </c>
      <c r="S96" s="8"/>
      <c r="T96" s="10"/>
    </row>
    <row r="97" spans="1:20">
      <c r="A97" t="s">
        <v>1707</v>
      </c>
      <c r="B97" s="3">
        <v>41016.467210648145</v>
      </c>
      <c r="C97" s="8" t="s">
        <v>1845</v>
      </c>
      <c r="F97" s="12">
        <v>42</v>
      </c>
      <c r="G97" t="s">
        <v>1587</v>
      </c>
      <c r="H97" s="7">
        <f t="shared" si="6"/>
        <v>15</v>
      </c>
      <c r="I97" s="9">
        <v>40973.567881944444</v>
      </c>
      <c r="J97" s="8" t="s">
        <v>1624</v>
      </c>
      <c r="K97" s="4">
        <f t="shared" si="8"/>
        <v>20</v>
      </c>
      <c r="L97" s="4">
        <v>2</v>
      </c>
      <c r="M97" s="4">
        <v>20</v>
      </c>
      <c r="Q97">
        <f t="shared" si="7"/>
        <v>15</v>
      </c>
      <c r="S97" s="8"/>
      <c r="T97" s="10"/>
    </row>
    <row r="98" spans="1:20">
      <c r="A98" s="2" t="s">
        <v>1587</v>
      </c>
      <c r="B98" s="3">
        <v>41007.922094907408</v>
      </c>
      <c r="C98" s="8" t="s">
        <v>1682</v>
      </c>
      <c r="F98" s="12">
        <v>44</v>
      </c>
      <c r="G98" t="s">
        <v>1587</v>
      </c>
      <c r="H98" s="7">
        <f t="shared" ref="H98:H129" si="9">LOOKUP(G98,$N$2:$N$38,$O$2:$O$38)</f>
        <v>15</v>
      </c>
      <c r="I98" s="9">
        <v>41000.882893518516</v>
      </c>
      <c r="J98" s="8" t="s">
        <v>1591</v>
      </c>
      <c r="K98" s="4">
        <f t="shared" si="8"/>
        <v>21</v>
      </c>
      <c r="L98" s="4">
        <v>2</v>
      </c>
      <c r="M98" s="4">
        <v>21</v>
      </c>
      <c r="Q98">
        <f t="shared" si="7"/>
        <v>15</v>
      </c>
      <c r="S98" s="8"/>
      <c r="T98" s="10"/>
    </row>
    <row r="99" spans="1:20">
      <c r="A99" t="s">
        <v>1857</v>
      </c>
      <c r="B99" s="3">
        <v>41018.935856481483</v>
      </c>
      <c r="C99" s="8" t="s">
        <v>1683</v>
      </c>
      <c r="F99" s="12">
        <v>45</v>
      </c>
      <c r="G99" s="3" t="s">
        <v>1587</v>
      </c>
      <c r="H99" s="7">
        <f t="shared" si="9"/>
        <v>15</v>
      </c>
      <c r="I99" s="9">
        <v>41009.071956018517</v>
      </c>
      <c r="J99" s="8" t="s">
        <v>1665</v>
      </c>
      <c r="K99" s="4">
        <f t="shared" si="8"/>
        <v>22</v>
      </c>
      <c r="L99" s="4">
        <v>2</v>
      </c>
      <c r="M99" s="4">
        <v>22</v>
      </c>
      <c r="Q99">
        <f t="shared" si="7"/>
        <v>15</v>
      </c>
      <c r="S99" s="8"/>
      <c r="T99" s="10"/>
    </row>
    <row r="100" spans="1:20">
      <c r="A100" s="2" t="s">
        <v>1689</v>
      </c>
      <c r="B100" s="3">
        <v>41017.679386574076</v>
      </c>
      <c r="C100" s="8" t="s">
        <v>1690</v>
      </c>
      <c r="F100" s="12">
        <v>48</v>
      </c>
      <c r="G100" t="s">
        <v>1587</v>
      </c>
      <c r="H100" s="7">
        <f t="shared" si="9"/>
        <v>15</v>
      </c>
      <c r="I100" s="9">
        <v>41015.532638888886</v>
      </c>
      <c r="J100" s="8" t="s">
        <v>1735</v>
      </c>
      <c r="K100" s="4">
        <f t="shared" si="8"/>
        <v>23</v>
      </c>
      <c r="L100" s="4">
        <v>2</v>
      </c>
      <c r="M100" s="4">
        <v>23</v>
      </c>
      <c r="Q100">
        <f t="shared" si="7"/>
        <v>15</v>
      </c>
      <c r="S100" s="8"/>
      <c r="T100" s="10"/>
    </row>
    <row r="101" spans="1:20">
      <c r="A101" s="2" t="s">
        <v>1794</v>
      </c>
      <c r="B101" s="3">
        <v>41015.414305555554</v>
      </c>
      <c r="C101" s="8">
        <v>1837662</v>
      </c>
      <c r="F101" s="12">
        <v>50</v>
      </c>
      <c r="G101" s="3" t="s">
        <v>1587</v>
      </c>
      <c r="H101" s="7">
        <f t="shared" si="9"/>
        <v>15</v>
      </c>
      <c r="I101" s="9">
        <v>41030.402141203704</v>
      </c>
      <c r="J101" s="8" t="s">
        <v>1755</v>
      </c>
      <c r="K101" s="4">
        <f t="shared" si="8"/>
        <v>24</v>
      </c>
      <c r="L101" s="4">
        <v>2</v>
      </c>
      <c r="M101" s="4">
        <v>24</v>
      </c>
      <c r="Q101">
        <f t="shared" si="7"/>
        <v>15</v>
      </c>
      <c r="S101" s="8"/>
      <c r="T101" s="10"/>
    </row>
    <row r="102" spans="1:20">
      <c r="A102" t="s">
        <v>1587</v>
      </c>
      <c r="B102" s="3">
        <v>41019.84170138889</v>
      </c>
      <c r="C102" s="8" t="s">
        <v>1795</v>
      </c>
      <c r="F102" s="12">
        <v>52</v>
      </c>
      <c r="G102" s="3" t="s">
        <v>1587</v>
      </c>
      <c r="H102" s="7">
        <f t="shared" si="9"/>
        <v>15</v>
      </c>
      <c r="I102" s="9">
        <v>41050.596412037034</v>
      </c>
      <c r="J102" s="8" t="s">
        <v>1764</v>
      </c>
      <c r="K102" s="4">
        <f t="shared" si="8"/>
        <v>25</v>
      </c>
      <c r="L102" s="4">
        <v>6</v>
      </c>
      <c r="M102" s="4">
        <v>25</v>
      </c>
      <c r="Q102">
        <f t="shared" si="7"/>
        <v>15</v>
      </c>
      <c r="S102" s="8"/>
      <c r="T102" s="10"/>
    </row>
    <row r="103" spans="1:20">
      <c r="A103" s="2" t="s">
        <v>1587</v>
      </c>
      <c r="B103" s="3">
        <v>41019.072557870371</v>
      </c>
      <c r="C103" s="8" t="s">
        <v>1802</v>
      </c>
      <c r="F103" s="12">
        <v>54</v>
      </c>
      <c r="G103" s="3" t="s">
        <v>1587</v>
      </c>
      <c r="H103" s="7">
        <f t="shared" si="9"/>
        <v>15</v>
      </c>
      <c r="I103" s="9">
        <v>41061.676851851851</v>
      </c>
      <c r="J103" s="8" t="s">
        <v>1812</v>
      </c>
      <c r="K103" s="4">
        <f t="shared" si="8"/>
        <v>26</v>
      </c>
      <c r="L103" s="4">
        <v>3</v>
      </c>
      <c r="M103" s="4">
        <v>26</v>
      </c>
      <c r="Q103">
        <f t="shared" si="7"/>
        <v>15</v>
      </c>
      <c r="S103" s="8"/>
      <c r="T103" s="10"/>
    </row>
    <row r="104" spans="1:20">
      <c r="A104" s="2" t="s">
        <v>1587</v>
      </c>
      <c r="B104" s="3">
        <v>41019.867662037039</v>
      </c>
      <c r="C104" s="8" t="s">
        <v>1737</v>
      </c>
      <c r="F104" s="12">
        <v>56</v>
      </c>
      <c r="G104" t="s">
        <v>1587</v>
      </c>
      <c r="H104" s="7">
        <f t="shared" si="9"/>
        <v>15</v>
      </c>
      <c r="I104" s="9">
        <v>41073.55369212963</v>
      </c>
      <c r="J104" s="8" t="s">
        <v>1724</v>
      </c>
      <c r="K104" s="4">
        <f t="shared" si="8"/>
        <v>27</v>
      </c>
      <c r="L104" s="4">
        <v>2</v>
      </c>
      <c r="M104" s="4">
        <v>27</v>
      </c>
      <c r="Q104">
        <f t="shared" si="7"/>
        <v>15</v>
      </c>
      <c r="S104" s="8"/>
      <c r="T104" s="10"/>
    </row>
    <row r="105" spans="1:20">
      <c r="A105" t="s">
        <v>1857</v>
      </c>
      <c r="B105" s="3">
        <v>41019.962453703702</v>
      </c>
      <c r="C105" s="8" t="s">
        <v>1738</v>
      </c>
      <c r="F105" s="12">
        <v>58</v>
      </c>
      <c r="G105" t="s">
        <v>1587</v>
      </c>
      <c r="H105" s="7">
        <f t="shared" si="9"/>
        <v>15</v>
      </c>
      <c r="I105" s="9">
        <v>40983.779629629629</v>
      </c>
      <c r="J105" s="8" t="s">
        <v>1834</v>
      </c>
      <c r="K105" s="4">
        <f t="shared" si="8"/>
        <v>28</v>
      </c>
      <c r="L105" s="4">
        <v>2</v>
      </c>
      <c r="M105" s="4">
        <v>28</v>
      </c>
      <c r="Q105">
        <f t="shared" si="7"/>
        <v>15</v>
      </c>
      <c r="S105" s="8"/>
      <c r="T105" s="10"/>
    </row>
    <row r="106" spans="1:20">
      <c r="A106" s="2" t="s">
        <v>1769</v>
      </c>
      <c r="B106" s="3">
        <v>41022.782164351855</v>
      </c>
      <c r="C106" s="8" t="s">
        <v>1770</v>
      </c>
      <c r="F106" s="12">
        <v>60</v>
      </c>
      <c r="G106" t="s">
        <v>1587</v>
      </c>
      <c r="H106" s="7">
        <f t="shared" si="9"/>
        <v>15</v>
      </c>
      <c r="I106" s="9">
        <v>40989.837048611109</v>
      </c>
      <c r="J106" s="8" t="s">
        <v>1806</v>
      </c>
      <c r="K106" s="4">
        <f t="shared" si="8"/>
        <v>29</v>
      </c>
      <c r="L106" s="4">
        <v>2</v>
      </c>
      <c r="M106" s="4">
        <v>29</v>
      </c>
      <c r="Q106">
        <f t="shared" si="7"/>
        <v>15</v>
      </c>
      <c r="S106" s="8"/>
      <c r="T106" s="10"/>
    </row>
    <row r="107" spans="1:20">
      <c r="A107" t="s">
        <v>1587</v>
      </c>
      <c r="B107" s="3">
        <v>41023.777418981481</v>
      </c>
      <c r="C107" s="8" t="s">
        <v>1771</v>
      </c>
      <c r="F107" s="12">
        <v>62</v>
      </c>
      <c r="G107" s="3" t="s">
        <v>1587</v>
      </c>
      <c r="H107" s="7">
        <f t="shared" si="9"/>
        <v>15</v>
      </c>
      <c r="I107" s="9">
        <v>40991.378217592595</v>
      </c>
      <c r="J107" s="8" t="s">
        <v>1599</v>
      </c>
      <c r="K107" s="4">
        <f t="shared" si="8"/>
        <v>30</v>
      </c>
      <c r="L107" s="4">
        <v>2</v>
      </c>
      <c r="M107" s="4">
        <v>30</v>
      </c>
      <c r="Q107">
        <f t="shared" si="7"/>
        <v>15</v>
      </c>
      <c r="S107" s="8"/>
      <c r="T107" s="10"/>
    </row>
    <row r="108" spans="1:20">
      <c r="A108" s="2" t="s">
        <v>1587</v>
      </c>
      <c r="B108" s="3">
        <v>41023.775810185187</v>
      </c>
      <c r="C108" s="8" t="s">
        <v>1788</v>
      </c>
      <c r="F108" s="12">
        <v>63</v>
      </c>
      <c r="G108" t="s">
        <v>1587</v>
      </c>
      <c r="H108" s="7">
        <f t="shared" si="9"/>
        <v>15</v>
      </c>
      <c r="I108" s="9">
        <v>40997.409849537034</v>
      </c>
      <c r="J108" s="8" t="s">
        <v>1817</v>
      </c>
      <c r="K108" s="4">
        <f t="shared" si="8"/>
        <v>31</v>
      </c>
      <c r="L108" s="4">
        <v>2</v>
      </c>
      <c r="M108" s="4">
        <v>31</v>
      </c>
      <c r="Q108">
        <f t="shared" si="7"/>
        <v>15</v>
      </c>
      <c r="S108" s="8"/>
      <c r="T108" s="10"/>
    </row>
    <row r="109" spans="1:20">
      <c r="A109" t="s">
        <v>1857</v>
      </c>
      <c r="B109" s="3">
        <v>41027.961770833332</v>
      </c>
      <c r="C109" s="8" t="s">
        <v>1789</v>
      </c>
      <c r="F109" s="12">
        <v>65</v>
      </c>
      <c r="G109" t="s">
        <v>1587</v>
      </c>
      <c r="H109" s="7">
        <f t="shared" si="9"/>
        <v>15</v>
      </c>
      <c r="I109" s="9">
        <v>41023.430208333331</v>
      </c>
      <c r="J109" s="8" t="s">
        <v>1740</v>
      </c>
      <c r="K109" s="4">
        <f t="shared" si="8"/>
        <v>32</v>
      </c>
      <c r="L109" s="4">
        <v>3</v>
      </c>
      <c r="M109" s="4">
        <v>32</v>
      </c>
      <c r="Q109">
        <f t="shared" si="7"/>
        <v>15</v>
      </c>
      <c r="S109" s="8"/>
      <c r="T109" s="10"/>
    </row>
    <row r="110" spans="1:20">
      <c r="A110" s="2" t="s">
        <v>1587</v>
      </c>
      <c r="B110" s="3">
        <v>41035.714641203704</v>
      </c>
      <c r="C110" s="8" t="s">
        <v>1679</v>
      </c>
      <c r="F110" s="12">
        <v>67</v>
      </c>
      <c r="G110" t="s">
        <v>1587</v>
      </c>
      <c r="H110" s="7">
        <f t="shared" si="9"/>
        <v>15</v>
      </c>
      <c r="I110" s="9">
        <v>41030.405439814815</v>
      </c>
      <c r="J110" s="8" t="s">
        <v>1757</v>
      </c>
      <c r="K110" s="4">
        <f t="shared" si="8"/>
        <v>33</v>
      </c>
      <c r="L110" s="4">
        <v>3</v>
      </c>
      <c r="M110" s="4">
        <v>33</v>
      </c>
      <c r="Q110">
        <f t="shared" si="7"/>
        <v>15</v>
      </c>
      <c r="S110" s="8"/>
      <c r="T110" s="10"/>
    </row>
    <row r="111" spans="1:20">
      <c r="A111" t="s">
        <v>1857</v>
      </c>
      <c r="B111" s="3">
        <v>41035.724328703705</v>
      </c>
      <c r="C111" s="8" t="s">
        <v>1680</v>
      </c>
      <c r="F111" s="12">
        <v>70</v>
      </c>
      <c r="G111" s="3" t="s">
        <v>1587</v>
      </c>
      <c r="H111" s="7">
        <f t="shared" si="9"/>
        <v>15</v>
      </c>
      <c r="I111" s="9">
        <v>41064.616030092591</v>
      </c>
      <c r="J111" s="8" t="s">
        <v>1718</v>
      </c>
      <c r="K111" s="4">
        <f t="shared" si="8"/>
        <v>34</v>
      </c>
      <c r="L111" s="4">
        <v>2</v>
      </c>
      <c r="M111" s="4">
        <v>34</v>
      </c>
      <c r="Q111">
        <f t="shared" si="7"/>
        <v>15</v>
      </c>
      <c r="S111" s="8"/>
      <c r="T111" s="10"/>
    </row>
    <row r="112" spans="1:20">
      <c r="A112" s="2" t="s">
        <v>1587</v>
      </c>
      <c r="B112" s="3">
        <v>41035.724398148152</v>
      </c>
      <c r="C112" s="8" t="s">
        <v>1692</v>
      </c>
      <c r="F112" s="12">
        <v>72</v>
      </c>
      <c r="G112" t="s">
        <v>1587</v>
      </c>
      <c r="H112" s="7">
        <f t="shared" si="9"/>
        <v>15</v>
      </c>
      <c r="I112" s="9">
        <v>40970.723182870373</v>
      </c>
      <c r="J112" s="8" t="s">
        <v>1792</v>
      </c>
      <c r="K112" s="4">
        <f t="shared" si="8"/>
        <v>35</v>
      </c>
      <c r="L112" s="4">
        <v>3</v>
      </c>
      <c r="M112" s="4">
        <v>35</v>
      </c>
      <c r="Q112">
        <f t="shared" si="7"/>
        <v>15</v>
      </c>
      <c r="S112" s="8"/>
      <c r="T112" s="10"/>
    </row>
    <row r="113" spans="1:20">
      <c r="A113" t="s">
        <v>1857</v>
      </c>
      <c r="B113" s="3">
        <v>41035.854143518518</v>
      </c>
      <c r="C113" s="8" t="s">
        <v>1693</v>
      </c>
      <c r="F113" s="12">
        <v>73</v>
      </c>
      <c r="G113" t="s">
        <v>1587</v>
      </c>
      <c r="H113" s="7">
        <f t="shared" si="9"/>
        <v>15</v>
      </c>
      <c r="I113" s="9">
        <v>40982.525682870371</v>
      </c>
      <c r="J113" s="8">
        <v>3586082</v>
      </c>
      <c r="K113" s="4">
        <f t="shared" ref="K113:K144" si="10">IF(Q113&gt;Q112,1,K112+1)</f>
        <v>36</v>
      </c>
      <c r="L113" s="4">
        <v>3</v>
      </c>
      <c r="M113" s="4">
        <v>36</v>
      </c>
      <c r="Q113">
        <f t="shared" si="7"/>
        <v>15</v>
      </c>
      <c r="S113" s="8"/>
      <c r="T113" s="10"/>
    </row>
    <row r="114" spans="1:20">
      <c r="A114" s="2" t="s">
        <v>1587</v>
      </c>
      <c r="B114" s="3">
        <v>41037.06355324074</v>
      </c>
      <c r="C114" s="8" t="s">
        <v>1655</v>
      </c>
      <c r="F114" s="12">
        <v>75</v>
      </c>
      <c r="G114" t="s">
        <v>1587</v>
      </c>
      <c r="H114" s="7">
        <f t="shared" si="9"/>
        <v>15</v>
      </c>
      <c r="I114" s="9">
        <v>41001.499398148146</v>
      </c>
      <c r="J114" s="8" t="s">
        <v>1749</v>
      </c>
      <c r="K114" s="4">
        <f t="shared" si="10"/>
        <v>37</v>
      </c>
      <c r="L114" s="4">
        <v>2</v>
      </c>
      <c r="M114" s="4">
        <v>37</v>
      </c>
      <c r="Q114">
        <f t="shared" si="7"/>
        <v>15</v>
      </c>
      <c r="S114" s="8"/>
      <c r="T114" s="10"/>
    </row>
    <row r="115" spans="1:20">
      <c r="A115" t="s">
        <v>1857</v>
      </c>
      <c r="B115" s="3">
        <v>41037.743136574078</v>
      </c>
      <c r="C115" s="8" t="s">
        <v>1656</v>
      </c>
      <c r="F115" s="12">
        <v>78</v>
      </c>
      <c r="G115" t="s">
        <v>1587</v>
      </c>
      <c r="H115" s="7">
        <f t="shared" si="9"/>
        <v>15</v>
      </c>
      <c r="I115" s="9">
        <v>41034.787488425929</v>
      </c>
      <c r="J115" s="8" t="s">
        <v>1747</v>
      </c>
      <c r="K115" s="4">
        <f t="shared" si="10"/>
        <v>38</v>
      </c>
      <c r="L115" s="4">
        <v>2</v>
      </c>
      <c r="M115" s="4">
        <v>38</v>
      </c>
      <c r="Q115">
        <f t="shared" si="7"/>
        <v>15</v>
      </c>
      <c r="S115" s="8"/>
      <c r="T115" s="10"/>
    </row>
    <row r="116" spans="1:20">
      <c r="A116" s="2" t="s">
        <v>1587</v>
      </c>
      <c r="B116" s="3">
        <v>41037.74322916667</v>
      </c>
      <c r="C116" s="8" t="s">
        <v>1646</v>
      </c>
      <c r="F116" s="12">
        <v>80</v>
      </c>
      <c r="G116" s="3" t="s">
        <v>1587</v>
      </c>
      <c r="H116" s="7">
        <f t="shared" si="9"/>
        <v>15</v>
      </c>
      <c r="I116" s="9">
        <v>41035.764120370368</v>
      </c>
      <c r="J116" s="8" t="s">
        <v>1731</v>
      </c>
      <c r="K116" s="4">
        <f t="shared" si="10"/>
        <v>39</v>
      </c>
      <c r="L116" s="4">
        <v>2</v>
      </c>
      <c r="M116" s="4">
        <v>39</v>
      </c>
      <c r="Q116">
        <f t="shared" si="7"/>
        <v>15</v>
      </c>
      <c r="S116" s="8"/>
      <c r="T116" s="10"/>
    </row>
    <row r="117" spans="1:20">
      <c r="A117" t="s">
        <v>1857</v>
      </c>
      <c r="B117" s="3">
        <v>41037.744641203702</v>
      </c>
      <c r="C117" s="8" t="s">
        <v>1855</v>
      </c>
      <c r="F117" s="12">
        <v>82</v>
      </c>
      <c r="G117" t="s">
        <v>1587</v>
      </c>
      <c r="H117" s="7">
        <f t="shared" si="9"/>
        <v>15</v>
      </c>
      <c r="I117" s="9">
        <v>41073.389421296299</v>
      </c>
      <c r="J117" s="8" t="s">
        <v>1709</v>
      </c>
      <c r="K117" s="4">
        <f t="shared" si="10"/>
        <v>40</v>
      </c>
      <c r="L117" s="4">
        <v>2</v>
      </c>
      <c r="M117" s="4">
        <v>40</v>
      </c>
      <c r="Q117">
        <f t="shared" si="7"/>
        <v>15</v>
      </c>
      <c r="S117" s="8"/>
      <c r="T117" s="10"/>
    </row>
    <row r="118" spans="1:20">
      <c r="A118" s="2" t="s">
        <v>1593</v>
      </c>
      <c r="B118" s="3">
        <v>41036.902175925927</v>
      </c>
      <c r="C118" s="8" t="s">
        <v>1850</v>
      </c>
      <c r="F118" s="12">
        <v>83</v>
      </c>
      <c r="G118" s="3" t="s">
        <v>1587</v>
      </c>
      <c r="H118" s="7">
        <f t="shared" si="9"/>
        <v>15</v>
      </c>
      <c r="I118" s="9">
        <v>41073.449502314812</v>
      </c>
      <c r="J118" s="8" t="s">
        <v>1613</v>
      </c>
      <c r="K118" s="4">
        <f t="shared" si="10"/>
        <v>41</v>
      </c>
      <c r="L118" s="4">
        <v>23</v>
      </c>
      <c r="M118" s="4">
        <v>41</v>
      </c>
      <c r="Q118">
        <f t="shared" si="7"/>
        <v>15</v>
      </c>
      <c r="S118" s="8"/>
      <c r="T118" s="10"/>
    </row>
    <row r="119" spans="1:20">
      <c r="A119" t="s">
        <v>1587</v>
      </c>
      <c r="B119" s="3">
        <v>41038.049537037034</v>
      </c>
      <c r="C119" s="8" t="s">
        <v>1851</v>
      </c>
      <c r="F119" s="12">
        <v>85</v>
      </c>
      <c r="G119" t="s">
        <v>1587</v>
      </c>
      <c r="H119" s="7">
        <f t="shared" si="9"/>
        <v>15</v>
      </c>
      <c r="I119" s="9">
        <v>41015.533055555556</v>
      </c>
      <c r="J119" s="8" t="s">
        <v>1713</v>
      </c>
      <c r="K119" s="4">
        <f t="shared" si="10"/>
        <v>42</v>
      </c>
      <c r="L119" s="4">
        <v>2</v>
      </c>
      <c r="M119" s="4">
        <v>42</v>
      </c>
      <c r="Q119">
        <f t="shared" si="7"/>
        <v>15</v>
      </c>
      <c r="S119" s="8"/>
      <c r="T119" s="10"/>
    </row>
    <row r="120" spans="1:20">
      <c r="A120" s="2" t="s">
        <v>1593</v>
      </c>
      <c r="B120" s="3">
        <v>41035.405127314814</v>
      </c>
      <c r="C120" s="8" t="s">
        <v>1658</v>
      </c>
      <c r="F120" s="12">
        <v>87</v>
      </c>
      <c r="G120" s="3" t="s">
        <v>1587</v>
      </c>
      <c r="H120" s="7">
        <f t="shared" si="9"/>
        <v>15</v>
      </c>
      <c r="I120" s="9">
        <v>41032.656666666669</v>
      </c>
      <c r="J120" s="8" t="s">
        <v>1766</v>
      </c>
      <c r="K120" s="4">
        <f t="shared" si="10"/>
        <v>43</v>
      </c>
      <c r="L120" s="4">
        <v>2</v>
      </c>
      <c r="M120" s="4">
        <v>43</v>
      </c>
      <c r="Q120">
        <f t="shared" si="7"/>
        <v>15</v>
      </c>
      <c r="S120" s="8"/>
      <c r="T120" s="10"/>
    </row>
    <row r="121" spans="1:20">
      <c r="A121" t="s">
        <v>1587</v>
      </c>
      <c r="B121" s="3">
        <v>41038.54351851852</v>
      </c>
      <c r="C121" s="8" t="s">
        <v>1659</v>
      </c>
      <c r="F121" s="12">
        <v>90</v>
      </c>
      <c r="G121" s="3" t="s">
        <v>1587</v>
      </c>
      <c r="H121" s="7">
        <f t="shared" si="9"/>
        <v>15</v>
      </c>
      <c r="I121" s="9">
        <v>41071.98097222222</v>
      </c>
      <c r="J121" s="8" t="s">
        <v>1674</v>
      </c>
      <c r="K121" s="4">
        <f t="shared" si="10"/>
        <v>44</v>
      </c>
      <c r="L121" s="4">
        <v>2</v>
      </c>
      <c r="M121" s="4">
        <v>44</v>
      </c>
      <c r="Q121">
        <f t="shared" si="7"/>
        <v>15</v>
      </c>
      <c r="S121" s="8"/>
      <c r="T121" s="10"/>
    </row>
    <row r="122" spans="1:20">
      <c r="A122" s="2" t="s">
        <v>1587</v>
      </c>
      <c r="B122" s="3">
        <v>41038.578912037039</v>
      </c>
      <c r="C122" s="8" t="s">
        <v>1776</v>
      </c>
      <c r="F122" s="12">
        <v>91</v>
      </c>
      <c r="G122" s="3" t="s">
        <v>1587</v>
      </c>
      <c r="H122" s="7">
        <f t="shared" si="9"/>
        <v>15</v>
      </c>
      <c r="I122" s="9">
        <v>40978.484120370369</v>
      </c>
      <c r="J122" s="8" t="s">
        <v>1826</v>
      </c>
      <c r="K122" s="4">
        <f t="shared" si="10"/>
        <v>45</v>
      </c>
      <c r="L122" s="4">
        <v>2</v>
      </c>
      <c r="M122" s="4">
        <v>45</v>
      </c>
      <c r="Q122">
        <f t="shared" si="7"/>
        <v>15</v>
      </c>
      <c r="S122" s="8"/>
      <c r="T122" s="10"/>
    </row>
    <row r="123" spans="1:20">
      <c r="A123" t="s">
        <v>1857</v>
      </c>
      <c r="B123" s="3">
        <v>41038.658437500002</v>
      </c>
      <c r="C123" s="8" t="s">
        <v>1777</v>
      </c>
      <c r="F123" s="12">
        <v>94</v>
      </c>
      <c r="G123" s="3" t="s">
        <v>1587</v>
      </c>
      <c r="H123" s="7">
        <f t="shared" si="9"/>
        <v>15</v>
      </c>
      <c r="I123" s="9">
        <v>41036.564791666664</v>
      </c>
      <c r="J123" s="8" t="s">
        <v>1595</v>
      </c>
      <c r="K123" s="4">
        <f t="shared" si="10"/>
        <v>46</v>
      </c>
      <c r="L123" s="4">
        <v>2</v>
      </c>
      <c r="M123" s="4">
        <v>46</v>
      </c>
      <c r="Q123">
        <f t="shared" si="7"/>
        <v>15</v>
      </c>
      <c r="S123" s="8"/>
      <c r="T123" s="10"/>
    </row>
    <row r="124" spans="1:20">
      <c r="A124" s="2" t="s">
        <v>1587</v>
      </c>
      <c r="B124" s="3">
        <v>41038.507245370369</v>
      </c>
      <c r="C124" s="8" t="s">
        <v>1779</v>
      </c>
      <c r="F124" s="12">
        <v>95</v>
      </c>
      <c r="G124" t="s">
        <v>1587</v>
      </c>
      <c r="H124" s="7">
        <f t="shared" si="9"/>
        <v>15</v>
      </c>
      <c r="I124" s="9">
        <v>41059.599444444444</v>
      </c>
      <c r="J124" s="8" t="s">
        <v>1844</v>
      </c>
      <c r="K124" s="4">
        <f t="shared" si="10"/>
        <v>47</v>
      </c>
      <c r="L124" s="4">
        <v>2</v>
      </c>
      <c r="M124" s="4">
        <v>47</v>
      </c>
      <c r="Q124">
        <f t="shared" si="7"/>
        <v>15</v>
      </c>
      <c r="S124" s="8"/>
      <c r="T124" s="10"/>
    </row>
    <row r="125" spans="1:20">
      <c r="A125" t="s">
        <v>1593</v>
      </c>
      <c r="B125" s="3">
        <v>41038.677581018521</v>
      </c>
      <c r="C125" s="8" t="s">
        <v>1780</v>
      </c>
      <c r="F125" s="12">
        <v>97</v>
      </c>
      <c r="G125" s="3" t="s">
        <v>1587</v>
      </c>
      <c r="H125" s="7">
        <f t="shared" si="9"/>
        <v>15</v>
      </c>
      <c r="I125" s="9">
        <v>40994.45516203704</v>
      </c>
      <c r="J125" s="8" t="s">
        <v>1682</v>
      </c>
      <c r="K125" s="4">
        <f t="shared" si="10"/>
        <v>48</v>
      </c>
      <c r="L125" s="4">
        <v>4</v>
      </c>
      <c r="M125" s="4">
        <v>48</v>
      </c>
      <c r="Q125">
        <f t="shared" si="7"/>
        <v>15</v>
      </c>
      <c r="S125" s="8"/>
      <c r="T125" s="10"/>
    </row>
    <row r="126" spans="1:20">
      <c r="A126" s="2" t="s">
        <v>1587</v>
      </c>
      <c r="B126" s="3">
        <v>41038.676168981481</v>
      </c>
      <c r="C126" s="8" t="s">
        <v>1782</v>
      </c>
      <c r="F126" s="12">
        <v>101</v>
      </c>
      <c r="G126" t="s">
        <v>1587</v>
      </c>
      <c r="H126" s="7">
        <f t="shared" si="9"/>
        <v>15</v>
      </c>
      <c r="I126" s="9">
        <v>41029.451331018521</v>
      </c>
      <c r="J126" s="8" t="s">
        <v>1795</v>
      </c>
      <c r="K126" s="4">
        <f t="shared" si="10"/>
        <v>49</v>
      </c>
      <c r="L126" s="4">
        <v>2</v>
      </c>
      <c r="M126" s="4">
        <v>49</v>
      </c>
      <c r="Q126">
        <f t="shared" si="7"/>
        <v>15</v>
      </c>
      <c r="S126" s="8"/>
      <c r="T126" s="10"/>
    </row>
    <row r="127" spans="1:20">
      <c r="A127" t="s">
        <v>1857</v>
      </c>
      <c r="B127" s="3">
        <v>41038.747569444444</v>
      </c>
      <c r="C127" s="8" t="s">
        <v>1783</v>
      </c>
      <c r="F127" s="12">
        <v>102</v>
      </c>
      <c r="G127" s="3" t="s">
        <v>1587</v>
      </c>
      <c r="H127" s="7">
        <f t="shared" si="9"/>
        <v>15</v>
      </c>
      <c r="I127" s="9">
        <v>41038.576122685183</v>
      </c>
      <c r="J127" s="8" t="s">
        <v>1802</v>
      </c>
      <c r="K127" s="4">
        <f t="shared" si="10"/>
        <v>50</v>
      </c>
      <c r="L127" s="4">
        <v>2</v>
      </c>
      <c r="M127" s="4">
        <v>50</v>
      </c>
      <c r="Q127">
        <f t="shared" si="7"/>
        <v>15</v>
      </c>
      <c r="S127" s="8"/>
      <c r="T127" s="10"/>
    </row>
    <row r="128" spans="1:20">
      <c r="A128" s="2" t="s">
        <v>1587</v>
      </c>
      <c r="B128" s="3">
        <v>41038.758101851854</v>
      </c>
      <c r="C128" s="8" t="s">
        <v>1601</v>
      </c>
      <c r="F128" s="12">
        <v>103</v>
      </c>
      <c r="G128" s="3" t="s">
        <v>1587</v>
      </c>
      <c r="H128" s="7">
        <f t="shared" si="9"/>
        <v>15</v>
      </c>
      <c r="I128" s="9">
        <v>41051.173564814817</v>
      </c>
      <c r="J128" s="8" t="s">
        <v>1737</v>
      </c>
      <c r="K128" s="4">
        <f t="shared" si="10"/>
        <v>51</v>
      </c>
      <c r="L128" s="4">
        <v>2</v>
      </c>
      <c r="M128" s="4">
        <v>51</v>
      </c>
      <c r="Q128">
        <f t="shared" si="7"/>
        <v>15</v>
      </c>
      <c r="S128" s="8"/>
      <c r="T128" s="10"/>
    </row>
    <row r="129" spans="1:20">
      <c r="A129" t="s">
        <v>1857</v>
      </c>
      <c r="B129" s="3">
        <v>41038.777650462966</v>
      </c>
      <c r="C129" s="8" t="s">
        <v>1602</v>
      </c>
      <c r="F129" s="12">
        <v>106</v>
      </c>
      <c r="G129" s="3" t="s">
        <v>1587</v>
      </c>
      <c r="H129" s="7">
        <f t="shared" si="9"/>
        <v>15</v>
      </c>
      <c r="I129" s="9">
        <v>40983.66369212963</v>
      </c>
      <c r="J129" s="8" t="s">
        <v>1771</v>
      </c>
      <c r="K129" s="4">
        <f t="shared" si="10"/>
        <v>52</v>
      </c>
      <c r="L129" s="4">
        <v>2</v>
      </c>
      <c r="M129" s="4">
        <v>52</v>
      </c>
      <c r="Q129">
        <f t="shared" si="7"/>
        <v>15</v>
      </c>
      <c r="S129" s="8"/>
      <c r="T129" s="10"/>
    </row>
    <row r="130" spans="1:20">
      <c r="A130" s="2" t="s">
        <v>1587</v>
      </c>
      <c r="B130" s="3">
        <v>41039.4996875</v>
      </c>
      <c r="C130" s="8" t="s">
        <v>1704</v>
      </c>
      <c r="F130" s="12">
        <v>107</v>
      </c>
      <c r="G130" s="3" t="s">
        <v>1587</v>
      </c>
      <c r="H130" s="7">
        <f t="shared" ref="H130:H161" si="11">LOOKUP(G130,$N$2:$N$38,$O$2:$O$38)</f>
        <v>15</v>
      </c>
      <c r="I130" s="9">
        <v>41014.992430555554</v>
      </c>
      <c r="J130" s="8" t="s">
        <v>1788</v>
      </c>
      <c r="K130" s="4">
        <f t="shared" si="10"/>
        <v>53</v>
      </c>
      <c r="L130" s="4">
        <v>2</v>
      </c>
      <c r="M130" s="4">
        <v>53</v>
      </c>
      <c r="Q130">
        <f t="shared" si="7"/>
        <v>15</v>
      </c>
      <c r="S130" s="8"/>
      <c r="T130" s="10"/>
    </row>
    <row r="131" spans="1:20">
      <c r="A131" t="s">
        <v>1857</v>
      </c>
      <c r="B131" s="3">
        <v>41041.03224537037</v>
      </c>
      <c r="C131" s="8" t="s">
        <v>1705</v>
      </c>
      <c r="F131" s="12">
        <v>109</v>
      </c>
      <c r="G131" t="s">
        <v>1587</v>
      </c>
      <c r="H131" s="7">
        <f t="shared" si="11"/>
        <v>15</v>
      </c>
      <c r="I131" s="9">
        <v>40971.477395833332</v>
      </c>
      <c r="J131" s="8" t="s">
        <v>1679</v>
      </c>
      <c r="K131" s="4">
        <f t="shared" si="10"/>
        <v>54</v>
      </c>
      <c r="L131" s="4">
        <v>2</v>
      </c>
      <c r="M131" s="4">
        <v>54</v>
      </c>
      <c r="Q131">
        <f t="shared" si="7"/>
        <v>15</v>
      </c>
      <c r="S131" s="8"/>
      <c r="T131" s="10"/>
    </row>
    <row r="132" spans="1:20">
      <c r="A132" s="2" t="s">
        <v>1587</v>
      </c>
      <c r="B132" s="3">
        <v>41041.716157407405</v>
      </c>
      <c r="C132" s="8" t="s">
        <v>1648</v>
      </c>
      <c r="F132" s="12">
        <v>111</v>
      </c>
      <c r="G132" s="3" t="s">
        <v>1587</v>
      </c>
      <c r="H132" s="7">
        <f t="shared" si="11"/>
        <v>15</v>
      </c>
      <c r="I132" s="9">
        <v>41024.42292824074</v>
      </c>
      <c r="J132" s="8" t="s">
        <v>1692</v>
      </c>
      <c r="K132" s="4">
        <f t="shared" si="10"/>
        <v>55</v>
      </c>
      <c r="L132" s="4">
        <v>2</v>
      </c>
      <c r="M132" s="4">
        <v>55</v>
      </c>
      <c r="Q132">
        <f t="shared" si="7"/>
        <v>15</v>
      </c>
      <c r="S132" s="8"/>
      <c r="T132" s="10"/>
    </row>
    <row r="133" spans="1:20">
      <c r="A133" t="s">
        <v>1857</v>
      </c>
      <c r="B133" s="3">
        <v>41041.717118055552</v>
      </c>
      <c r="C133" s="8" t="s">
        <v>1649</v>
      </c>
      <c r="F133" s="12">
        <v>113</v>
      </c>
      <c r="G133" t="s">
        <v>1587</v>
      </c>
      <c r="H133" s="7">
        <f t="shared" si="11"/>
        <v>15</v>
      </c>
      <c r="I133" s="9">
        <v>41051.702430555553</v>
      </c>
      <c r="J133" s="8" t="s">
        <v>1655</v>
      </c>
      <c r="K133" s="4">
        <f t="shared" si="10"/>
        <v>56</v>
      </c>
      <c r="L133" s="4">
        <v>2</v>
      </c>
      <c r="M133" s="4">
        <v>56</v>
      </c>
      <c r="Q133">
        <f t="shared" ref="Q133:Q172" si="12">H133</f>
        <v>15</v>
      </c>
      <c r="S133" s="8"/>
      <c r="T133" s="10"/>
    </row>
    <row r="134" spans="1:20">
      <c r="A134" s="2" t="s">
        <v>1587</v>
      </c>
      <c r="B134" s="3">
        <v>41041.033483796295</v>
      </c>
      <c r="C134" s="8" t="s">
        <v>1610</v>
      </c>
      <c r="F134" s="12">
        <v>115</v>
      </c>
      <c r="G134" t="s">
        <v>1587</v>
      </c>
      <c r="H134" s="7">
        <f t="shared" si="11"/>
        <v>15</v>
      </c>
      <c r="I134" s="9">
        <v>40968.781087962961</v>
      </c>
      <c r="J134" s="8" t="s">
        <v>1646</v>
      </c>
      <c r="K134" s="4">
        <f t="shared" si="10"/>
        <v>57</v>
      </c>
      <c r="L134" s="4">
        <v>2</v>
      </c>
      <c r="M134" s="4">
        <v>57</v>
      </c>
      <c r="Q134">
        <f t="shared" si="12"/>
        <v>15</v>
      </c>
      <c r="S134" s="8"/>
      <c r="T134" s="10"/>
    </row>
    <row r="135" spans="1:20">
      <c r="A135" t="s">
        <v>1857</v>
      </c>
      <c r="B135" s="3">
        <v>41041.717129629629</v>
      </c>
      <c r="C135" s="8" t="s">
        <v>1611</v>
      </c>
      <c r="F135" s="12">
        <v>118</v>
      </c>
      <c r="G135" t="s">
        <v>1587</v>
      </c>
      <c r="H135" s="7">
        <f t="shared" si="11"/>
        <v>15</v>
      </c>
      <c r="I135" s="9">
        <v>41036.729085648149</v>
      </c>
      <c r="J135" s="8" t="s">
        <v>1851</v>
      </c>
      <c r="K135" s="4">
        <f t="shared" si="10"/>
        <v>58</v>
      </c>
      <c r="L135" s="4">
        <v>2</v>
      </c>
      <c r="M135" s="4">
        <v>58</v>
      </c>
      <c r="Q135">
        <f t="shared" si="12"/>
        <v>15</v>
      </c>
      <c r="S135" s="8"/>
      <c r="T135" s="10"/>
    </row>
    <row r="136" spans="1:20">
      <c r="A136" t="s">
        <v>1857</v>
      </c>
      <c r="B136" s="3">
        <v>41043.04314814815</v>
      </c>
      <c r="C136" s="8" t="s">
        <v>1831</v>
      </c>
      <c r="F136" s="12">
        <v>120</v>
      </c>
      <c r="G136" s="3" t="s">
        <v>1587</v>
      </c>
      <c r="H136" s="7">
        <f t="shared" si="11"/>
        <v>15</v>
      </c>
      <c r="I136" s="9">
        <v>41050.779849537037</v>
      </c>
      <c r="J136" s="8" t="s">
        <v>1659</v>
      </c>
      <c r="K136" s="4">
        <f t="shared" si="10"/>
        <v>59</v>
      </c>
      <c r="L136" s="4">
        <v>2</v>
      </c>
      <c r="M136" s="4">
        <v>59</v>
      </c>
      <c r="Q136">
        <f t="shared" si="12"/>
        <v>15</v>
      </c>
      <c r="S136" s="8"/>
      <c r="T136" s="10"/>
    </row>
    <row r="137" spans="1:20">
      <c r="A137" s="2" t="s">
        <v>1587</v>
      </c>
      <c r="B137" s="3">
        <v>41043.957974537036</v>
      </c>
      <c r="C137" s="8" t="s">
        <v>1808</v>
      </c>
      <c r="F137" s="12">
        <v>121</v>
      </c>
      <c r="G137" s="3" t="s">
        <v>1587</v>
      </c>
      <c r="H137" s="7">
        <f t="shared" si="11"/>
        <v>15</v>
      </c>
      <c r="I137" s="9">
        <v>41005.688888888886</v>
      </c>
      <c r="J137" s="8" t="s">
        <v>1776</v>
      </c>
      <c r="K137" s="4">
        <f t="shared" si="10"/>
        <v>60</v>
      </c>
      <c r="L137" s="4">
        <v>2</v>
      </c>
      <c r="M137" s="4">
        <v>60</v>
      </c>
      <c r="Q137">
        <f t="shared" si="12"/>
        <v>15</v>
      </c>
      <c r="S137" s="8"/>
      <c r="T137" s="10"/>
    </row>
    <row r="138" spans="1:20">
      <c r="A138" t="s">
        <v>1857</v>
      </c>
      <c r="B138" s="3">
        <v>41043.978217592594</v>
      </c>
      <c r="C138" s="8" t="s">
        <v>1809</v>
      </c>
      <c r="F138" s="12">
        <v>123</v>
      </c>
      <c r="G138" s="3" t="s">
        <v>1587</v>
      </c>
      <c r="H138" s="7">
        <f t="shared" si="11"/>
        <v>15</v>
      </c>
      <c r="I138" s="9">
        <v>41071.440462962964</v>
      </c>
      <c r="J138" s="8" t="s">
        <v>1779</v>
      </c>
      <c r="K138" s="4">
        <f t="shared" si="10"/>
        <v>61</v>
      </c>
      <c r="L138" s="4">
        <v>6</v>
      </c>
      <c r="M138" s="4">
        <v>61</v>
      </c>
      <c r="Q138">
        <f t="shared" si="12"/>
        <v>15</v>
      </c>
      <c r="S138" s="8"/>
      <c r="T138" s="10"/>
    </row>
    <row r="139" spans="1:20">
      <c r="A139" s="2" t="s">
        <v>1587</v>
      </c>
      <c r="B139" s="3">
        <v>41043.978275462963</v>
      </c>
      <c r="C139" s="8" t="s">
        <v>1643</v>
      </c>
      <c r="F139" s="12">
        <v>125</v>
      </c>
      <c r="G139" t="s">
        <v>1587</v>
      </c>
      <c r="H139" s="7">
        <f t="shared" si="11"/>
        <v>15</v>
      </c>
      <c r="I139" s="9">
        <v>41009.889374999999</v>
      </c>
      <c r="J139" s="8" t="s">
        <v>1782</v>
      </c>
      <c r="K139" s="4">
        <f t="shared" si="10"/>
        <v>62</v>
      </c>
      <c r="L139" s="4">
        <v>5</v>
      </c>
      <c r="M139" s="4">
        <v>62</v>
      </c>
      <c r="Q139">
        <f t="shared" si="12"/>
        <v>15</v>
      </c>
      <c r="S139" s="8"/>
      <c r="T139" s="10"/>
    </row>
    <row r="140" spans="1:20">
      <c r="A140" t="s">
        <v>1857</v>
      </c>
      <c r="B140" s="3">
        <v>41045.86891203704</v>
      </c>
      <c r="C140" s="8" t="s">
        <v>1644</v>
      </c>
      <c r="F140" s="12">
        <v>127</v>
      </c>
      <c r="G140" t="s">
        <v>1587</v>
      </c>
      <c r="H140" s="7">
        <f t="shared" si="11"/>
        <v>15</v>
      </c>
      <c r="I140" s="9">
        <v>40987.399456018517</v>
      </c>
      <c r="J140" s="8" t="s">
        <v>1601</v>
      </c>
      <c r="K140" s="4">
        <f t="shared" si="10"/>
        <v>63</v>
      </c>
      <c r="L140" s="4">
        <v>2</v>
      </c>
      <c r="M140" s="4">
        <v>63</v>
      </c>
      <c r="Q140">
        <f t="shared" si="12"/>
        <v>15</v>
      </c>
      <c r="S140" s="8"/>
      <c r="T140" s="10"/>
    </row>
    <row r="141" spans="1:20">
      <c r="A141" s="2" t="s">
        <v>1587</v>
      </c>
      <c r="B141" s="3">
        <v>41043.04650462963</v>
      </c>
      <c r="C141" s="8" t="s">
        <v>1847</v>
      </c>
      <c r="F141" s="12">
        <v>129</v>
      </c>
      <c r="G141" t="s">
        <v>1587</v>
      </c>
      <c r="H141" s="7">
        <f t="shared" si="11"/>
        <v>15</v>
      </c>
      <c r="I141" s="9">
        <v>41065.854837962965</v>
      </c>
      <c r="J141" s="8" t="s">
        <v>1704</v>
      </c>
      <c r="K141" s="4">
        <f t="shared" si="10"/>
        <v>64</v>
      </c>
      <c r="L141" s="4">
        <v>2</v>
      </c>
      <c r="M141" s="4">
        <v>64</v>
      </c>
      <c r="Q141">
        <f t="shared" si="12"/>
        <v>15</v>
      </c>
      <c r="S141" s="8"/>
      <c r="T141" s="10"/>
    </row>
    <row r="142" spans="1:20">
      <c r="A142" t="s">
        <v>1857</v>
      </c>
      <c r="B142" s="3">
        <v>41045.869004629632</v>
      </c>
      <c r="C142" s="8" t="s">
        <v>1848</v>
      </c>
      <c r="F142" s="12">
        <v>131</v>
      </c>
      <c r="G142" t="s">
        <v>1587</v>
      </c>
      <c r="H142" s="7">
        <f t="shared" si="11"/>
        <v>15</v>
      </c>
      <c r="I142" s="9">
        <v>41008.398865740739</v>
      </c>
      <c r="J142" s="8" t="s">
        <v>1648</v>
      </c>
      <c r="K142" s="4">
        <f t="shared" si="10"/>
        <v>65</v>
      </c>
      <c r="L142" s="4">
        <v>2</v>
      </c>
      <c r="M142" s="4">
        <v>65</v>
      </c>
      <c r="Q142">
        <f t="shared" si="12"/>
        <v>15</v>
      </c>
      <c r="S142" s="8"/>
      <c r="T142" s="10"/>
    </row>
    <row r="143" spans="1:20">
      <c r="A143" s="2" t="s">
        <v>1587</v>
      </c>
      <c r="B143" s="3">
        <v>41046.58252314815</v>
      </c>
      <c r="C143" s="8" t="s">
        <v>1640</v>
      </c>
      <c r="F143" s="12">
        <v>133</v>
      </c>
      <c r="G143" s="3" t="s">
        <v>1587</v>
      </c>
      <c r="H143" s="7">
        <f t="shared" si="11"/>
        <v>15</v>
      </c>
      <c r="I143" s="9">
        <v>41008.398912037039</v>
      </c>
      <c r="J143" s="8" t="s">
        <v>1610</v>
      </c>
      <c r="K143" s="4">
        <f t="shared" si="10"/>
        <v>66</v>
      </c>
      <c r="L143" s="4">
        <v>2</v>
      </c>
      <c r="M143" s="4">
        <v>66</v>
      </c>
      <c r="Q143">
        <f t="shared" si="12"/>
        <v>15</v>
      </c>
      <c r="S143" s="8"/>
      <c r="T143" s="10"/>
    </row>
    <row r="144" spans="1:20">
      <c r="A144" t="s">
        <v>1857</v>
      </c>
      <c r="B144" s="3">
        <v>41046.61005787037</v>
      </c>
      <c r="C144" s="8" t="s">
        <v>1641</v>
      </c>
      <c r="D144" s="1"/>
      <c r="F144" s="12">
        <v>136</v>
      </c>
      <c r="G144" t="s">
        <v>1587</v>
      </c>
      <c r="H144" s="7">
        <f t="shared" si="11"/>
        <v>15</v>
      </c>
      <c r="I144" s="9">
        <v>40969.927951388891</v>
      </c>
      <c r="J144" s="8" t="s">
        <v>1808</v>
      </c>
      <c r="K144" s="4">
        <f t="shared" si="10"/>
        <v>67</v>
      </c>
      <c r="L144" s="4">
        <v>2</v>
      </c>
      <c r="M144" s="4">
        <v>67</v>
      </c>
      <c r="Q144">
        <f t="shared" si="12"/>
        <v>15</v>
      </c>
      <c r="S144" s="8"/>
      <c r="T144" s="10"/>
    </row>
    <row r="145" spans="1:20">
      <c r="A145" s="2" t="s">
        <v>1587</v>
      </c>
      <c r="B145" s="3">
        <v>41046.756331018521</v>
      </c>
      <c r="C145" s="8" t="s">
        <v>1726</v>
      </c>
      <c r="F145" s="12">
        <v>138</v>
      </c>
      <c r="G145" t="s">
        <v>1587</v>
      </c>
      <c r="H145" s="7">
        <f t="shared" si="11"/>
        <v>15</v>
      </c>
      <c r="I145" s="9">
        <v>41071.640243055554</v>
      </c>
      <c r="J145" s="8" t="s">
        <v>1643</v>
      </c>
      <c r="K145" s="4">
        <f t="shared" ref="K145:K172" si="13">IF(Q145&gt;Q144,1,K144+1)</f>
        <v>68</v>
      </c>
      <c r="L145" s="4">
        <v>2</v>
      </c>
      <c r="M145" s="4">
        <v>68</v>
      </c>
      <c r="Q145">
        <f t="shared" si="12"/>
        <v>15</v>
      </c>
      <c r="S145" s="8"/>
      <c r="T145" s="10"/>
    </row>
    <row r="146" spans="1:20">
      <c r="A146" t="s">
        <v>1857</v>
      </c>
      <c r="B146" s="3">
        <v>41046.775092592594</v>
      </c>
      <c r="C146" s="8" t="s">
        <v>1727</v>
      </c>
      <c r="F146" s="12">
        <v>140</v>
      </c>
      <c r="G146" t="s">
        <v>1587</v>
      </c>
      <c r="H146" s="7">
        <f t="shared" si="11"/>
        <v>15</v>
      </c>
      <c r="I146" s="9">
        <v>41052.723703703705</v>
      </c>
      <c r="J146" s="8" t="s">
        <v>1847</v>
      </c>
      <c r="K146" s="4">
        <f t="shared" si="13"/>
        <v>69</v>
      </c>
      <c r="L146" s="4">
        <v>6</v>
      </c>
      <c r="M146" s="4">
        <v>69</v>
      </c>
      <c r="Q146">
        <f t="shared" si="12"/>
        <v>15</v>
      </c>
      <c r="S146" s="8"/>
      <c r="T146" s="10"/>
    </row>
    <row r="147" spans="1:20">
      <c r="A147" s="2" t="s">
        <v>1587</v>
      </c>
      <c r="B147" s="3">
        <v>41046.775185185186</v>
      </c>
      <c r="C147" s="8" t="s">
        <v>1698</v>
      </c>
      <c r="F147" s="12">
        <v>142</v>
      </c>
      <c r="G147" s="3" t="s">
        <v>1587</v>
      </c>
      <c r="H147" s="7">
        <f t="shared" si="11"/>
        <v>15</v>
      </c>
      <c r="I147" s="9">
        <v>41058.74359953704</v>
      </c>
      <c r="J147" s="8" t="s">
        <v>1640</v>
      </c>
      <c r="K147" s="4">
        <f t="shared" si="13"/>
        <v>70</v>
      </c>
      <c r="L147" s="4">
        <v>3</v>
      </c>
      <c r="M147" s="4">
        <v>70</v>
      </c>
      <c r="Q147">
        <f t="shared" si="12"/>
        <v>15</v>
      </c>
      <c r="S147" s="8"/>
      <c r="T147" s="10"/>
    </row>
    <row r="148" spans="1:20">
      <c r="A148" t="s">
        <v>1857</v>
      </c>
      <c r="B148" s="3">
        <v>41046.78025462963</v>
      </c>
      <c r="C148" s="8" t="s">
        <v>1699</v>
      </c>
      <c r="F148" s="12">
        <v>144</v>
      </c>
      <c r="G148" t="s">
        <v>1587</v>
      </c>
      <c r="H148" s="7">
        <f t="shared" si="11"/>
        <v>15</v>
      </c>
      <c r="I148" s="9">
        <v>41073.442662037036</v>
      </c>
      <c r="J148" s="8" t="s">
        <v>1726</v>
      </c>
      <c r="K148" s="4">
        <f t="shared" si="13"/>
        <v>71</v>
      </c>
      <c r="L148" s="4">
        <v>2</v>
      </c>
      <c r="M148" s="4">
        <v>71</v>
      </c>
      <c r="Q148">
        <f t="shared" si="12"/>
        <v>15</v>
      </c>
      <c r="S148" s="8"/>
      <c r="T148" s="10"/>
    </row>
    <row r="149" spans="1:20">
      <c r="A149" s="2" t="s">
        <v>1593</v>
      </c>
      <c r="B149" s="3">
        <v>41049.975381944445</v>
      </c>
      <c r="C149" s="8" t="s">
        <v>1720</v>
      </c>
      <c r="F149" s="12">
        <v>146</v>
      </c>
      <c r="G149" t="s">
        <v>1587</v>
      </c>
      <c r="H149" s="7">
        <f t="shared" si="11"/>
        <v>15</v>
      </c>
      <c r="I149" s="9">
        <v>41065.641076388885</v>
      </c>
      <c r="J149" s="8" t="s">
        <v>1698</v>
      </c>
      <c r="K149" s="4">
        <f t="shared" si="13"/>
        <v>72</v>
      </c>
      <c r="L149" s="4">
        <v>4</v>
      </c>
      <c r="M149" s="4">
        <v>72</v>
      </c>
      <c r="Q149">
        <f t="shared" si="12"/>
        <v>15</v>
      </c>
      <c r="S149" s="8"/>
      <c r="T149" s="10"/>
    </row>
    <row r="150" spans="1:20">
      <c r="A150" t="s">
        <v>1587</v>
      </c>
      <c r="B150" s="3">
        <v>41053.775300925925</v>
      </c>
      <c r="C150" s="8" t="s">
        <v>1721</v>
      </c>
      <c r="F150" s="12">
        <v>149</v>
      </c>
      <c r="G150" t="s">
        <v>1587</v>
      </c>
      <c r="H150" s="7">
        <f t="shared" si="11"/>
        <v>15</v>
      </c>
      <c r="I150" s="9">
        <v>40995.789907407408</v>
      </c>
      <c r="J150" s="8" t="s">
        <v>1721</v>
      </c>
      <c r="K150" s="4">
        <f t="shared" si="13"/>
        <v>73</v>
      </c>
      <c r="L150" s="4">
        <v>2</v>
      </c>
      <c r="M150" s="4">
        <v>73</v>
      </c>
      <c r="Q150">
        <f t="shared" si="12"/>
        <v>15</v>
      </c>
      <c r="S150" s="8"/>
      <c r="T150" s="10"/>
    </row>
    <row r="151" spans="1:20">
      <c r="A151" t="s">
        <v>1593</v>
      </c>
      <c r="B151" s="3">
        <v>41054.911585648151</v>
      </c>
      <c r="C151" s="8" t="s">
        <v>1853</v>
      </c>
      <c r="F151" s="12">
        <v>151</v>
      </c>
      <c r="G151" t="s">
        <v>1587</v>
      </c>
      <c r="H151" s="7">
        <f t="shared" si="11"/>
        <v>15</v>
      </c>
      <c r="I151" s="9">
        <v>41065.722696759258</v>
      </c>
      <c r="J151" s="8" t="s">
        <v>1823</v>
      </c>
      <c r="K151" s="4">
        <f t="shared" si="13"/>
        <v>74</v>
      </c>
      <c r="L151" s="4">
        <v>4</v>
      </c>
      <c r="M151" s="4">
        <v>74</v>
      </c>
      <c r="Q151">
        <f t="shared" si="12"/>
        <v>15</v>
      </c>
      <c r="S151" s="8"/>
      <c r="T151" s="10"/>
    </row>
    <row r="152" spans="1:20">
      <c r="A152" s="2" t="s">
        <v>1587</v>
      </c>
      <c r="B152" s="3">
        <v>41056.805115740739</v>
      </c>
      <c r="C152" s="8" t="s">
        <v>1823</v>
      </c>
      <c r="F152" s="12">
        <v>154</v>
      </c>
      <c r="G152" t="s">
        <v>1587</v>
      </c>
      <c r="H152" s="7">
        <f t="shared" si="11"/>
        <v>15</v>
      </c>
      <c r="I152" s="9">
        <v>41036.570879629631</v>
      </c>
      <c r="J152" s="8" t="s">
        <v>1815</v>
      </c>
      <c r="K152" s="4">
        <f t="shared" si="13"/>
        <v>75</v>
      </c>
      <c r="L152" s="4">
        <v>2</v>
      </c>
      <c r="M152" s="4">
        <v>75</v>
      </c>
      <c r="Q152">
        <f t="shared" si="12"/>
        <v>15</v>
      </c>
      <c r="S152" s="8"/>
      <c r="T152" s="10"/>
    </row>
    <row r="153" spans="1:20">
      <c r="A153" t="s">
        <v>1857</v>
      </c>
      <c r="B153" s="3">
        <v>41057.859907407408</v>
      </c>
      <c r="C153" s="8" t="s">
        <v>1824</v>
      </c>
      <c r="F153" s="12">
        <v>156</v>
      </c>
      <c r="G153" s="3" t="s">
        <v>1587</v>
      </c>
      <c r="H153" s="7">
        <f t="shared" si="11"/>
        <v>15</v>
      </c>
      <c r="I153" s="9">
        <v>40969.943564814814</v>
      </c>
      <c r="J153" s="8" t="s">
        <v>1653</v>
      </c>
      <c r="K153" s="4">
        <f t="shared" si="13"/>
        <v>76</v>
      </c>
      <c r="L153" s="4">
        <v>2</v>
      </c>
      <c r="M153" s="4">
        <v>76</v>
      </c>
      <c r="Q153">
        <f t="shared" si="12"/>
        <v>15</v>
      </c>
      <c r="S153" s="8"/>
      <c r="T153" s="10"/>
    </row>
    <row r="154" spans="1:20">
      <c r="A154" s="2" t="s">
        <v>1593</v>
      </c>
      <c r="B154" s="3">
        <v>41060.337905092594</v>
      </c>
      <c r="C154" s="8" t="s">
        <v>1814</v>
      </c>
      <c r="F154" s="12">
        <v>157</v>
      </c>
      <c r="G154" s="3" t="s">
        <v>1587</v>
      </c>
      <c r="H154" s="7">
        <f t="shared" si="11"/>
        <v>15</v>
      </c>
      <c r="I154" s="9">
        <v>41051.780381944445</v>
      </c>
      <c r="J154" s="8" t="s">
        <v>1671</v>
      </c>
      <c r="K154" s="4">
        <f t="shared" si="13"/>
        <v>77</v>
      </c>
      <c r="L154" s="4">
        <v>2</v>
      </c>
      <c r="M154" s="4">
        <v>77</v>
      </c>
      <c r="Q154">
        <f t="shared" si="12"/>
        <v>15</v>
      </c>
      <c r="S154" s="8"/>
      <c r="T154" s="10"/>
    </row>
    <row r="155" spans="1:20">
      <c r="A155" t="s">
        <v>1587</v>
      </c>
      <c r="B155" s="3">
        <v>41061.680925925924</v>
      </c>
      <c r="C155" s="8" t="s">
        <v>1815</v>
      </c>
      <c r="F155" s="12">
        <v>160</v>
      </c>
      <c r="G155" s="3" t="s">
        <v>1587</v>
      </c>
      <c r="H155" s="7">
        <f t="shared" si="11"/>
        <v>15</v>
      </c>
      <c r="I155" s="9">
        <v>41059.594398148147</v>
      </c>
      <c r="J155" s="8" t="s">
        <v>1774</v>
      </c>
      <c r="K155" s="4">
        <f t="shared" si="13"/>
        <v>78</v>
      </c>
      <c r="L155" s="4">
        <v>2</v>
      </c>
      <c r="M155" s="4">
        <v>78</v>
      </c>
      <c r="Q155">
        <f t="shared" si="12"/>
        <v>15</v>
      </c>
      <c r="S155" s="8"/>
      <c r="T155" s="10"/>
    </row>
    <row r="156" spans="1:20">
      <c r="A156" s="2" t="s">
        <v>1651</v>
      </c>
      <c r="B156" s="3">
        <v>41047.827615740738</v>
      </c>
      <c r="C156" s="8" t="s">
        <v>1652</v>
      </c>
      <c r="F156" s="12">
        <v>161</v>
      </c>
      <c r="G156" s="3" t="s">
        <v>1587</v>
      </c>
      <c r="H156" s="7">
        <f t="shared" si="11"/>
        <v>15</v>
      </c>
      <c r="I156" s="9">
        <v>40973.426365740743</v>
      </c>
      <c r="J156" s="8" t="s">
        <v>1701</v>
      </c>
      <c r="K156" s="4">
        <f t="shared" si="13"/>
        <v>79</v>
      </c>
      <c r="L156" s="4">
        <v>2</v>
      </c>
      <c r="M156" s="4">
        <v>79</v>
      </c>
      <c r="Q156">
        <f t="shared" si="12"/>
        <v>15</v>
      </c>
      <c r="S156" s="8"/>
      <c r="T156" s="10"/>
    </row>
    <row r="157" spans="1:20">
      <c r="A157" t="s">
        <v>1587</v>
      </c>
      <c r="B157" s="3">
        <v>41061.717118055552</v>
      </c>
      <c r="C157" s="8" t="s">
        <v>1653</v>
      </c>
      <c r="F157" s="12">
        <v>164</v>
      </c>
      <c r="G157" s="3" t="s">
        <v>1587</v>
      </c>
      <c r="H157" s="7">
        <f t="shared" si="11"/>
        <v>15</v>
      </c>
      <c r="I157" s="9">
        <v>41043.793217592596</v>
      </c>
      <c r="J157" s="8" t="s">
        <v>1626</v>
      </c>
      <c r="K157" s="4">
        <f t="shared" si="13"/>
        <v>80</v>
      </c>
      <c r="L157" s="4">
        <v>2</v>
      </c>
      <c r="M157" s="4">
        <v>80</v>
      </c>
      <c r="Q157">
        <f t="shared" si="12"/>
        <v>15</v>
      </c>
      <c r="S157" s="8"/>
      <c r="T157" s="10"/>
    </row>
    <row r="158" spans="1:20">
      <c r="A158" s="2" t="s">
        <v>1587</v>
      </c>
      <c r="B158" s="3">
        <v>41062.019004629627</v>
      </c>
      <c r="C158" s="8" t="s">
        <v>1671</v>
      </c>
      <c r="F158" s="12">
        <v>166</v>
      </c>
      <c r="G158" s="3" t="s">
        <v>1587</v>
      </c>
      <c r="H158" s="7">
        <f t="shared" si="11"/>
        <v>15</v>
      </c>
      <c r="I158" s="9">
        <v>41016.489502314813</v>
      </c>
      <c r="J158" s="8" t="s">
        <v>1828</v>
      </c>
      <c r="K158" s="4">
        <f t="shared" si="13"/>
        <v>81</v>
      </c>
      <c r="L158" s="4">
        <v>2</v>
      </c>
      <c r="M158" s="4">
        <v>81</v>
      </c>
      <c r="Q158">
        <f t="shared" si="12"/>
        <v>15</v>
      </c>
      <c r="S158" s="8"/>
      <c r="T158" s="10"/>
    </row>
    <row r="159" spans="1:20">
      <c r="A159" t="s">
        <v>1857</v>
      </c>
      <c r="B159" s="3">
        <v>41063.491215277776</v>
      </c>
      <c r="C159" s="8" t="s">
        <v>1856</v>
      </c>
      <c r="F159" s="12">
        <v>168</v>
      </c>
      <c r="G159" s="3" t="s">
        <v>1587</v>
      </c>
      <c r="H159" s="7">
        <f t="shared" si="11"/>
        <v>15</v>
      </c>
      <c r="I159" s="9">
        <v>40990.456701388888</v>
      </c>
      <c r="J159" s="8" t="s">
        <v>1676</v>
      </c>
      <c r="K159" s="4">
        <f t="shared" si="13"/>
        <v>82</v>
      </c>
      <c r="L159" s="4">
        <v>2</v>
      </c>
      <c r="M159" s="4">
        <v>82</v>
      </c>
      <c r="Q159">
        <f t="shared" si="12"/>
        <v>15</v>
      </c>
      <c r="S159" s="8"/>
      <c r="T159" s="10"/>
    </row>
    <row r="160" spans="1:20">
      <c r="A160" s="2" t="s">
        <v>1593</v>
      </c>
      <c r="B160" s="3">
        <v>41064.482164351852</v>
      </c>
      <c r="C160" s="8" t="s">
        <v>1773</v>
      </c>
      <c r="F160" s="12">
        <v>170</v>
      </c>
      <c r="G160" s="3" t="s">
        <v>1587</v>
      </c>
      <c r="H160" s="7">
        <f t="shared" si="11"/>
        <v>15</v>
      </c>
      <c r="I160" s="9">
        <v>40968.785787037035</v>
      </c>
      <c r="J160" s="8" t="s">
        <v>1799</v>
      </c>
      <c r="K160" s="4">
        <f t="shared" si="13"/>
        <v>83</v>
      </c>
      <c r="L160" s="4">
        <v>2</v>
      </c>
      <c r="M160" s="4">
        <v>83</v>
      </c>
      <c r="Q160">
        <f t="shared" si="12"/>
        <v>15</v>
      </c>
      <c r="S160" s="8"/>
      <c r="T160" s="10"/>
    </row>
    <row r="161" spans="1:20">
      <c r="A161" t="s">
        <v>1587</v>
      </c>
      <c r="B161" s="3">
        <v>41064.505706018521</v>
      </c>
      <c r="C161" s="8" t="s">
        <v>1774</v>
      </c>
      <c r="F161" s="12">
        <v>9</v>
      </c>
      <c r="G161" s="3" t="s">
        <v>1584</v>
      </c>
      <c r="H161" s="7">
        <f t="shared" si="11"/>
        <v>16</v>
      </c>
      <c r="I161" s="9">
        <v>40995.717048611114</v>
      </c>
      <c r="J161" s="8" t="s">
        <v>1585</v>
      </c>
      <c r="K161" s="4">
        <f t="shared" si="13"/>
        <v>1</v>
      </c>
      <c r="L161" s="4">
        <v>3</v>
      </c>
      <c r="M161" s="4">
        <v>1</v>
      </c>
      <c r="Q161">
        <f t="shared" si="12"/>
        <v>16</v>
      </c>
      <c r="S161" s="8"/>
      <c r="T161" s="10"/>
    </row>
    <row r="162" spans="1:20">
      <c r="A162" s="2" t="s">
        <v>1587</v>
      </c>
      <c r="B162" s="3">
        <v>41064.727627314816</v>
      </c>
      <c r="C162" s="8" t="s">
        <v>1701</v>
      </c>
      <c r="F162" s="12">
        <v>17</v>
      </c>
      <c r="G162" t="s">
        <v>1635</v>
      </c>
      <c r="H162" s="7">
        <f t="shared" ref="H162:H172" si="14">LOOKUP(G162,$N$2:$N$38,$O$2:$O$38)</f>
        <v>17</v>
      </c>
      <c r="I162" s="9">
        <v>41011.949016203704</v>
      </c>
      <c r="J162" s="8" t="s">
        <v>1662</v>
      </c>
      <c r="K162" s="4">
        <f t="shared" si="13"/>
        <v>1</v>
      </c>
      <c r="L162" s="4">
        <v>2</v>
      </c>
      <c r="M162" s="4">
        <v>1</v>
      </c>
      <c r="Q162">
        <f t="shared" si="12"/>
        <v>17</v>
      </c>
      <c r="S162" s="8"/>
      <c r="T162" s="10"/>
    </row>
    <row r="163" spans="1:20">
      <c r="A163" t="s">
        <v>1857</v>
      </c>
      <c r="B163" s="3">
        <v>41064.811712962961</v>
      </c>
      <c r="C163" s="8" t="s">
        <v>1711</v>
      </c>
      <c r="F163" s="12">
        <v>34</v>
      </c>
      <c r="G163" t="s">
        <v>1635</v>
      </c>
      <c r="H163" s="7">
        <f t="shared" si="14"/>
        <v>17</v>
      </c>
      <c r="I163" s="9">
        <v>41064.474999999999</v>
      </c>
      <c r="J163" s="8" t="s">
        <v>1634</v>
      </c>
      <c r="K163" s="4">
        <f t="shared" si="13"/>
        <v>2</v>
      </c>
      <c r="L163" s="4">
        <v>2</v>
      </c>
      <c r="M163" s="4">
        <v>2</v>
      </c>
      <c r="Q163">
        <f t="shared" si="12"/>
        <v>17</v>
      </c>
      <c r="S163" s="8"/>
      <c r="T163" s="10"/>
    </row>
    <row r="164" spans="1:20">
      <c r="A164" t="s">
        <v>1593</v>
      </c>
      <c r="B164" s="3">
        <v>41065.459861111114</v>
      </c>
      <c r="C164" s="8" t="s">
        <v>1702</v>
      </c>
      <c r="F164" s="12">
        <v>4</v>
      </c>
      <c r="G164" s="3" t="s">
        <v>1760</v>
      </c>
      <c r="H164" s="7">
        <f t="shared" si="14"/>
        <v>18</v>
      </c>
      <c r="I164" s="9">
        <v>40977.490439814814</v>
      </c>
      <c r="J164" s="8" t="s">
        <v>1759</v>
      </c>
      <c r="K164" s="4">
        <f t="shared" si="13"/>
        <v>1</v>
      </c>
      <c r="L164" s="4">
        <v>2</v>
      </c>
      <c r="M164" s="4">
        <v>1</v>
      </c>
      <c r="Q164">
        <f t="shared" si="12"/>
        <v>18</v>
      </c>
      <c r="S164" s="8"/>
      <c r="T164" s="10"/>
    </row>
    <row r="165" spans="1:20">
      <c r="A165" s="2" t="s">
        <v>1587</v>
      </c>
      <c r="B165" s="3">
        <v>41065.476886574077</v>
      </c>
      <c r="C165" s="8" t="s">
        <v>1626</v>
      </c>
      <c r="F165" s="12">
        <v>100</v>
      </c>
      <c r="G165" s="3" t="s">
        <v>1794</v>
      </c>
      <c r="H165" s="7">
        <f t="shared" si="14"/>
        <v>19</v>
      </c>
      <c r="I165" s="9">
        <v>41060.395451388889</v>
      </c>
      <c r="J165" s="8">
        <v>1837662</v>
      </c>
      <c r="K165" s="4">
        <f t="shared" si="13"/>
        <v>1</v>
      </c>
      <c r="L165" s="4">
        <v>4</v>
      </c>
      <c r="M165" s="4">
        <v>1</v>
      </c>
      <c r="Q165">
        <f t="shared" si="12"/>
        <v>19</v>
      </c>
      <c r="S165" s="8"/>
      <c r="T165" s="10"/>
    </row>
    <row r="166" spans="1:20">
      <c r="A166" t="s">
        <v>1593</v>
      </c>
      <c r="B166" s="3">
        <v>41065.510393518518</v>
      </c>
      <c r="C166" s="8" t="s">
        <v>1627</v>
      </c>
      <c r="F166" s="12">
        <v>77</v>
      </c>
      <c r="G166" t="s">
        <v>1707</v>
      </c>
      <c r="H166" s="7">
        <f t="shared" si="14"/>
        <v>20</v>
      </c>
      <c r="I166" s="9">
        <v>41024.911678240744</v>
      </c>
      <c r="J166" s="8" t="s">
        <v>1746</v>
      </c>
      <c r="K166" s="4">
        <f t="shared" si="13"/>
        <v>1</v>
      </c>
      <c r="L166" s="4">
        <v>2</v>
      </c>
      <c r="M166" s="4">
        <v>1</v>
      </c>
      <c r="Q166">
        <f t="shared" si="12"/>
        <v>20</v>
      </c>
      <c r="S166" s="8"/>
      <c r="T166" s="10"/>
    </row>
    <row r="167" spans="1:20">
      <c r="A167" s="2" t="s">
        <v>1587</v>
      </c>
      <c r="B167" s="3">
        <v>41065.477199074077</v>
      </c>
      <c r="C167" s="8" t="s">
        <v>1828</v>
      </c>
      <c r="F167" s="12">
        <v>81</v>
      </c>
      <c r="G167" s="3" t="s">
        <v>1707</v>
      </c>
      <c r="H167" s="7">
        <f t="shared" si="14"/>
        <v>20</v>
      </c>
      <c r="I167" s="9">
        <v>41061.719560185185</v>
      </c>
      <c r="J167" s="8" t="s">
        <v>1708</v>
      </c>
      <c r="K167" s="4">
        <f t="shared" si="13"/>
        <v>2</v>
      </c>
      <c r="L167" s="4">
        <v>5</v>
      </c>
      <c r="M167" s="4">
        <v>2</v>
      </c>
      <c r="Q167">
        <f t="shared" si="12"/>
        <v>20</v>
      </c>
      <c r="S167" s="8"/>
      <c r="T167" s="10"/>
    </row>
    <row r="168" spans="1:20">
      <c r="A168" t="s">
        <v>1857</v>
      </c>
      <c r="B168" s="3">
        <v>41066.033136574071</v>
      </c>
      <c r="C168" s="8" t="s">
        <v>1829</v>
      </c>
      <c r="F168" s="12">
        <v>96</v>
      </c>
      <c r="G168" t="s">
        <v>1707</v>
      </c>
      <c r="H168" s="7">
        <f t="shared" si="14"/>
        <v>20</v>
      </c>
      <c r="I168" s="9">
        <v>41060.473032407404</v>
      </c>
      <c r="J168" s="8" t="s">
        <v>1845</v>
      </c>
      <c r="K168" s="4">
        <f t="shared" si="13"/>
        <v>3</v>
      </c>
      <c r="L168" s="4">
        <v>2</v>
      </c>
      <c r="M168" s="4">
        <v>3</v>
      </c>
      <c r="Q168">
        <f t="shared" si="12"/>
        <v>20</v>
      </c>
      <c r="S168" s="8"/>
      <c r="T168" s="10"/>
    </row>
    <row r="169" spans="1:20">
      <c r="A169" s="2" t="s">
        <v>1587</v>
      </c>
      <c r="B169" s="3">
        <v>41062.054652777777</v>
      </c>
      <c r="C169" s="8" t="s">
        <v>1676</v>
      </c>
      <c r="F169" s="12">
        <v>5</v>
      </c>
      <c r="G169" t="s">
        <v>1685</v>
      </c>
      <c r="H169" s="7">
        <f t="shared" si="14"/>
        <v>21</v>
      </c>
      <c r="I169" s="9">
        <v>40981.438090277778</v>
      </c>
      <c r="J169" s="8" t="s">
        <v>1686</v>
      </c>
      <c r="K169" s="4">
        <f t="shared" si="13"/>
        <v>1</v>
      </c>
      <c r="L169" s="4">
        <v>2</v>
      </c>
      <c r="M169" s="4">
        <v>1</v>
      </c>
      <c r="Q169">
        <f t="shared" si="12"/>
        <v>21</v>
      </c>
      <c r="S169" s="8"/>
      <c r="T169" s="10"/>
    </row>
    <row r="170" spans="1:20">
      <c r="A170" t="s">
        <v>1857</v>
      </c>
      <c r="B170" s="3">
        <v>41066.042187500003</v>
      </c>
      <c r="C170" s="8" t="s">
        <v>1677</v>
      </c>
      <c r="F170" s="12">
        <v>69</v>
      </c>
      <c r="G170" t="s">
        <v>1716</v>
      </c>
      <c r="H170" s="7">
        <f t="shared" si="14"/>
        <v>22</v>
      </c>
      <c r="I170" s="9">
        <v>41060.528449074074</v>
      </c>
      <c r="J170" s="8" t="s">
        <v>1717</v>
      </c>
      <c r="K170" s="4">
        <f t="shared" si="13"/>
        <v>1</v>
      </c>
      <c r="L170" s="4">
        <v>2</v>
      </c>
      <c r="M170" s="4">
        <v>1</v>
      </c>
      <c r="Q170">
        <f t="shared" si="12"/>
        <v>22</v>
      </c>
      <c r="S170" s="8"/>
      <c r="T170" s="10"/>
    </row>
    <row r="171" spans="1:20">
      <c r="A171" s="2" t="s">
        <v>1587</v>
      </c>
      <c r="B171" s="3">
        <v>41079.625219907408</v>
      </c>
      <c r="C171" s="8" t="s">
        <v>1799</v>
      </c>
      <c r="F171" s="12">
        <v>23</v>
      </c>
      <c r="G171" t="s">
        <v>1604</v>
      </c>
      <c r="H171" s="7">
        <f t="shared" si="14"/>
        <v>23</v>
      </c>
      <c r="I171" s="9">
        <v>41024.399629629632</v>
      </c>
      <c r="J171" s="8" t="s">
        <v>1605</v>
      </c>
      <c r="K171" s="4">
        <f t="shared" si="13"/>
        <v>1</v>
      </c>
      <c r="L171" s="4">
        <v>5</v>
      </c>
      <c r="M171" s="4">
        <v>1</v>
      </c>
      <c r="Q171">
        <f t="shared" si="12"/>
        <v>23</v>
      </c>
      <c r="S171" s="8"/>
      <c r="T171" s="10"/>
    </row>
    <row r="172" spans="1:20">
      <c r="A172" t="s">
        <v>1857</v>
      </c>
      <c r="B172" s="3">
        <v>41080.970231481479</v>
      </c>
      <c r="C172" s="8" t="s">
        <v>1800</v>
      </c>
      <c r="F172" s="12">
        <v>105</v>
      </c>
      <c r="G172" t="s">
        <v>1769</v>
      </c>
      <c r="H172" s="7">
        <f t="shared" si="14"/>
        <v>24</v>
      </c>
      <c r="I172" s="9">
        <v>40982.02652777778</v>
      </c>
      <c r="J172" s="8" t="s">
        <v>1770</v>
      </c>
      <c r="K172" s="4">
        <f t="shared" si="13"/>
        <v>1</v>
      </c>
      <c r="L172" s="4">
        <v>8</v>
      </c>
      <c r="M172" s="4">
        <v>1</v>
      </c>
      <c r="Q172">
        <f t="shared" si="12"/>
        <v>24</v>
      </c>
      <c r="S172" s="8"/>
      <c r="T172" s="10"/>
    </row>
    <row r="173" spans="1:20">
      <c r="C173" s="3"/>
      <c r="G173"/>
      <c r="H173" s="7"/>
      <c r="S173" s="8"/>
      <c r="T173" s="10"/>
    </row>
    <row r="174" spans="1:20">
      <c r="C174" s="3"/>
      <c r="G174"/>
      <c r="H174" s="7"/>
      <c r="I174" s="17" t="s">
        <v>1874</v>
      </c>
      <c r="L174" s="4">
        <f>AVERAGE(L2:L172)</f>
        <v>2.9707602339181287</v>
      </c>
      <c r="S174" s="8"/>
      <c r="T174" s="10"/>
    </row>
    <row r="175" spans="1:20">
      <c r="C175" s="3"/>
      <c r="G175" s="3"/>
      <c r="H175" s="7"/>
      <c r="S175" s="8"/>
      <c r="T175" s="10"/>
    </row>
    <row r="176" spans="1:20">
      <c r="C176" s="3"/>
      <c r="G176" s="3"/>
      <c r="H176" s="7"/>
      <c r="S176" s="8"/>
      <c r="T176" s="10"/>
    </row>
    <row r="177" spans="3:20">
      <c r="C177" s="3"/>
      <c r="G177" s="3"/>
      <c r="H177" s="7"/>
      <c r="S177" s="8"/>
      <c r="T177" s="10"/>
    </row>
    <row r="178" spans="3:20">
      <c r="C178" s="3"/>
      <c r="G178" s="3"/>
      <c r="H178" s="7"/>
      <c r="S178" s="8"/>
      <c r="T178" s="10"/>
    </row>
    <row r="179" spans="3:20">
      <c r="C179" s="3"/>
      <c r="G179"/>
      <c r="H179" s="7"/>
      <c r="S179" s="8"/>
      <c r="T179" s="10"/>
    </row>
    <row r="180" spans="3:20">
      <c r="C180" s="3"/>
      <c r="G180" s="3"/>
      <c r="H180" s="7"/>
      <c r="S180" s="8"/>
      <c r="T180" s="10"/>
    </row>
    <row r="181" spans="3:20">
      <c r="C181" s="3"/>
      <c r="G181" s="3"/>
      <c r="H181" s="7"/>
      <c r="S181" s="8"/>
      <c r="T181" s="10"/>
    </row>
    <row r="182" spans="3:20">
      <c r="C182" s="3"/>
      <c r="G182" s="3"/>
      <c r="H182" s="7"/>
      <c r="S182" s="8"/>
      <c r="T182" s="10"/>
    </row>
    <row r="183" spans="3:20">
      <c r="C183" s="3"/>
      <c r="G183" s="3"/>
      <c r="H183" s="7"/>
      <c r="S183" s="8"/>
      <c r="T183" s="10"/>
    </row>
    <row r="184" spans="3:20">
      <c r="C184" s="3"/>
      <c r="G184" s="3"/>
      <c r="H184" s="7"/>
      <c r="S184" s="8"/>
      <c r="T184" s="10"/>
    </row>
    <row r="185" spans="3:20">
      <c r="C185" s="3"/>
      <c r="G185" s="3"/>
      <c r="H185" s="7"/>
      <c r="S185" s="8"/>
      <c r="T185" s="10"/>
    </row>
    <row r="186" spans="3:20">
      <c r="C186" s="3"/>
      <c r="G186"/>
      <c r="H186" s="7"/>
      <c r="S186" s="8"/>
      <c r="T186" s="10"/>
    </row>
    <row r="187" spans="3:20">
      <c r="C187" s="3"/>
      <c r="G187"/>
      <c r="H187" s="7"/>
      <c r="S187" s="8"/>
      <c r="T187" s="10"/>
    </row>
    <row r="188" spans="3:20">
      <c r="C188" s="3"/>
      <c r="G188" s="3"/>
      <c r="H188" s="7"/>
      <c r="S188" s="8"/>
      <c r="T188" s="10"/>
    </row>
    <row r="189" spans="3:20">
      <c r="C189" s="3"/>
      <c r="G189" s="3"/>
      <c r="H189" s="7"/>
      <c r="S189" s="8"/>
      <c r="T189" s="10"/>
    </row>
    <row r="190" spans="3:20">
      <c r="C190" s="3"/>
      <c r="G190" s="3"/>
      <c r="H190" s="7"/>
      <c r="S190" s="8"/>
      <c r="T190" s="10"/>
    </row>
    <row r="191" spans="3:20">
      <c r="C191" s="3"/>
      <c r="G191" s="3"/>
      <c r="H191" s="7"/>
      <c r="S191" s="8"/>
      <c r="T191" s="10"/>
    </row>
    <row r="192" spans="3:20">
      <c r="C192" s="3"/>
      <c r="G192" s="3"/>
      <c r="H192" s="7"/>
      <c r="S192" s="8"/>
      <c r="T192" s="10"/>
    </row>
    <row r="193" spans="3:20">
      <c r="C193" s="3"/>
      <c r="G193" s="3"/>
      <c r="H193" s="7"/>
      <c r="S193" s="8"/>
      <c r="T193" s="10"/>
    </row>
    <row r="194" spans="3:20">
      <c r="C194" s="3"/>
      <c r="G194" s="3"/>
      <c r="H194" s="7"/>
      <c r="S194" s="8"/>
      <c r="T194" s="10"/>
    </row>
    <row r="195" spans="3:20">
      <c r="C195" s="3"/>
      <c r="G195" s="3"/>
      <c r="H195" s="7"/>
      <c r="S195" s="8"/>
      <c r="T195" s="10"/>
    </row>
    <row r="196" spans="3:20">
      <c r="C196" s="3"/>
    </row>
    <row r="198" spans="3:20">
      <c r="G198" s="3"/>
    </row>
    <row r="199" spans="3:20">
      <c r="G199"/>
    </row>
    <row r="200" spans="3:20">
      <c r="G200" s="3"/>
    </row>
    <row r="201" spans="3:20">
      <c r="G201" s="3"/>
    </row>
    <row r="202" spans="3:20">
      <c r="G202" s="3"/>
    </row>
    <row r="203" spans="3:20">
      <c r="G203" s="3"/>
    </row>
    <row r="204" spans="3:20">
      <c r="G204" s="3"/>
    </row>
    <row r="205" spans="3:20">
      <c r="G205"/>
    </row>
    <row r="206" spans="3:20">
      <c r="G206" s="3"/>
    </row>
    <row r="207" spans="3:20">
      <c r="G207" s="3"/>
    </row>
    <row r="208" spans="3:20">
      <c r="G208"/>
    </row>
    <row r="209" spans="7:7">
      <c r="G209" s="3"/>
    </row>
    <row r="210" spans="7:7">
      <c r="G210" s="3"/>
    </row>
    <row r="211" spans="7:7">
      <c r="G211"/>
    </row>
    <row r="212" spans="7:7">
      <c r="G212" s="3"/>
    </row>
    <row r="213" spans="7:7">
      <c r="G213" s="3"/>
    </row>
    <row r="214" spans="7:7">
      <c r="G214"/>
    </row>
    <row r="215" spans="7:7">
      <c r="G215" s="3"/>
    </row>
    <row r="216" spans="7:7">
      <c r="G216"/>
    </row>
    <row r="217" spans="7:7">
      <c r="G217" s="3"/>
    </row>
    <row r="218" spans="7:7">
      <c r="G218"/>
    </row>
    <row r="219" spans="7:7">
      <c r="G219" s="3"/>
    </row>
    <row r="220" spans="7:7">
      <c r="G220" s="3"/>
    </row>
    <row r="221" spans="7:7">
      <c r="G221"/>
    </row>
    <row r="222" spans="7:7">
      <c r="G222" s="3"/>
    </row>
    <row r="223" spans="7:7">
      <c r="G223"/>
    </row>
    <row r="224" spans="7:7">
      <c r="G224" s="3"/>
    </row>
    <row r="225" spans="7:7">
      <c r="G225" s="3"/>
    </row>
    <row r="226" spans="7:7">
      <c r="G226" s="3"/>
    </row>
    <row r="227" spans="7:7">
      <c r="G227" s="3"/>
    </row>
    <row r="228" spans="7:7">
      <c r="G228"/>
    </row>
    <row r="229" spans="7:7">
      <c r="G229" s="3"/>
    </row>
    <row r="230" spans="7:7">
      <c r="G230" s="3"/>
    </row>
    <row r="231" spans="7:7">
      <c r="G231"/>
    </row>
    <row r="232" spans="7:7">
      <c r="G232"/>
    </row>
    <row r="233" spans="7:7">
      <c r="G233"/>
    </row>
    <row r="234" spans="7:7">
      <c r="G234"/>
    </row>
    <row r="235" spans="7:7">
      <c r="G235" s="3"/>
    </row>
    <row r="236" spans="7:7">
      <c r="G236"/>
    </row>
    <row r="237" spans="7:7">
      <c r="G237"/>
    </row>
    <row r="238" spans="7:7">
      <c r="G238"/>
    </row>
    <row r="239" spans="7:7">
      <c r="G239"/>
    </row>
    <row r="240" spans="7:7">
      <c r="G240"/>
    </row>
    <row r="241" spans="7:7">
      <c r="G241"/>
    </row>
    <row r="242" spans="7:7">
      <c r="G242"/>
    </row>
    <row r="243" spans="7:7">
      <c r="G243"/>
    </row>
    <row r="244" spans="7:7">
      <c r="G244"/>
    </row>
    <row r="245" spans="7:7">
      <c r="G245"/>
    </row>
    <row r="246" spans="7:7">
      <c r="G246"/>
    </row>
    <row r="247" spans="7:7">
      <c r="G247" s="3"/>
    </row>
    <row r="248" spans="7:7">
      <c r="G248" s="3"/>
    </row>
    <row r="249" spans="7:7">
      <c r="G249" s="3"/>
    </row>
    <row r="250" spans="7:7">
      <c r="G250"/>
    </row>
    <row r="251" spans="7:7">
      <c r="G251"/>
    </row>
    <row r="252" spans="7:7">
      <c r="G252" s="3"/>
    </row>
    <row r="253" spans="7:7">
      <c r="G253" s="3"/>
    </row>
    <row r="254" spans="7:7">
      <c r="G254"/>
    </row>
    <row r="255" spans="7:7">
      <c r="G255"/>
    </row>
    <row r="256" spans="7:7">
      <c r="G256"/>
    </row>
    <row r="257" spans="7:7">
      <c r="G257" s="3"/>
    </row>
    <row r="258" spans="7:7">
      <c r="G258" s="3"/>
    </row>
    <row r="259" spans="7:7">
      <c r="G259"/>
    </row>
    <row r="260" spans="7:7">
      <c r="G260"/>
    </row>
    <row r="261" spans="7:7">
      <c r="G261"/>
    </row>
    <row r="262" spans="7:7">
      <c r="G262" s="3"/>
    </row>
    <row r="263" spans="7:7">
      <c r="G263" s="3"/>
    </row>
    <row r="264" spans="7:7">
      <c r="G264"/>
    </row>
    <row r="265" spans="7:7">
      <c r="G265" s="3"/>
    </row>
    <row r="266" spans="7:7">
      <c r="G266"/>
    </row>
    <row r="267" spans="7:7">
      <c r="G267" s="3"/>
    </row>
    <row r="268" spans="7:7">
      <c r="G268" s="3"/>
    </row>
    <row r="269" spans="7:7">
      <c r="G269"/>
    </row>
    <row r="270" spans="7:7">
      <c r="G270" s="3"/>
    </row>
    <row r="271" spans="7:7">
      <c r="G271" s="3"/>
    </row>
    <row r="272" spans="7:7">
      <c r="G272" s="3"/>
    </row>
    <row r="273" spans="7:7">
      <c r="G273"/>
    </row>
    <row r="274" spans="7:7">
      <c r="G274" s="3"/>
    </row>
    <row r="275" spans="7:7">
      <c r="G275" s="3"/>
    </row>
    <row r="276" spans="7:7">
      <c r="G276" s="3"/>
    </row>
    <row r="277" spans="7:7">
      <c r="G277"/>
    </row>
    <row r="278" spans="7:7">
      <c r="G278" s="3"/>
    </row>
    <row r="279" spans="7:7">
      <c r="G279" s="3"/>
    </row>
    <row r="280" spans="7:7">
      <c r="G280"/>
    </row>
    <row r="281" spans="7:7">
      <c r="G281" s="3"/>
    </row>
    <row r="282" spans="7:7">
      <c r="G282"/>
    </row>
    <row r="283" spans="7:7">
      <c r="G283"/>
    </row>
    <row r="284" spans="7:7">
      <c r="G284" s="3"/>
    </row>
    <row r="285" spans="7:7">
      <c r="G285"/>
    </row>
    <row r="286" spans="7:7">
      <c r="G286"/>
    </row>
    <row r="287" spans="7:7">
      <c r="G287"/>
    </row>
    <row r="288" spans="7:7">
      <c r="G288"/>
    </row>
    <row r="289" spans="7:7">
      <c r="G289" s="3"/>
    </row>
    <row r="290" spans="7:7">
      <c r="G290" s="3"/>
    </row>
    <row r="291" spans="7:7">
      <c r="G291"/>
    </row>
    <row r="292" spans="7:7">
      <c r="G292" s="3"/>
    </row>
    <row r="293" spans="7:7">
      <c r="G293"/>
    </row>
    <row r="294" spans="7:7">
      <c r="G294" s="3"/>
    </row>
    <row r="295" spans="7:7">
      <c r="G295" s="3"/>
    </row>
    <row r="296" spans="7:7">
      <c r="G296"/>
    </row>
    <row r="297" spans="7:7">
      <c r="G297" s="3"/>
    </row>
    <row r="298" spans="7:7">
      <c r="G298"/>
    </row>
    <row r="299" spans="7:7">
      <c r="G299" s="3"/>
    </row>
    <row r="300" spans="7:7">
      <c r="G300"/>
    </row>
    <row r="301" spans="7:7">
      <c r="G301"/>
    </row>
    <row r="302" spans="7:7">
      <c r="G302"/>
    </row>
    <row r="303" spans="7:7">
      <c r="G303" s="3"/>
    </row>
    <row r="304" spans="7:7">
      <c r="G304"/>
    </row>
    <row r="305" spans="7:7">
      <c r="G305"/>
    </row>
    <row r="306" spans="7:7">
      <c r="G306" s="3"/>
    </row>
    <row r="307" spans="7:7">
      <c r="G307" s="3"/>
    </row>
    <row r="308" spans="7:7">
      <c r="G308"/>
    </row>
    <row r="309" spans="7:7">
      <c r="G309" s="3"/>
    </row>
    <row r="310" spans="7:7">
      <c r="G310" s="3"/>
    </row>
    <row r="311" spans="7:7">
      <c r="G311"/>
    </row>
    <row r="312" spans="7:7">
      <c r="G312" s="3"/>
    </row>
    <row r="313" spans="7:7">
      <c r="G313" s="3"/>
    </row>
    <row r="314" spans="7:7">
      <c r="G314"/>
    </row>
    <row r="315" spans="7:7">
      <c r="G315" s="3"/>
    </row>
    <row r="316" spans="7:7">
      <c r="G316"/>
    </row>
    <row r="317" spans="7:7">
      <c r="G317" s="3"/>
    </row>
    <row r="318" spans="7:7">
      <c r="G318" s="3"/>
    </row>
    <row r="319" spans="7:7">
      <c r="G319" s="3"/>
    </row>
    <row r="320" spans="7:7">
      <c r="G320" s="3"/>
    </row>
    <row r="321" spans="7:7">
      <c r="G321" s="3"/>
    </row>
    <row r="322" spans="7:7">
      <c r="G322"/>
    </row>
    <row r="323" spans="7:7">
      <c r="G323"/>
    </row>
    <row r="324" spans="7:7">
      <c r="G324"/>
    </row>
    <row r="325" spans="7:7">
      <c r="G325" s="3"/>
    </row>
    <row r="326" spans="7:7">
      <c r="G326" s="3"/>
    </row>
    <row r="327" spans="7:7">
      <c r="G327" s="3"/>
    </row>
    <row r="328" spans="7:7">
      <c r="G328" s="3"/>
    </row>
    <row r="329" spans="7:7">
      <c r="G329" s="3"/>
    </row>
    <row r="330" spans="7:7">
      <c r="G330" s="3"/>
    </row>
    <row r="331" spans="7:7">
      <c r="G331"/>
    </row>
    <row r="332" spans="7:7">
      <c r="G332"/>
    </row>
    <row r="333" spans="7:7">
      <c r="G333" s="3"/>
    </row>
    <row r="334" spans="7:7">
      <c r="G334"/>
    </row>
    <row r="335" spans="7:7">
      <c r="G335" s="3"/>
    </row>
    <row r="336" spans="7:7">
      <c r="G336"/>
    </row>
    <row r="337" spans="7:7">
      <c r="G337"/>
    </row>
    <row r="338" spans="7:7">
      <c r="G338" s="3"/>
    </row>
    <row r="339" spans="7:7">
      <c r="G339"/>
    </row>
    <row r="340" spans="7:7">
      <c r="G340" s="3"/>
    </row>
    <row r="341" spans="7:7">
      <c r="G341" s="3"/>
    </row>
    <row r="342" spans="7:7">
      <c r="G342"/>
    </row>
    <row r="343" spans="7:7">
      <c r="G343"/>
    </row>
    <row r="344" spans="7:7">
      <c r="G344" s="3"/>
    </row>
    <row r="345" spans="7:7">
      <c r="G345"/>
    </row>
    <row r="346" spans="7:7">
      <c r="G346"/>
    </row>
    <row r="347" spans="7:7">
      <c r="G347"/>
    </row>
    <row r="348" spans="7:7">
      <c r="G348" s="2"/>
    </row>
    <row r="349" spans="7:7">
      <c r="G349" s="3"/>
    </row>
    <row r="350" spans="7:7">
      <c r="G350" s="3"/>
    </row>
    <row r="351" spans="7:7">
      <c r="G351"/>
    </row>
    <row r="352" spans="7:7">
      <c r="G352" s="3"/>
    </row>
    <row r="353" spans="7:7">
      <c r="G353" s="3"/>
    </row>
    <row r="354" spans="7:7">
      <c r="G354"/>
    </row>
    <row r="355" spans="7:7">
      <c r="G355"/>
    </row>
    <row r="356" spans="7:7">
      <c r="G356"/>
    </row>
    <row r="357" spans="7:7">
      <c r="G357"/>
    </row>
    <row r="358" spans="7:7">
      <c r="G358" s="3"/>
    </row>
    <row r="359" spans="7:7">
      <c r="G359" s="3"/>
    </row>
    <row r="360" spans="7:7">
      <c r="G360" s="3"/>
    </row>
    <row r="361" spans="7:7">
      <c r="G361" s="3"/>
    </row>
    <row r="362" spans="7:7">
      <c r="G362"/>
    </row>
    <row r="363" spans="7:7">
      <c r="G363" s="3"/>
    </row>
    <row r="364" spans="7:7">
      <c r="G364" s="3"/>
    </row>
    <row r="365" spans="7:7">
      <c r="G365" s="3"/>
    </row>
    <row r="366" spans="7:7">
      <c r="G366"/>
    </row>
    <row r="367" spans="7:7">
      <c r="G367"/>
    </row>
    <row r="368" spans="7:7">
      <c r="G368"/>
    </row>
    <row r="369" spans="7:7">
      <c r="G369"/>
    </row>
    <row r="370" spans="7:7">
      <c r="G370"/>
    </row>
    <row r="371" spans="7:7">
      <c r="G371"/>
    </row>
    <row r="372" spans="7:7">
      <c r="G372"/>
    </row>
    <row r="373" spans="7:7">
      <c r="G373"/>
    </row>
    <row r="374" spans="7:7">
      <c r="G374"/>
    </row>
    <row r="375" spans="7:7">
      <c r="G375"/>
    </row>
    <row r="376" spans="7:7">
      <c r="G376"/>
    </row>
    <row r="377" spans="7:7">
      <c r="G377" s="3"/>
    </row>
    <row r="378" spans="7:7">
      <c r="G378"/>
    </row>
    <row r="379" spans="7:7">
      <c r="G379" s="3"/>
    </row>
    <row r="380" spans="7:7">
      <c r="G380" s="3"/>
    </row>
    <row r="381" spans="7:7">
      <c r="G381" s="3"/>
    </row>
    <row r="382" spans="7:7">
      <c r="G382"/>
    </row>
    <row r="383" spans="7:7">
      <c r="G383"/>
    </row>
    <row r="384" spans="7:7">
      <c r="G384"/>
    </row>
    <row r="385" spans="7:10">
      <c r="G385" s="3"/>
    </row>
    <row r="386" spans="7:10">
      <c r="G386" s="3"/>
    </row>
    <row r="387" spans="7:10">
      <c r="G387"/>
    </row>
    <row r="388" spans="7:10">
      <c r="G388" s="3"/>
    </row>
    <row r="389" spans="7:10">
      <c r="G389" s="3"/>
    </row>
    <row r="390" spans="7:10">
      <c r="G390"/>
    </row>
    <row r="391" spans="7:10">
      <c r="G391" s="3"/>
    </row>
    <row r="392" spans="7:10">
      <c r="G392"/>
      <c r="H392"/>
      <c r="I392"/>
      <c r="J392"/>
    </row>
    <row r="393" spans="7:10">
      <c r="G393"/>
      <c r="H393"/>
      <c r="I393"/>
      <c r="J393"/>
    </row>
    <row r="394" spans="7:10">
      <c r="G394"/>
      <c r="H394"/>
      <c r="I394"/>
      <c r="J394"/>
    </row>
    <row r="395" spans="7:10">
      <c r="G395"/>
      <c r="H395"/>
      <c r="I395"/>
      <c r="J395"/>
    </row>
    <row r="396" spans="7:10">
      <c r="G396"/>
      <c r="H396"/>
      <c r="I396"/>
      <c r="J396"/>
    </row>
  </sheetData>
  <autoFilter ref="H1:H396"/>
  <sortState ref="F2:M172">
    <sortCondition ref="H2:H172"/>
    <sortCondition ref="M2:M172"/>
  </sortState>
  <dataConsolidate/>
  <conditionalFormatting sqref="D2:D101">
    <cfRule type="duplicateValues" dxfId="292" priority="10"/>
  </conditionalFormatting>
  <conditionalFormatting sqref="D102:D201">
    <cfRule type="duplicateValues" dxfId="291" priority="9"/>
  </conditionalFormatting>
  <conditionalFormatting sqref="J298:J391">
    <cfRule type="cellIs" dxfId="290" priority="8" operator="lessThan">
      <formula>0</formula>
    </cfRule>
  </conditionalFormatting>
  <conditionalFormatting sqref="J198:J391">
    <cfRule type="duplicateValues" dxfId="289" priority="11"/>
  </conditionalFormatting>
  <conditionalFormatting sqref="J173:J195">
    <cfRule type="cellIs" dxfId="288" priority="6" operator="lessThan">
      <formula>0</formula>
    </cfRule>
  </conditionalFormatting>
  <conditionalFormatting sqref="J173:J195">
    <cfRule type="duplicateValues" dxfId="287" priority="7"/>
  </conditionalFormatting>
  <conditionalFormatting sqref="S102:S195">
    <cfRule type="cellIs" dxfId="286" priority="4" operator="lessThan">
      <formula>0</formula>
    </cfRule>
  </conditionalFormatting>
  <conditionalFormatting sqref="S2:S11 S13:S195">
    <cfRule type="duplicateValues" dxfId="285" priority="5"/>
  </conditionalFormatting>
  <conditionalFormatting sqref="S12">
    <cfRule type="duplicateValues" dxfId="284" priority="3"/>
  </conditionalFormatting>
  <conditionalFormatting sqref="A2:C172">
    <cfRule type="duplicateValues" dxfId="283" priority="121"/>
  </conditionalFormatting>
  <conditionalFormatting sqref="J2:J172">
    <cfRule type="duplicateValues" dxfId="282" priority="1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72"/>
  <sheetViews>
    <sheetView topLeftCell="A153" workbookViewId="0">
      <selection activeCell="A2" sqref="A2:G172"/>
    </sheetView>
  </sheetViews>
  <sheetFormatPr baseColWidth="10" defaultRowHeight="15" x14ac:dyDescent="0"/>
  <cols>
    <col min="1" max="1" width="8" bestFit="1" customWidth="1"/>
    <col min="2" max="2" width="1.6640625" style="9" bestFit="1" customWidth="1"/>
    <col min="3" max="3" width="18.1640625" style="9" bestFit="1" customWidth="1"/>
    <col min="4" max="4" width="1.6640625" style="9" bestFit="1" customWidth="1"/>
    <col min="6" max="6" width="1.6640625" style="9" bestFit="1" customWidth="1"/>
    <col min="7" max="7" width="10.33203125" bestFit="1" customWidth="1"/>
    <col min="13" max="13" width="18.1640625" style="9" bestFit="1" customWidth="1"/>
    <col min="17" max="17" width="41.1640625" bestFit="1" customWidth="1"/>
  </cols>
  <sheetData>
    <row r="1" spans="1:17" s="18" customFormat="1" ht="20">
      <c r="A1" s="18" t="s">
        <v>1864</v>
      </c>
      <c r="B1" s="20"/>
      <c r="C1" s="20" t="s">
        <v>333</v>
      </c>
      <c r="D1" s="20"/>
      <c r="E1" s="18" t="s">
        <v>1865</v>
      </c>
      <c r="F1" s="20"/>
      <c r="G1" s="18" t="s">
        <v>1866</v>
      </c>
      <c r="L1" s="18" t="s">
        <v>1868</v>
      </c>
      <c r="M1" s="20"/>
    </row>
    <row r="2" spans="1:17">
      <c r="A2">
        <v>1</v>
      </c>
      <c r="B2" s="9" t="s">
        <v>335</v>
      </c>
      <c r="C2" s="9">
        <v>41013.903298611112</v>
      </c>
      <c r="D2" s="9" t="s">
        <v>335</v>
      </c>
      <c r="E2" t="str">
        <f>CONCATENATE("'",L2,"'")</f>
        <v>'b9f2cbf'</v>
      </c>
      <c r="F2" s="9" t="s">
        <v>335</v>
      </c>
      <c r="G2" s="4">
        <v>1</v>
      </c>
      <c r="L2" s="8" t="s">
        <v>1734</v>
      </c>
    </row>
    <row r="3" spans="1:17">
      <c r="A3">
        <v>2</v>
      </c>
      <c r="B3" s="9" t="s">
        <v>335</v>
      </c>
      <c r="C3" s="9">
        <v>41015.885127314818</v>
      </c>
      <c r="D3" s="9" t="s">
        <v>335</v>
      </c>
      <c r="E3" t="str">
        <f t="shared" ref="E3:E66" si="0">CONCATENATE("'",L3,"'")</f>
        <v>'8c3918b'</v>
      </c>
      <c r="F3" s="9" t="s">
        <v>335</v>
      </c>
      <c r="G3" s="4">
        <v>1</v>
      </c>
      <c r="L3" s="8" t="s">
        <v>1652</v>
      </c>
    </row>
    <row r="4" spans="1:17">
      <c r="A4">
        <v>3</v>
      </c>
      <c r="B4" s="9" t="s">
        <v>335</v>
      </c>
      <c r="C4" s="9">
        <v>40970.721319444441</v>
      </c>
      <c r="D4" s="9" t="s">
        <v>335</v>
      </c>
      <c r="E4" t="str">
        <f t="shared" si="0"/>
        <v>'8a64e43'</v>
      </c>
      <c r="F4" s="9" t="s">
        <v>335</v>
      </c>
      <c r="G4" s="4">
        <v>1</v>
      </c>
      <c r="L4" s="8" t="s">
        <v>1623</v>
      </c>
    </row>
    <row r="5" spans="1:17">
      <c r="A5">
        <v>4</v>
      </c>
      <c r="B5" s="9" t="s">
        <v>335</v>
      </c>
      <c r="C5" s="9">
        <v>41052.743437500001</v>
      </c>
      <c r="D5" s="9" t="s">
        <v>335</v>
      </c>
      <c r="E5" t="str">
        <f t="shared" si="0"/>
        <v>'09372b1'</v>
      </c>
      <c r="F5" s="9" t="s">
        <v>335</v>
      </c>
      <c r="G5" s="4">
        <v>1</v>
      </c>
      <c r="L5" s="8" t="s">
        <v>1633</v>
      </c>
    </row>
    <row r="6" spans="1:17">
      <c r="A6">
        <v>5</v>
      </c>
      <c r="B6" s="9" t="s">
        <v>335</v>
      </c>
      <c r="C6" s="9">
        <v>41030.48777777778</v>
      </c>
      <c r="D6" s="9" t="s">
        <v>335</v>
      </c>
      <c r="E6" t="str">
        <f t="shared" si="0"/>
        <v>'06d716c'</v>
      </c>
      <c r="F6" s="9" t="s">
        <v>335</v>
      </c>
      <c r="G6" s="4">
        <v>1</v>
      </c>
      <c r="L6" s="8" t="s">
        <v>1763</v>
      </c>
    </row>
    <row r="7" spans="1:17">
      <c r="A7">
        <v>5</v>
      </c>
      <c r="B7" s="9" t="s">
        <v>335</v>
      </c>
      <c r="C7" s="9">
        <v>41079.390289351853</v>
      </c>
      <c r="D7" s="9" t="s">
        <v>335</v>
      </c>
      <c r="E7" t="str">
        <f t="shared" si="0"/>
        <v>'8e34af7'</v>
      </c>
      <c r="F7" s="9" t="s">
        <v>335</v>
      </c>
      <c r="G7" s="4">
        <v>2</v>
      </c>
      <c r="L7" s="8" t="s">
        <v>1791</v>
      </c>
    </row>
    <row r="8" spans="1:17">
      <c r="A8">
        <v>6</v>
      </c>
      <c r="B8" s="9" t="s">
        <v>335</v>
      </c>
      <c r="C8" s="9">
        <v>41022.026180555556</v>
      </c>
      <c r="D8" s="9" t="s">
        <v>335</v>
      </c>
      <c r="E8" t="str">
        <f t="shared" si="0"/>
        <v>'de3de42'</v>
      </c>
      <c r="F8" s="9" t="s">
        <v>335</v>
      </c>
      <c r="G8" s="4">
        <v>1</v>
      </c>
      <c r="L8" s="8" t="s">
        <v>1754</v>
      </c>
    </row>
    <row r="9" spans="1:17">
      <c r="A9">
        <v>7</v>
      </c>
      <c r="B9" s="9" t="s">
        <v>335</v>
      </c>
      <c r="C9" s="9">
        <v>41029.521354166667</v>
      </c>
      <c r="D9" s="9" t="s">
        <v>335</v>
      </c>
      <c r="E9" t="str">
        <f t="shared" si="0"/>
        <v>'a2556b6'</v>
      </c>
      <c r="F9" s="9" t="s">
        <v>335</v>
      </c>
      <c r="G9" s="4">
        <v>1</v>
      </c>
      <c r="L9" s="8" t="s">
        <v>1690</v>
      </c>
    </row>
    <row r="10" spans="1:17">
      <c r="A10">
        <v>8</v>
      </c>
      <c r="B10" s="9" t="s">
        <v>335</v>
      </c>
      <c r="C10" s="9">
        <v>40988.062349537038</v>
      </c>
      <c r="D10" s="9" t="s">
        <v>335</v>
      </c>
      <c r="E10" t="str">
        <f t="shared" si="0"/>
        <v>'9359ebb'</v>
      </c>
      <c r="F10" s="9" t="s">
        <v>335</v>
      </c>
      <c r="G10" s="4">
        <v>1</v>
      </c>
      <c r="L10" s="8" t="s">
        <v>1805</v>
      </c>
    </row>
    <row r="11" spans="1:17">
      <c r="A11">
        <v>9</v>
      </c>
      <c r="B11" s="9" t="s">
        <v>335</v>
      </c>
      <c r="C11" s="9">
        <v>40999.883576388886</v>
      </c>
      <c r="D11" s="9" t="s">
        <v>335</v>
      </c>
      <c r="E11" t="str">
        <f t="shared" si="0"/>
        <v>'c6712a1'</v>
      </c>
      <c r="F11" s="9" t="s">
        <v>335</v>
      </c>
      <c r="G11" s="4">
        <v>1</v>
      </c>
      <c r="L11" s="8" t="s">
        <v>1590</v>
      </c>
    </row>
    <row r="12" spans="1:17">
      <c r="A12">
        <v>9</v>
      </c>
      <c r="B12" s="9" t="s">
        <v>335</v>
      </c>
      <c r="C12" s="9">
        <v>41053.471215277779</v>
      </c>
      <c r="D12" s="9" t="s">
        <v>335</v>
      </c>
      <c r="E12" t="str">
        <f t="shared" si="0"/>
        <v>'8d3e385'</v>
      </c>
      <c r="F12" s="9" t="s">
        <v>335</v>
      </c>
      <c r="G12" s="4">
        <v>2</v>
      </c>
      <c r="L12" s="8" t="s">
        <v>1811</v>
      </c>
    </row>
    <row r="13" spans="1:17">
      <c r="A13">
        <v>9</v>
      </c>
      <c r="B13" s="9" t="s">
        <v>335</v>
      </c>
      <c r="C13" s="9">
        <v>41064.903321759259</v>
      </c>
      <c r="D13" s="9" t="s">
        <v>335</v>
      </c>
      <c r="E13" t="str">
        <f t="shared" si="0"/>
        <v>'506c8ad'</v>
      </c>
      <c r="F13" s="9" t="s">
        <v>335</v>
      </c>
      <c r="G13" s="4">
        <v>3</v>
      </c>
      <c r="L13" s="8" t="s">
        <v>1723</v>
      </c>
      <c r="Q13" s="1"/>
    </row>
    <row r="14" spans="1:17">
      <c r="A14">
        <v>9</v>
      </c>
      <c r="B14" s="9" t="s">
        <v>335</v>
      </c>
      <c r="C14" s="9">
        <v>40970.705590277779</v>
      </c>
      <c r="D14" s="9" t="s">
        <v>335</v>
      </c>
      <c r="E14" t="str">
        <f t="shared" si="0"/>
        <v>'0357d95'</v>
      </c>
      <c r="F14" s="9" t="s">
        <v>335</v>
      </c>
      <c r="G14" s="4">
        <v>4</v>
      </c>
      <c r="L14" s="8" t="s">
        <v>1833</v>
      </c>
    </row>
    <row r="15" spans="1:17">
      <c r="A15">
        <v>10</v>
      </c>
      <c r="B15" s="9" t="s">
        <v>335</v>
      </c>
      <c r="C15" s="9">
        <v>41036.775995370372</v>
      </c>
      <c r="D15" s="9" t="s">
        <v>335</v>
      </c>
      <c r="E15" t="str">
        <f t="shared" si="0"/>
        <v>'4052d16'</v>
      </c>
      <c r="F15" s="9" t="s">
        <v>335</v>
      </c>
      <c r="G15" s="4">
        <v>1</v>
      </c>
      <c r="L15" s="8" t="s">
        <v>1767</v>
      </c>
    </row>
    <row r="16" spans="1:17">
      <c r="A16">
        <v>10</v>
      </c>
      <c r="B16" s="9" t="s">
        <v>335</v>
      </c>
      <c r="C16" s="9">
        <v>41015.533391203702</v>
      </c>
      <c r="D16" s="9" t="s">
        <v>335</v>
      </c>
      <c r="E16" t="str">
        <f t="shared" si="0"/>
        <v>'6584476'</v>
      </c>
      <c r="F16" s="9" t="s">
        <v>335</v>
      </c>
      <c r="G16" s="4">
        <v>1</v>
      </c>
      <c r="L16" s="8">
        <v>6584476</v>
      </c>
    </row>
    <row r="17" spans="1:17">
      <c r="A17">
        <v>10</v>
      </c>
      <c r="B17" s="9" t="s">
        <v>335</v>
      </c>
      <c r="C17" s="9">
        <v>41050.596446759257</v>
      </c>
      <c r="D17" s="9" t="s">
        <v>335</v>
      </c>
      <c r="E17" t="str">
        <f t="shared" si="0"/>
        <v>'c6058e6'</v>
      </c>
      <c r="F17" s="9" t="s">
        <v>335</v>
      </c>
      <c r="G17" s="4">
        <v>2</v>
      </c>
      <c r="L17" s="8" t="s">
        <v>1673</v>
      </c>
    </row>
    <row r="18" spans="1:17">
      <c r="A18">
        <v>10</v>
      </c>
      <c r="B18" s="9" t="s">
        <v>335</v>
      </c>
      <c r="C18" s="9">
        <v>41020.418773148151</v>
      </c>
      <c r="D18" s="9" t="s">
        <v>335</v>
      </c>
      <c r="E18" t="str">
        <f t="shared" si="0"/>
        <v>'8581cce'</v>
      </c>
      <c r="F18" s="9" t="s">
        <v>335</v>
      </c>
      <c r="G18" s="4">
        <v>2</v>
      </c>
      <c r="L18" s="8" t="s">
        <v>1594</v>
      </c>
    </row>
    <row r="19" spans="1:17">
      <c r="A19">
        <v>10</v>
      </c>
      <c r="B19" s="9" t="s">
        <v>335</v>
      </c>
      <c r="C19" s="9">
        <v>41013.918530092589</v>
      </c>
      <c r="D19" s="9" t="s">
        <v>335</v>
      </c>
      <c r="E19" t="str">
        <f t="shared" si="0"/>
        <v>'8f1a4be'</v>
      </c>
      <c r="F19" s="9" t="s">
        <v>335</v>
      </c>
      <c r="G19" s="4">
        <v>3</v>
      </c>
      <c r="L19" s="8" t="s">
        <v>1850</v>
      </c>
    </row>
    <row r="20" spans="1:17">
      <c r="A20">
        <v>10</v>
      </c>
      <c r="B20" s="9" t="s">
        <v>335</v>
      </c>
      <c r="C20" s="9">
        <v>41024.636770833335</v>
      </c>
      <c r="D20" s="9" t="s">
        <v>335</v>
      </c>
      <c r="E20" t="str">
        <f t="shared" si="0"/>
        <v>'0f5740f'</v>
      </c>
      <c r="F20" s="9" t="s">
        <v>335</v>
      </c>
      <c r="G20" s="4">
        <v>4</v>
      </c>
      <c r="L20" s="8" t="s">
        <v>1658</v>
      </c>
    </row>
    <row r="21" spans="1:17">
      <c r="A21">
        <v>10</v>
      </c>
      <c r="B21" s="9" t="s">
        <v>335</v>
      </c>
      <c r="C21" s="9">
        <v>41078.938379629632</v>
      </c>
      <c r="D21" s="9" t="s">
        <v>335</v>
      </c>
      <c r="E21" t="str">
        <f t="shared" si="0"/>
        <v>'73866f6'</v>
      </c>
      <c r="F21" s="9" t="s">
        <v>335</v>
      </c>
      <c r="G21" s="4">
        <v>5</v>
      </c>
      <c r="L21" s="8" t="s">
        <v>1780</v>
      </c>
    </row>
    <row r="22" spans="1:17">
      <c r="A22">
        <v>10</v>
      </c>
      <c r="B22" s="9" t="s">
        <v>335</v>
      </c>
      <c r="C22" s="9">
        <v>40968.63925925926</v>
      </c>
      <c r="D22" s="9" t="s">
        <v>335</v>
      </c>
      <c r="E22" t="str">
        <f t="shared" si="0"/>
        <v>'8475a74'</v>
      </c>
      <c r="F22" s="9" t="s">
        <v>335</v>
      </c>
      <c r="G22" s="4">
        <v>6</v>
      </c>
      <c r="L22" s="8" t="s">
        <v>1720</v>
      </c>
    </row>
    <row r="23" spans="1:17">
      <c r="A23">
        <v>10</v>
      </c>
      <c r="B23" s="9" t="s">
        <v>335</v>
      </c>
      <c r="C23" s="9">
        <v>41036.455879629626</v>
      </c>
      <c r="D23" s="9" t="s">
        <v>335</v>
      </c>
      <c r="E23" t="str">
        <f t="shared" si="0"/>
        <v>'cfc87d2'</v>
      </c>
      <c r="F23" s="9" t="s">
        <v>335</v>
      </c>
      <c r="G23" s="4">
        <v>7</v>
      </c>
      <c r="L23" s="8" t="s">
        <v>1853</v>
      </c>
    </row>
    <row r="24" spans="1:17">
      <c r="A24">
        <v>10</v>
      </c>
      <c r="B24" s="9" t="s">
        <v>335</v>
      </c>
      <c r="C24" s="9">
        <v>41000.389363425929</v>
      </c>
      <c r="D24" s="9" t="s">
        <v>335</v>
      </c>
      <c r="E24" t="str">
        <f t="shared" si="0"/>
        <v>'1bc4665'</v>
      </c>
      <c r="F24" s="9" t="s">
        <v>335</v>
      </c>
      <c r="G24" s="4">
        <v>8</v>
      </c>
      <c r="L24" s="8" t="s">
        <v>1814</v>
      </c>
      <c r="Q24" s="1"/>
    </row>
    <row r="25" spans="1:17">
      <c r="A25">
        <v>10</v>
      </c>
      <c r="B25" s="9" t="s">
        <v>335</v>
      </c>
      <c r="C25" s="9">
        <v>41024.956817129627</v>
      </c>
      <c r="D25" s="9" t="s">
        <v>335</v>
      </c>
      <c r="E25" t="str">
        <f t="shared" si="0"/>
        <v>'ebe8246'</v>
      </c>
      <c r="F25" s="9" t="s">
        <v>335</v>
      </c>
      <c r="G25" s="4">
        <v>9</v>
      </c>
      <c r="L25" s="8" t="s">
        <v>1773</v>
      </c>
    </row>
    <row r="26" spans="1:17">
      <c r="A26">
        <v>10</v>
      </c>
      <c r="B26" s="9" t="s">
        <v>335</v>
      </c>
      <c r="C26" s="9">
        <v>41064.903368055559</v>
      </c>
      <c r="D26" s="9" t="s">
        <v>335</v>
      </c>
      <c r="E26" t="str">
        <f t="shared" si="0"/>
        <v>'d84ac47'</v>
      </c>
      <c r="F26" s="9" t="s">
        <v>335</v>
      </c>
      <c r="G26" s="4">
        <v>10</v>
      </c>
      <c r="L26" s="8" t="s">
        <v>1702</v>
      </c>
    </row>
    <row r="27" spans="1:17">
      <c r="A27">
        <v>10</v>
      </c>
      <c r="B27" s="9" t="s">
        <v>335</v>
      </c>
      <c r="C27" s="9">
        <v>41058.488634259258</v>
      </c>
      <c r="D27" s="9" t="s">
        <v>335</v>
      </c>
      <c r="E27" t="str">
        <f t="shared" si="0"/>
        <v>'1e35566'</v>
      </c>
      <c r="F27" s="9" t="s">
        <v>335</v>
      </c>
      <c r="G27" s="4">
        <v>11</v>
      </c>
      <c r="L27" s="8" t="s">
        <v>1627</v>
      </c>
    </row>
    <row r="28" spans="1:17">
      <c r="A28">
        <v>11</v>
      </c>
      <c r="B28" s="9" t="s">
        <v>335</v>
      </c>
      <c r="C28" s="9">
        <v>40990.819456018522</v>
      </c>
      <c r="D28" s="9" t="s">
        <v>335</v>
      </c>
      <c r="E28" t="str">
        <f t="shared" si="0"/>
        <v>'2a0cb9e'</v>
      </c>
      <c r="F28" s="9" t="s">
        <v>335</v>
      </c>
      <c r="G28" s="4">
        <v>1</v>
      </c>
      <c r="L28" s="8" t="s">
        <v>1598</v>
      </c>
    </row>
    <row r="29" spans="1:17">
      <c r="A29">
        <v>12</v>
      </c>
      <c r="B29" s="9" t="s">
        <v>335</v>
      </c>
      <c r="C29" s="9">
        <v>41035.727581018517</v>
      </c>
      <c r="D29" s="9" t="s">
        <v>335</v>
      </c>
      <c r="E29" t="str">
        <f t="shared" si="0"/>
        <v>'d5cc24f'</v>
      </c>
      <c r="F29" s="9" t="s">
        <v>335</v>
      </c>
      <c r="G29" s="4">
        <v>1</v>
      </c>
      <c r="L29" s="8" t="s">
        <v>1730</v>
      </c>
    </row>
    <row r="30" spans="1:17">
      <c r="A30">
        <v>13</v>
      </c>
      <c r="B30" s="9" t="s">
        <v>335</v>
      </c>
      <c r="C30" s="9">
        <v>41020.478136574071</v>
      </c>
      <c r="D30" s="9" t="s">
        <v>335</v>
      </c>
      <c r="E30" t="str">
        <f t="shared" si="0"/>
        <v>'66275c1'</v>
      </c>
      <c r="F30" s="9" t="s">
        <v>335</v>
      </c>
      <c r="G30" s="4">
        <v>1</v>
      </c>
      <c r="L30" s="8" t="s">
        <v>1750</v>
      </c>
    </row>
    <row r="31" spans="1:17">
      <c r="A31">
        <v>14</v>
      </c>
      <c r="B31" s="9" t="s">
        <v>335</v>
      </c>
      <c r="C31" s="9">
        <v>40967.456180555557</v>
      </c>
      <c r="D31" s="9" t="s">
        <v>335</v>
      </c>
      <c r="E31" t="str">
        <f t="shared" si="0"/>
        <v>'969df63'</v>
      </c>
      <c r="F31" s="9" t="s">
        <v>335</v>
      </c>
      <c r="G31" s="4">
        <v>1</v>
      </c>
      <c r="L31" s="8" t="s">
        <v>1837</v>
      </c>
    </row>
    <row r="32" spans="1:17">
      <c r="A32">
        <v>14</v>
      </c>
      <c r="B32" s="9" t="s">
        <v>335</v>
      </c>
      <c r="C32" s="9">
        <v>40994.649641203701</v>
      </c>
      <c r="D32" s="9" t="s">
        <v>335</v>
      </c>
      <c r="E32" t="str">
        <f t="shared" si="0"/>
        <v>'9807286'</v>
      </c>
      <c r="F32" s="9" t="s">
        <v>335</v>
      </c>
      <c r="G32" s="4">
        <v>2</v>
      </c>
      <c r="L32" s="8">
        <v>9807286</v>
      </c>
    </row>
    <row r="33" spans="1:12">
      <c r="A33">
        <v>14</v>
      </c>
      <c r="B33" s="9" t="s">
        <v>335</v>
      </c>
      <c r="C33" s="9">
        <v>41002.908020833333</v>
      </c>
      <c r="D33" s="9" t="s">
        <v>335</v>
      </c>
      <c r="E33" t="str">
        <f t="shared" si="0"/>
        <v>'862e1c7'</v>
      </c>
      <c r="F33" s="9" t="s">
        <v>335</v>
      </c>
      <c r="G33" s="4">
        <v>3</v>
      </c>
      <c r="L33" s="8" t="s">
        <v>1840</v>
      </c>
    </row>
    <row r="34" spans="1:12">
      <c r="A34">
        <v>14</v>
      </c>
      <c r="B34" s="9" t="s">
        <v>335</v>
      </c>
      <c r="C34" s="9">
        <v>41007.128611111111</v>
      </c>
      <c r="D34" s="9" t="s">
        <v>335</v>
      </c>
      <c r="E34" t="str">
        <f t="shared" si="0"/>
        <v>'393357b'</v>
      </c>
      <c r="F34" s="9" t="s">
        <v>335</v>
      </c>
      <c r="G34" s="4">
        <v>4</v>
      </c>
      <c r="L34" s="8" t="s">
        <v>1617</v>
      </c>
    </row>
    <row r="35" spans="1:12">
      <c r="A35">
        <v>14</v>
      </c>
      <c r="B35" s="9" t="s">
        <v>335</v>
      </c>
      <c r="C35" s="9">
        <v>41008.994780092595</v>
      </c>
      <c r="D35" s="9" t="s">
        <v>335</v>
      </c>
      <c r="E35" t="str">
        <f t="shared" si="0"/>
        <v>'e455ceb'</v>
      </c>
      <c r="F35" s="9" t="s">
        <v>335</v>
      </c>
      <c r="G35" s="4">
        <v>5</v>
      </c>
      <c r="L35" s="8" t="s">
        <v>1821</v>
      </c>
    </row>
    <row r="36" spans="1:12">
      <c r="A36">
        <v>14</v>
      </c>
      <c r="B36" s="9" t="s">
        <v>335</v>
      </c>
      <c r="C36" s="9">
        <v>41015.504791666666</v>
      </c>
      <c r="D36" s="9" t="s">
        <v>335</v>
      </c>
      <c r="E36" t="str">
        <f t="shared" si="0"/>
        <v>'896ec13'</v>
      </c>
      <c r="F36" s="9" t="s">
        <v>335</v>
      </c>
      <c r="G36" s="4">
        <v>6</v>
      </c>
      <c r="L36" s="8" t="s">
        <v>1620</v>
      </c>
    </row>
    <row r="37" spans="1:12">
      <c r="A37">
        <v>14</v>
      </c>
      <c r="B37" s="9" t="s">
        <v>335</v>
      </c>
      <c r="C37" s="9">
        <v>41017.348865740743</v>
      </c>
      <c r="D37" s="9" t="s">
        <v>335</v>
      </c>
      <c r="E37" t="str">
        <f t="shared" si="0"/>
        <v>'a3094ef'</v>
      </c>
      <c r="F37" s="9" t="s">
        <v>335</v>
      </c>
      <c r="G37" s="4">
        <v>7</v>
      </c>
      <c r="L37" s="8" t="s">
        <v>1786</v>
      </c>
    </row>
    <row r="38" spans="1:12">
      <c r="A38">
        <v>14</v>
      </c>
      <c r="B38" s="9" t="s">
        <v>335</v>
      </c>
      <c r="C38" s="9">
        <v>41037.834131944444</v>
      </c>
      <c r="D38" s="9" t="s">
        <v>335</v>
      </c>
      <c r="E38" t="str">
        <f t="shared" si="0"/>
        <v>'0876c31'</v>
      </c>
      <c r="F38" s="9" t="s">
        <v>335</v>
      </c>
      <c r="G38" s="4">
        <v>8</v>
      </c>
      <c r="L38" s="8" t="s">
        <v>1630</v>
      </c>
    </row>
    <row r="39" spans="1:12">
      <c r="A39">
        <v>14</v>
      </c>
      <c r="B39" s="9" t="s">
        <v>335</v>
      </c>
      <c r="C39" s="9">
        <v>41046.456863425927</v>
      </c>
      <c r="D39" s="9" t="s">
        <v>335</v>
      </c>
      <c r="E39" t="str">
        <f t="shared" si="0"/>
        <v>'2529452'</v>
      </c>
      <c r="F39" s="9" t="s">
        <v>335</v>
      </c>
      <c r="G39" s="4">
        <v>9</v>
      </c>
      <c r="L39" s="8">
        <v>2529452</v>
      </c>
    </row>
    <row r="40" spans="1:12">
      <c r="A40">
        <v>14</v>
      </c>
      <c r="B40" s="9" t="s">
        <v>335</v>
      </c>
      <c r="C40" s="9">
        <v>41050.663344907407</v>
      </c>
      <c r="D40" s="9" t="s">
        <v>335</v>
      </c>
      <c r="E40" t="str">
        <f t="shared" si="0"/>
        <v>'baae324'</v>
      </c>
      <c r="F40" s="9" t="s">
        <v>335</v>
      </c>
      <c r="G40" s="4">
        <v>10</v>
      </c>
      <c r="L40" s="8" t="s">
        <v>1842</v>
      </c>
    </row>
    <row r="41" spans="1:12">
      <c r="A41">
        <v>14</v>
      </c>
      <c r="B41" s="9" t="s">
        <v>335</v>
      </c>
      <c r="C41" s="9">
        <v>41051.552407407406</v>
      </c>
      <c r="D41" s="9" t="s">
        <v>335</v>
      </c>
      <c r="E41" t="str">
        <f t="shared" si="0"/>
        <v>'51359f3'</v>
      </c>
      <c r="F41" s="9" t="s">
        <v>335</v>
      </c>
      <c r="G41" s="4">
        <v>11</v>
      </c>
      <c r="L41" s="8" t="s">
        <v>1744</v>
      </c>
    </row>
    <row r="42" spans="1:12">
      <c r="A42">
        <v>14</v>
      </c>
      <c r="B42" s="9" t="s">
        <v>335</v>
      </c>
      <c r="C42" s="9">
        <v>41078.885671296295</v>
      </c>
      <c r="D42" s="9" t="s">
        <v>335</v>
      </c>
      <c r="E42" t="str">
        <f t="shared" si="0"/>
        <v>'33272f3'</v>
      </c>
      <c r="F42" s="9" t="s">
        <v>335</v>
      </c>
      <c r="G42" s="4">
        <v>12</v>
      </c>
      <c r="L42" s="8" t="s">
        <v>1696</v>
      </c>
    </row>
    <row r="43" spans="1:12">
      <c r="A43">
        <v>14</v>
      </c>
      <c r="B43" s="9" t="s">
        <v>335</v>
      </c>
      <c r="C43" s="9">
        <v>40965.976307870369</v>
      </c>
      <c r="D43" s="9" t="s">
        <v>335</v>
      </c>
      <c r="E43" t="str">
        <f t="shared" si="0"/>
        <v>'238f1c9'</v>
      </c>
      <c r="F43" s="9" t="s">
        <v>335</v>
      </c>
      <c r="G43" s="4">
        <v>13</v>
      </c>
      <c r="L43" s="8" t="s">
        <v>1638</v>
      </c>
    </row>
    <row r="44" spans="1:12">
      <c r="A44">
        <v>14</v>
      </c>
      <c r="B44" s="9" t="s">
        <v>335</v>
      </c>
      <c r="C44" s="9">
        <v>40970.339965277781</v>
      </c>
      <c r="D44" s="9" t="s">
        <v>335</v>
      </c>
      <c r="E44" t="str">
        <f t="shared" si="0"/>
        <v>'e70fa8c'</v>
      </c>
      <c r="F44" s="9" t="s">
        <v>335</v>
      </c>
      <c r="G44" s="4">
        <v>14</v>
      </c>
      <c r="L44" s="8" t="s">
        <v>1669</v>
      </c>
    </row>
    <row r="45" spans="1:12">
      <c r="A45">
        <v>14</v>
      </c>
      <c r="B45" s="9" t="s">
        <v>335</v>
      </c>
      <c r="C45" s="9">
        <v>41009.717835648145</v>
      </c>
      <c r="D45" s="9" t="s">
        <v>335</v>
      </c>
      <c r="E45" t="str">
        <f t="shared" si="0"/>
        <v>'bcbc1c8'</v>
      </c>
      <c r="F45" s="9" t="s">
        <v>335</v>
      </c>
      <c r="G45" s="4">
        <v>15</v>
      </c>
      <c r="L45" s="8" t="s">
        <v>1666</v>
      </c>
    </row>
    <row r="46" spans="1:12">
      <c r="A46">
        <v>14</v>
      </c>
      <c r="B46" s="9" t="s">
        <v>335</v>
      </c>
      <c r="C46" s="9">
        <v>41007.437326388892</v>
      </c>
      <c r="D46" s="9" t="s">
        <v>335</v>
      </c>
      <c r="E46" t="str">
        <f t="shared" si="0"/>
        <v>'39ec53e'</v>
      </c>
      <c r="F46" s="9" t="s">
        <v>335</v>
      </c>
      <c r="G46" s="4">
        <v>16</v>
      </c>
      <c r="L46" s="8" t="s">
        <v>1818</v>
      </c>
    </row>
    <row r="47" spans="1:12">
      <c r="A47">
        <v>14</v>
      </c>
      <c r="B47" s="9" t="s">
        <v>335</v>
      </c>
      <c r="C47" s="9">
        <v>41030.390034722222</v>
      </c>
      <c r="D47" s="9" t="s">
        <v>335</v>
      </c>
      <c r="E47" t="str">
        <f t="shared" si="0"/>
        <v>'4762dd3'</v>
      </c>
      <c r="F47" s="9" t="s">
        <v>335</v>
      </c>
      <c r="G47" s="4">
        <v>17</v>
      </c>
      <c r="L47" s="8" t="s">
        <v>1741</v>
      </c>
    </row>
    <row r="48" spans="1:12">
      <c r="A48">
        <v>14</v>
      </c>
      <c r="B48" s="9" t="s">
        <v>335</v>
      </c>
      <c r="C48" s="9">
        <v>41044.597060185188</v>
      </c>
      <c r="D48" s="9" t="s">
        <v>335</v>
      </c>
      <c r="E48" t="str">
        <f t="shared" si="0"/>
        <v>'3559027'</v>
      </c>
      <c r="F48" s="9" t="s">
        <v>335</v>
      </c>
      <c r="G48" s="4">
        <v>18</v>
      </c>
      <c r="L48" s="8">
        <v>3559027</v>
      </c>
    </row>
    <row r="49" spans="1:12">
      <c r="A49">
        <v>14</v>
      </c>
      <c r="B49" s="9" t="s">
        <v>335</v>
      </c>
      <c r="C49" s="9">
        <v>40997.352870370371</v>
      </c>
      <c r="D49" s="9" t="s">
        <v>335</v>
      </c>
      <c r="E49" t="str">
        <f t="shared" si="0"/>
        <v>'a8d3d44'</v>
      </c>
      <c r="F49" s="9" t="s">
        <v>335</v>
      </c>
      <c r="G49" s="4">
        <v>19</v>
      </c>
      <c r="L49" s="8" t="s">
        <v>1797</v>
      </c>
    </row>
    <row r="50" spans="1:12">
      <c r="A50">
        <v>14</v>
      </c>
      <c r="B50" s="9" t="s">
        <v>335</v>
      </c>
      <c r="C50" s="9">
        <v>40987.040300925924</v>
      </c>
      <c r="D50" s="9" t="s">
        <v>335</v>
      </c>
      <c r="E50" t="str">
        <f t="shared" si="0"/>
        <v>'c1b8943'</v>
      </c>
      <c r="F50" s="9" t="s">
        <v>335</v>
      </c>
      <c r="G50" s="4">
        <v>20</v>
      </c>
      <c r="L50" s="8" t="s">
        <v>1614</v>
      </c>
    </row>
    <row r="51" spans="1:12">
      <c r="A51">
        <v>14</v>
      </c>
      <c r="B51" s="9" t="s">
        <v>335</v>
      </c>
      <c r="C51" s="9">
        <v>41018.047233796293</v>
      </c>
      <c r="D51" s="9" t="s">
        <v>335</v>
      </c>
      <c r="E51" t="str">
        <f t="shared" si="0"/>
        <v>'3f3ce81'</v>
      </c>
      <c r="F51" s="9" t="s">
        <v>335</v>
      </c>
      <c r="G51" s="4">
        <v>21</v>
      </c>
      <c r="L51" s="8" t="s">
        <v>1714</v>
      </c>
    </row>
    <row r="52" spans="1:12">
      <c r="A52">
        <v>14</v>
      </c>
      <c r="B52" s="9" t="s">
        <v>335</v>
      </c>
      <c r="C52" s="9">
        <v>41011.868668981479</v>
      </c>
      <c r="D52" s="9" t="s">
        <v>335</v>
      </c>
      <c r="E52" t="str">
        <f t="shared" si="0"/>
        <v>'35c70ed'</v>
      </c>
      <c r="F52" s="9" t="s">
        <v>335</v>
      </c>
      <c r="G52" s="4">
        <v>22</v>
      </c>
      <c r="L52" s="8" t="s">
        <v>1683</v>
      </c>
    </row>
    <row r="53" spans="1:12">
      <c r="A53">
        <v>14</v>
      </c>
      <c r="B53" s="9" t="s">
        <v>335</v>
      </c>
      <c r="C53" s="9">
        <v>41057.358819444446</v>
      </c>
      <c r="D53" s="9" t="s">
        <v>335</v>
      </c>
      <c r="E53" t="str">
        <f t="shared" si="0"/>
        <v>'7918fad'</v>
      </c>
      <c r="F53" s="9" t="s">
        <v>335</v>
      </c>
      <c r="G53" s="4">
        <v>23</v>
      </c>
      <c r="L53" s="8" t="s">
        <v>1738</v>
      </c>
    </row>
    <row r="54" spans="1:12">
      <c r="A54">
        <v>14</v>
      </c>
      <c r="B54" s="9" t="s">
        <v>335</v>
      </c>
      <c r="C54" s="9">
        <v>41071.484560185185</v>
      </c>
      <c r="D54" s="9" t="s">
        <v>335</v>
      </c>
      <c r="E54" t="str">
        <f t="shared" si="0"/>
        <v>'a942da6'</v>
      </c>
      <c r="F54" s="9" t="s">
        <v>335</v>
      </c>
      <c r="G54" s="4">
        <v>24</v>
      </c>
      <c r="L54" s="8" t="s">
        <v>1789</v>
      </c>
    </row>
    <row r="55" spans="1:12">
      <c r="A55">
        <v>14</v>
      </c>
      <c r="B55" s="9" t="s">
        <v>335</v>
      </c>
      <c r="C55" s="9">
        <v>41013.533113425925</v>
      </c>
      <c r="D55" s="9" t="s">
        <v>335</v>
      </c>
      <c r="E55" t="str">
        <f t="shared" si="0"/>
        <v>'9bfb89e'</v>
      </c>
      <c r="F55" s="9" t="s">
        <v>335</v>
      </c>
      <c r="G55" s="4">
        <v>25</v>
      </c>
      <c r="L55" s="8" t="s">
        <v>1680</v>
      </c>
    </row>
    <row r="56" spans="1:12">
      <c r="A56">
        <v>14</v>
      </c>
      <c r="B56" s="9" t="s">
        <v>335</v>
      </c>
      <c r="C56" s="9">
        <v>41071.416932870372</v>
      </c>
      <c r="D56" s="9" t="s">
        <v>335</v>
      </c>
      <c r="E56" t="str">
        <f t="shared" si="0"/>
        <v>'22ca072'</v>
      </c>
      <c r="F56" s="9" t="s">
        <v>335</v>
      </c>
      <c r="G56" s="4">
        <v>26</v>
      </c>
      <c r="L56" s="8" t="s">
        <v>1693</v>
      </c>
    </row>
    <row r="57" spans="1:12">
      <c r="A57">
        <v>14</v>
      </c>
      <c r="B57" s="9" t="s">
        <v>335</v>
      </c>
      <c r="C57" s="9">
        <v>41069.531354166669</v>
      </c>
      <c r="D57" s="9" t="s">
        <v>335</v>
      </c>
      <c r="E57" t="str">
        <f t="shared" si="0"/>
        <v>'45d0640'</v>
      </c>
      <c r="F57" s="9" t="s">
        <v>335</v>
      </c>
      <c r="G57" s="4">
        <v>27</v>
      </c>
      <c r="L57" s="8" t="s">
        <v>1656</v>
      </c>
    </row>
    <row r="58" spans="1:12">
      <c r="A58">
        <v>14</v>
      </c>
      <c r="B58" s="9" t="s">
        <v>335</v>
      </c>
      <c r="C58" s="9">
        <v>41047.689826388887</v>
      </c>
      <c r="D58" s="9" t="s">
        <v>335</v>
      </c>
      <c r="E58" t="str">
        <f t="shared" si="0"/>
        <v>'9282e47'</v>
      </c>
      <c r="F58" s="9" t="s">
        <v>335</v>
      </c>
      <c r="G58" s="4">
        <v>28</v>
      </c>
      <c r="L58" s="8" t="s">
        <v>1855</v>
      </c>
    </row>
    <row r="59" spans="1:12">
      <c r="A59">
        <v>14</v>
      </c>
      <c r="B59" s="9" t="s">
        <v>335</v>
      </c>
      <c r="C59" s="9">
        <v>41071.969641203701</v>
      </c>
      <c r="D59" s="9" t="s">
        <v>335</v>
      </c>
      <c r="E59" t="str">
        <f t="shared" si="0"/>
        <v>'9771cf6'</v>
      </c>
      <c r="F59" s="9" t="s">
        <v>335</v>
      </c>
      <c r="G59" s="4">
        <v>29</v>
      </c>
      <c r="L59" s="8" t="s">
        <v>1777</v>
      </c>
    </row>
    <row r="60" spans="1:12">
      <c r="A60">
        <v>14</v>
      </c>
      <c r="B60" s="9" t="s">
        <v>335</v>
      </c>
      <c r="C60" s="9">
        <v>41033.542997685188</v>
      </c>
      <c r="D60" s="9" t="s">
        <v>335</v>
      </c>
      <c r="E60" t="str">
        <f t="shared" si="0"/>
        <v>'43426c7'</v>
      </c>
      <c r="F60" s="9" t="s">
        <v>335</v>
      </c>
      <c r="G60" s="4">
        <v>30</v>
      </c>
      <c r="L60" s="8" t="s">
        <v>1783</v>
      </c>
    </row>
    <row r="61" spans="1:12">
      <c r="A61">
        <v>14</v>
      </c>
      <c r="B61" s="9" t="s">
        <v>335</v>
      </c>
      <c r="C61" s="9">
        <v>41058.810219907406</v>
      </c>
      <c r="D61" s="9" t="s">
        <v>335</v>
      </c>
      <c r="E61" t="str">
        <f t="shared" si="0"/>
        <v>'ca93795'</v>
      </c>
      <c r="F61" s="9" t="s">
        <v>335</v>
      </c>
      <c r="G61" s="4">
        <v>31</v>
      </c>
      <c r="L61" s="8" t="s">
        <v>1602</v>
      </c>
    </row>
    <row r="62" spans="1:12">
      <c r="A62">
        <v>14</v>
      </c>
      <c r="B62" s="9" t="s">
        <v>335</v>
      </c>
      <c r="C62" s="9">
        <v>41075.771018518521</v>
      </c>
      <c r="D62" s="9" t="s">
        <v>335</v>
      </c>
      <c r="E62" t="str">
        <f t="shared" si="0"/>
        <v>'066cd0a'</v>
      </c>
      <c r="F62" s="9" t="s">
        <v>335</v>
      </c>
      <c r="G62" s="4">
        <v>32</v>
      </c>
      <c r="L62" s="8" t="s">
        <v>1705</v>
      </c>
    </row>
    <row r="63" spans="1:12">
      <c r="A63">
        <v>14</v>
      </c>
      <c r="B63" s="9" t="s">
        <v>335</v>
      </c>
      <c r="C63" s="9">
        <v>41043.483796296299</v>
      </c>
      <c r="D63" s="9" t="s">
        <v>335</v>
      </c>
      <c r="E63" t="str">
        <f t="shared" si="0"/>
        <v>'aa91046'</v>
      </c>
      <c r="F63" s="9" t="s">
        <v>335</v>
      </c>
      <c r="G63" s="4">
        <v>33</v>
      </c>
      <c r="L63" s="8" t="s">
        <v>1649</v>
      </c>
    </row>
    <row r="64" spans="1:12">
      <c r="A64">
        <v>14</v>
      </c>
      <c r="B64" s="9" t="s">
        <v>335</v>
      </c>
      <c r="C64" s="9">
        <v>41050.752962962964</v>
      </c>
      <c r="D64" s="9" t="s">
        <v>335</v>
      </c>
      <c r="E64" t="str">
        <f t="shared" si="0"/>
        <v>'edbddf2'</v>
      </c>
      <c r="F64" s="9" t="s">
        <v>335</v>
      </c>
      <c r="G64" s="4">
        <v>34</v>
      </c>
      <c r="L64" s="8" t="s">
        <v>1611</v>
      </c>
    </row>
    <row r="65" spans="1:12">
      <c r="A65">
        <v>14</v>
      </c>
      <c r="B65" s="9" t="s">
        <v>335</v>
      </c>
      <c r="C65" s="9">
        <v>40967.851574074077</v>
      </c>
      <c r="D65" s="9" t="s">
        <v>335</v>
      </c>
      <c r="E65" t="str">
        <f t="shared" si="0"/>
        <v>'dc511b6'</v>
      </c>
      <c r="F65" s="9" t="s">
        <v>335</v>
      </c>
      <c r="G65" s="4">
        <v>35</v>
      </c>
      <c r="L65" s="8" t="s">
        <v>1831</v>
      </c>
    </row>
    <row r="66" spans="1:12">
      <c r="A66">
        <v>14</v>
      </c>
      <c r="B66" s="9" t="s">
        <v>335</v>
      </c>
      <c r="C66" s="9">
        <v>40994.488946759258</v>
      </c>
      <c r="D66" s="9" t="s">
        <v>335</v>
      </c>
      <c r="E66" t="str">
        <f t="shared" si="0"/>
        <v>'b568f93'</v>
      </c>
      <c r="F66" s="9" t="s">
        <v>335</v>
      </c>
      <c r="G66" s="4">
        <v>36</v>
      </c>
      <c r="L66" s="8" t="s">
        <v>1809</v>
      </c>
    </row>
    <row r="67" spans="1:12">
      <c r="A67">
        <v>14</v>
      </c>
      <c r="B67" s="9" t="s">
        <v>335</v>
      </c>
      <c r="C67" s="9">
        <v>40973.679236111115</v>
      </c>
      <c r="D67" s="9" t="s">
        <v>335</v>
      </c>
      <c r="E67" t="str">
        <f t="shared" ref="E67:E130" si="1">CONCATENATE("'",L67,"'")</f>
        <v>'2f66e58'</v>
      </c>
      <c r="F67" s="9" t="s">
        <v>335</v>
      </c>
      <c r="G67" s="4">
        <v>37</v>
      </c>
      <c r="L67" s="8" t="s">
        <v>1644</v>
      </c>
    </row>
    <row r="68" spans="1:12">
      <c r="A68">
        <v>14</v>
      </c>
      <c r="B68" s="9" t="s">
        <v>335</v>
      </c>
      <c r="C68" s="9">
        <v>40980.430520833332</v>
      </c>
      <c r="D68" s="9" t="s">
        <v>335</v>
      </c>
      <c r="E68" t="str">
        <f t="shared" si="1"/>
        <v>'b74d323'</v>
      </c>
      <c r="F68" s="9" t="s">
        <v>335</v>
      </c>
      <c r="G68" s="4">
        <v>38</v>
      </c>
      <c r="L68" s="8" t="s">
        <v>1848</v>
      </c>
    </row>
    <row r="69" spans="1:12">
      <c r="A69">
        <v>14</v>
      </c>
      <c r="B69" s="9" t="s">
        <v>335</v>
      </c>
      <c r="C69" s="9">
        <v>40977.926585648151</v>
      </c>
      <c r="D69" s="9" t="s">
        <v>335</v>
      </c>
      <c r="E69" t="str">
        <f t="shared" si="1"/>
        <v>'58aeabf'</v>
      </c>
      <c r="F69" s="9" t="s">
        <v>335</v>
      </c>
      <c r="G69" s="4">
        <v>39</v>
      </c>
      <c r="L69" s="8" t="s">
        <v>1641</v>
      </c>
    </row>
    <row r="70" spans="1:12">
      <c r="A70">
        <v>14</v>
      </c>
      <c r="B70" s="9" t="s">
        <v>335</v>
      </c>
      <c r="C70" s="9">
        <v>41057.82540509259</v>
      </c>
      <c r="D70" s="9" t="s">
        <v>335</v>
      </c>
      <c r="E70" t="str">
        <f t="shared" si="1"/>
        <v>'345cdc2'</v>
      </c>
      <c r="F70" s="9" t="s">
        <v>335</v>
      </c>
      <c r="G70" s="4">
        <v>40</v>
      </c>
      <c r="L70" s="8" t="s">
        <v>1727</v>
      </c>
    </row>
    <row r="71" spans="1:12">
      <c r="A71">
        <v>14</v>
      </c>
      <c r="B71" s="9" t="s">
        <v>335</v>
      </c>
      <c r="C71" s="9">
        <v>41071.440509259257</v>
      </c>
      <c r="D71" s="9" t="s">
        <v>335</v>
      </c>
      <c r="E71" t="str">
        <f t="shared" si="1"/>
        <v>'7db6aa8'</v>
      </c>
      <c r="F71" s="9" t="s">
        <v>335</v>
      </c>
      <c r="G71" s="4">
        <v>41</v>
      </c>
      <c r="L71" s="8" t="s">
        <v>1699</v>
      </c>
    </row>
    <row r="72" spans="1:12">
      <c r="A72">
        <v>14</v>
      </c>
      <c r="B72" s="9" t="s">
        <v>335</v>
      </c>
      <c r="C72" s="9">
        <v>41079.677233796298</v>
      </c>
      <c r="D72" s="9" t="s">
        <v>335</v>
      </c>
      <c r="E72" t="str">
        <f t="shared" si="1"/>
        <v>'4b38429'</v>
      </c>
      <c r="F72" s="9" t="s">
        <v>335</v>
      </c>
      <c r="G72" s="4">
        <v>42</v>
      </c>
      <c r="L72" s="8" t="s">
        <v>1824</v>
      </c>
    </row>
    <row r="73" spans="1:12">
      <c r="A73">
        <v>14</v>
      </c>
      <c r="B73" s="9" t="s">
        <v>335</v>
      </c>
      <c r="C73" s="9">
        <v>41052.841643518521</v>
      </c>
      <c r="D73" s="9" t="s">
        <v>335</v>
      </c>
      <c r="E73" t="str">
        <f t="shared" si="1"/>
        <v>'2708e40'</v>
      </c>
      <c r="F73" s="9" t="s">
        <v>335</v>
      </c>
      <c r="G73" s="4">
        <v>43</v>
      </c>
      <c r="L73" s="8" t="s">
        <v>1856</v>
      </c>
    </row>
    <row r="74" spans="1:12">
      <c r="A74">
        <v>14</v>
      </c>
      <c r="B74" s="9" t="s">
        <v>335</v>
      </c>
      <c r="C74" s="9">
        <v>40970.751030092593</v>
      </c>
      <c r="D74" s="9" t="s">
        <v>335</v>
      </c>
      <c r="E74" t="str">
        <f t="shared" si="1"/>
        <v>'365eaeb'</v>
      </c>
      <c r="F74" s="9" t="s">
        <v>335</v>
      </c>
      <c r="G74" s="4">
        <v>44</v>
      </c>
      <c r="L74" s="8" t="s">
        <v>1711</v>
      </c>
    </row>
    <row r="75" spans="1:12">
      <c r="A75">
        <v>14</v>
      </c>
      <c r="B75" s="9" t="s">
        <v>335</v>
      </c>
      <c r="C75" s="9">
        <v>41053.833101851851</v>
      </c>
      <c r="D75" s="9" t="s">
        <v>335</v>
      </c>
      <c r="E75" t="str">
        <f t="shared" si="1"/>
        <v>'ac3f9eb'</v>
      </c>
      <c r="F75" s="9" t="s">
        <v>335</v>
      </c>
      <c r="G75" s="4">
        <v>45</v>
      </c>
      <c r="L75" s="8" t="s">
        <v>1829</v>
      </c>
    </row>
    <row r="76" spans="1:12">
      <c r="A76">
        <v>14</v>
      </c>
      <c r="B76" s="9" t="s">
        <v>335</v>
      </c>
      <c r="C76" s="9">
        <v>40966.389861111114</v>
      </c>
      <c r="D76" s="9" t="s">
        <v>335</v>
      </c>
      <c r="E76" t="str">
        <f t="shared" si="1"/>
        <v>'5df7182'</v>
      </c>
      <c r="F76" s="9" t="s">
        <v>335</v>
      </c>
      <c r="G76" s="4">
        <v>46</v>
      </c>
      <c r="L76" s="8" t="s">
        <v>1677</v>
      </c>
    </row>
    <row r="77" spans="1:12">
      <c r="A77">
        <v>14</v>
      </c>
      <c r="B77" s="9" t="s">
        <v>335</v>
      </c>
      <c r="C77" s="9">
        <v>41059.743009259262</v>
      </c>
      <c r="D77" s="9" t="s">
        <v>335</v>
      </c>
      <c r="E77" t="str">
        <f t="shared" si="1"/>
        <v>'39f41e6'</v>
      </c>
      <c r="F77" s="9" t="s">
        <v>335</v>
      </c>
      <c r="G77" s="4">
        <v>47</v>
      </c>
      <c r="L77" s="8" t="s">
        <v>1800</v>
      </c>
    </row>
    <row r="78" spans="1:12">
      <c r="A78">
        <v>15</v>
      </c>
      <c r="B78" s="9" t="s">
        <v>335</v>
      </c>
      <c r="C78" s="9">
        <v>40953.622430555559</v>
      </c>
      <c r="D78" s="9" t="s">
        <v>335</v>
      </c>
      <c r="E78" t="str">
        <f t="shared" si="1"/>
        <v>'3e84ddf'</v>
      </c>
      <c r="F78" s="9" t="s">
        <v>335</v>
      </c>
      <c r="G78" s="4">
        <v>1</v>
      </c>
      <c r="L78" s="8" t="s">
        <v>1836</v>
      </c>
    </row>
    <row r="79" spans="1:12">
      <c r="A79">
        <v>15</v>
      </c>
      <c r="B79" s="9" t="s">
        <v>335</v>
      </c>
      <c r="C79" s="9">
        <v>40973.827905092592</v>
      </c>
      <c r="D79" s="9" t="s">
        <v>335</v>
      </c>
      <c r="E79" t="str">
        <f t="shared" si="1"/>
        <v>'35772e8'</v>
      </c>
      <c r="F79" s="9" t="s">
        <v>335</v>
      </c>
      <c r="G79" s="4">
        <v>2</v>
      </c>
      <c r="L79" s="8" t="s">
        <v>1854</v>
      </c>
    </row>
    <row r="80" spans="1:12">
      <c r="A80">
        <v>15</v>
      </c>
      <c r="B80" s="9" t="s">
        <v>335</v>
      </c>
      <c r="C80" s="9">
        <v>40989.593599537038</v>
      </c>
      <c r="D80" s="9" t="s">
        <v>335</v>
      </c>
      <c r="E80" t="str">
        <f t="shared" si="1"/>
        <v>'3226a1c'</v>
      </c>
      <c r="F80" s="9" t="s">
        <v>335</v>
      </c>
      <c r="G80" s="4">
        <v>3</v>
      </c>
      <c r="L80" s="8" t="s">
        <v>1687</v>
      </c>
    </row>
    <row r="81" spans="1:12">
      <c r="A81">
        <v>15</v>
      </c>
      <c r="B81" s="9" t="s">
        <v>335</v>
      </c>
      <c r="C81" s="9">
        <v>40994.513090277775</v>
      </c>
      <c r="D81" s="9" t="s">
        <v>335</v>
      </c>
      <c r="E81" t="str">
        <f t="shared" si="1"/>
        <v>'2640983'</v>
      </c>
      <c r="F81" s="9" t="s">
        <v>335</v>
      </c>
      <c r="G81" s="4">
        <v>4</v>
      </c>
      <c r="L81" s="8">
        <v>2640983</v>
      </c>
    </row>
    <row r="82" spans="1:12">
      <c r="A82">
        <v>15</v>
      </c>
      <c r="B82" s="9" t="s">
        <v>335</v>
      </c>
      <c r="C82" s="9">
        <v>40995.917870370373</v>
      </c>
      <c r="D82" s="9" t="s">
        <v>335</v>
      </c>
      <c r="E82" t="str">
        <f t="shared" si="1"/>
        <v>'bc104ce'</v>
      </c>
      <c r="F82" s="9" t="s">
        <v>335</v>
      </c>
      <c r="G82" s="4">
        <v>5</v>
      </c>
      <c r="L82" s="8" t="s">
        <v>1586</v>
      </c>
    </row>
    <row r="83" spans="1:12">
      <c r="A83">
        <v>15</v>
      </c>
      <c r="B83" s="9" t="s">
        <v>335</v>
      </c>
      <c r="C83" s="9">
        <v>40999.972430555557</v>
      </c>
      <c r="D83" s="9" t="s">
        <v>335</v>
      </c>
      <c r="E83" t="str">
        <f t="shared" si="1"/>
        <v>'b7ca3f4'</v>
      </c>
      <c r="F83" s="9" t="s">
        <v>335</v>
      </c>
      <c r="G83" s="4">
        <v>6</v>
      </c>
      <c r="L83" s="8" t="s">
        <v>1839</v>
      </c>
    </row>
    <row r="84" spans="1:12">
      <c r="A84">
        <v>15</v>
      </c>
      <c r="B84" s="9" t="s">
        <v>335</v>
      </c>
      <c r="C84" s="9">
        <v>41005.584062499998</v>
      </c>
      <c r="D84" s="9" t="s">
        <v>335</v>
      </c>
      <c r="E84" t="str">
        <f t="shared" si="1"/>
        <v>'a8a5536'</v>
      </c>
      <c r="F84" s="9" t="s">
        <v>335</v>
      </c>
      <c r="G84" s="4">
        <v>7</v>
      </c>
      <c r="L84" s="8" t="s">
        <v>1616</v>
      </c>
    </row>
    <row r="85" spans="1:12">
      <c r="A85">
        <v>15</v>
      </c>
      <c r="B85" s="9" t="s">
        <v>335</v>
      </c>
      <c r="C85" s="9">
        <v>41008.544386574074</v>
      </c>
      <c r="D85" s="9" t="s">
        <v>335</v>
      </c>
      <c r="E85" t="str">
        <f t="shared" si="1"/>
        <v>'1e8707c'</v>
      </c>
      <c r="F85" s="9" t="s">
        <v>335</v>
      </c>
      <c r="G85" s="4">
        <v>8</v>
      </c>
      <c r="L85" s="8" t="s">
        <v>1820</v>
      </c>
    </row>
    <row r="86" spans="1:12">
      <c r="A86">
        <v>15</v>
      </c>
      <c r="B86" s="9" t="s">
        <v>335</v>
      </c>
      <c r="C86" s="9">
        <v>41013.703611111108</v>
      </c>
      <c r="D86" s="9" t="s">
        <v>335</v>
      </c>
      <c r="E86" t="str">
        <f t="shared" si="1"/>
        <v>'d0e6831'</v>
      </c>
      <c r="F86" s="9" t="s">
        <v>335</v>
      </c>
      <c r="G86" s="4">
        <v>9</v>
      </c>
      <c r="L86" s="8" t="s">
        <v>1663</v>
      </c>
    </row>
    <row r="87" spans="1:12">
      <c r="A87">
        <v>15</v>
      </c>
      <c r="B87" s="9" t="s">
        <v>335</v>
      </c>
      <c r="C87" s="9">
        <v>41013.952800925923</v>
      </c>
      <c r="D87" s="9" t="s">
        <v>335</v>
      </c>
      <c r="E87" t="str">
        <f t="shared" si="1"/>
        <v>'998b792'</v>
      </c>
      <c r="F87" s="9" t="s">
        <v>335</v>
      </c>
      <c r="G87" s="4">
        <v>10</v>
      </c>
      <c r="L87" s="8" t="s">
        <v>1619</v>
      </c>
    </row>
    <row r="88" spans="1:12">
      <c r="A88">
        <v>15</v>
      </c>
      <c r="B88" s="9" t="s">
        <v>335</v>
      </c>
      <c r="C88" s="9">
        <v>41015.531782407408</v>
      </c>
      <c r="D88" s="9" t="s">
        <v>335</v>
      </c>
      <c r="E88" t="str">
        <f t="shared" si="1"/>
        <v>'fc5ae41'</v>
      </c>
      <c r="F88" s="9" t="s">
        <v>335</v>
      </c>
      <c r="G88" s="4">
        <v>11</v>
      </c>
      <c r="L88" s="8" t="s">
        <v>1785</v>
      </c>
    </row>
    <row r="89" spans="1:12">
      <c r="A89">
        <v>15</v>
      </c>
      <c r="B89" s="9" t="s">
        <v>335</v>
      </c>
      <c r="C89" s="9">
        <v>41024.824918981481</v>
      </c>
      <c r="D89" s="9" t="s">
        <v>335</v>
      </c>
      <c r="E89" t="str">
        <f t="shared" si="1"/>
        <v>'20e1ef9'</v>
      </c>
      <c r="F89" s="9" t="s">
        <v>335</v>
      </c>
      <c r="G89" s="4">
        <v>12</v>
      </c>
      <c r="L89" s="8" t="s">
        <v>1606</v>
      </c>
    </row>
    <row r="90" spans="1:12">
      <c r="A90">
        <v>15</v>
      </c>
      <c r="B90" s="9" t="s">
        <v>335</v>
      </c>
      <c r="C90" s="9">
        <v>41032.681574074071</v>
      </c>
      <c r="D90" s="9" t="s">
        <v>335</v>
      </c>
      <c r="E90" t="str">
        <f t="shared" si="1"/>
        <v>'d3f28a6'</v>
      </c>
      <c r="F90" s="9" t="s">
        <v>335</v>
      </c>
      <c r="G90" s="4">
        <v>13</v>
      </c>
      <c r="L90" s="8" t="s">
        <v>1629</v>
      </c>
    </row>
    <row r="91" spans="1:12">
      <c r="A91">
        <v>15</v>
      </c>
      <c r="B91" s="9" t="s">
        <v>335</v>
      </c>
      <c r="C91" s="9">
        <v>41046.04787037037</v>
      </c>
      <c r="D91" s="9" t="s">
        <v>335</v>
      </c>
      <c r="E91" t="str">
        <f t="shared" si="1"/>
        <v>'46f860b'</v>
      </c>
      <c r="F91" s="9" t="s">
        <v>335</v>
      </c>
      <c r="G91" s="4">
        <v>14</v>
      </c>
      <c r="L91" s="8" t="s">
        <v>1608</v>
      </c>
    </row>
    <row r="92" spans="1:12">
      <c r="A92">
        <v>15</v>
      </c>
      <c r="B92" s="9" t="s">
        <v>335</v>
      </c>
      <c r="C92" s="9">
        <v>41047.494745370372</v>
      </c>
      <c r="D92" s="9" t="s">
        <v>335</v>
      </c>
      <c r="E92" t="str">
        <f t="shared" si="1"/>
        <v>'5124069'</v>
      </c>
      <c r="F92" s="9" t="s">
        <v>335</v>
      </c>
      <c r="G92" s="4">
        <v>15</v>
      </c>
      <c r="L92" s="8">
        <v>5124069</v>
      </c>
    </row>
    <row r="93" spans="1:12">
      <c r="A93">
        <v>15</v>
      </c>
      <c r="B93" s="9" t="s">
        <v>335</v>
      </c>
      <c r="C93" s="9">
        <v>41051.522604166668</v>
      </c>
      <c r="D93" s="9" t="s">
        <v>335</v>
      </c>
      <c r="E93" t="str">
        <f t="shared" si="1"/>
        <v>'74a7947'</v>
      </c>
      <c r="F93" s="9" t="s">
        <v>335</v>
      </c>
      <c r="G93" s="4">
        <v>16</v>
      </c>
      <c r="L93" s="8" t="s">
        <v>1743</v>
      </c>
    </row>
    <row r="94" spans="1:12">
      <c r="A94">
        <v>15</v>
      </c>
      <c r="B94" s="9" t="s">
        <v>335</v>
      </c>
      <c r="C94" s="9">
        <v>41073.739490740743</v>
      </c>
      <c r="D94" s="9" t="s">
        <v>335</v>
      </c>
      <c r="E94" t="str">
        <f t="shared" si="1"/>
        <v>'66810d6'</v>
      </c>
      <c r="F94" s="9" t="s">
        <v>335</v>
      </c>
      <c r="G94" s="4">
        <v>17</v>
      </c>
      <c r="L94" s="8" t="s">
        <v>1695</v>
      </c>
    </row>
    <row r="95" spans="1:12">
      <c r="A95">
        <v>15</v>
      </c>
      <c r="B95" s="9" t="s">
        <v>335</v>
      </c>
      <c r="C95" s="9">
        <v>41079.785729166666</v>
      </c>
      <c r="D95" s="9" t="s">
        <v>335</v>
      </c>
      <c r="E95" t="str">
        <f t="shared" si="1"/>
        <v>'26cc00a'</v>
      </c>
      <c r="F95" s="9" t="s">
        <v>335</v>
      </c>
      <c r="G95" s="4">
        <v>18</v>
      </c>
      <c r="L95" s="8" t="s">
        <v>1637</v>
      </c>
    </row>
    <row r="96" spans="1:12">
      <c r="A96">
        <v>15</v>
      </c>
      <c r="B96" s="9" t="s">
        <v>335</v>
      </c>
      <c r="C96" s="9">
        <v>40969.950613425928</v>
      </c>
      <c r="D96" s="9" t="s">
        <v>335</v>
      </c>
      <c r="E96" t="str">
        <f t="shared" si="1"/>
        <v>'eeb7f55'</v>
      </c>
      <c r="F96" s="9" t="s">
        <v>335</v>
      </c>
      <c r="G96" s="4">
        <v>19</v>
      </c>
      <c r="L96" s="8" t="s">
        <v>1668</v>
      </c>
    </row>
    <row r="97" spans="1:12">
      <c r="A97">
        <v>15</v>
      </c>
      <c r="B97" s="9" t="s">
        <v>335</v>
      </c>
      <c r="C97" s="9">
        <v>40973.567881944444</v>
      </c>
      <c r="D97" s="9" t="s">
        <v>335</v>
      </c>
      <c r="E97" t="str">
        <f t="shared" si="1"/>
        <v>'d4e3d3d'</v>
      </c>
      <c r="F97" s="9" t="s">
        <v>335</v>
      </c>
      <c r="G97" s="4">
        <v>20</v>
      </c>
      <c r="L97" s="8" t="s">
        <v>1624</v>
      </c>
    </row>
    <row r="98" spans="1:12">
      <c r="A98">
        <v>15</v>
      </c>
      <c r="B98" s="9" t="s">
        <v>335</v>
      </c>
      <c r="C98" s="9">
        <v>41000.882893518516</v>
      </c>
      <c r="D98" s="9" t="s">
        <v>335</v>
      </c>
      <c r="E98" t="str">
        <f t="shared" si="1"/>
        <v>'45a62dd'</v>
      </c>
      <c r="F98" s="9" t="s">
        <v>335</v>
      </c>
      <c r="G98" s="4">
        <v>21</v>
      </c>
      <c r="L98" s="8" t="s">
        <v>1591</v>
      </c>
    </row>
    <row r="99" spans="1:12">
      <c r="A99">
        <v>15</v>
      </c>
      <c r="B99" s="9" t="s">
        <v>335</v>
      </c>
      <c r="C99" s="9">
        <v>41009.071956018517</v>
      </c>
      <c r="D99" s="9" t="s">
        <v>335</v>
      </c>
      <c r="E99" t="str">
        <f t="shared" si="1"/>
        <v>'b3c3239'</v>
      </c>
      <c r="F99" s="9" t="s">
        <v>335</v>
      </c>
      <c r="G99" s="4">
        <v>22</v>
      </c>
      <c r="L99" s="8" t="s">
        <v>1665</v>
      </c>
    </row>
    <row r="100" spans="1:12">
      <c r="A100">
        <v>15</v>
      </c>
      <c r="B100" s="9" t="s">
        <v>335</v>
      </c>
      <c r="C100" s="9">
        <v>41015.532638888886</v>
      </c>
      <c r="D100" s="9" t="s">
        <v>335</v>
      </c>
      <c r="E100" t="str">
        <f t="shared" si="1"/>
        <v>'5d245da'</v>
      </c>
      <c r="F100" s="9" t="s">
        <v>335</v>
      </c>
      <c r="G100" s="4">
        <v>23</v>
      </c>
      <c r="L100" s="8" t="s">
        <v>1735</v>
      </c>
    </row>
    <row r="101" spans="1:12">
      <c r="A101">
        <v>15</v>
      </c>
      <c r="B101" s="9" t="s">
        <v>335</v>
      </c>
      <c r="C101" s="9">
        <v>41030.402141203704</v>
      </c>
      <c r="D101" s="9" t="s">
        <v>335</v>
      </c>
      <c r="E101" t="str">
        <f t="shared" si="1"/>
        <v>'b34a753'</v>
      </c>
      <c r="F101" s="9" t="s">
        <v>335</v>
      </c>
      <c r="G101" s="4">
        <v>24</v>
      </c>
      <c r="L101" s="8" t="s">
        <v>1755</v>
      </c>
    </row>
    <row r="102" spans="1:12">
      <c r="A102">
        <v>15</v>
      </c>
      <c r="B102" s="9" t="s">
        <v>335</v>
      </c>
      <c r="C102" s="9">
        <v>41050.596412037034</v>
      </c>
      <c r="D102" s="9" t="s">
        <v>335</v>
      </c>
      <c r="E102" t="str">
        <f t="shared" si="1"/>
        <v>'df6a418'</v>
      </c>
      <c r="F102" s="9" t="s">
        <v>335</v>
      </c>
      <c r="G102" s="4">
        <v>25</v>
      </c>
      <c r="L102" s="8" t="s">
        <v>1764</v>
      </c>
    </row>
    <row r="103" spans="1:12">
      <c r="A103">
        <v>15</v>
      </c>
      <c r="B103" s="9" t="s">
        <v>335</v>
      </c>
      <c r="C103" s="9">
        <v>41061.676851851851</v>
      </c>
      <c r="D103" s="9" t="s">
        <v>335</v>
      </c>
      <c r="E103" t="str">
        <f t="shared" si="1"/>
        <v>'980d0ca'</v>
      </c>
      <c r="F103" s="9" t="s">
        <v>335</v>
      </c>
      <c r="G103" s="4">
        <v>26</v>
      </c>
      <c r="L103" s="8" t="s">
        <v>1812</v>
      </c>
    </row>
    <row r="104" spans="1:12">
      <c r="A104">
        <v>15</v>
      </c>
      <c r="B104" s="9" t="s">
        <v>335</v>
      </c>
      <c r="C104" s="9">
        <v>41073.55369212963</v>
      </c>
      <c r="D104" s="9" t="s">
        <v>335</v>
      </c>
      <c r="E104" t="str">
        <f t="shared" si="1"/>
        <v>'3651b49'</v>
      </c>
      <c r="F104" s="9" t="s">
        <v>335</v>
      </c>
      <c r="G104" s="4">
        <v>27</v>
      </c>
      <c r="L104" s="8" t="s">
        <v>1724</v>
      </c>
    </row>
    <row r="105" spans="1:12">
      <c r="A105">
        <v>15</v>
      </c>
      <c r="B105" s="9" t="s">
        <v>335</v>
      </c>
      <c r="C105" s="9">
        <v>40983.779629629629</v>
      </c>
      <c r="D105" s="9" t="s">
        <v>335</v>
      </c>
      <c r="E105" t="str">
        <f t="shared" si="1"/>
        <v>'62b5817'</v>
      </c>
      <c r="F105" s="9" t="s">
        <v>335</v>
      </c>
      <c r="G105" s="4">
        <v>28</v>
      </c>
      <c r="L105" s="8" t="s">
        <v>1834</v>
      </c>
    </row>
    <row r="106" spans="1:12">
      <c r="A106">
        <v>15</v>
      </c>
      <c r="B106" s="9" t="s">
        <v>335</v>
      </c>
      <c r="C106" s="9">
        <v>40989.837048611109</v>
      </c>
      <c r="D106" s="9" t="s">
        <v>335</v>
      </c>
      <c r="E106" t="str">
        <f t="shared" si="1"/>
        <v>'b5b3a62'</v>
      </c>
      <c r="F106" s="9" t="s">
        <v>335</v>
      </c>
      <c r="G106" s="4">
        <v>29</v>
      </c>
      <c r="L106" s="8" t="s">
        <v>1806</v>
      </c>
    </row>
    <row r="107" spans="1:12">
      <c r="A107">
        <v>15</v>
      </c>
      <c r="B107" s="9" t="s">
        <v>335</v>
      </c>
      <c r="C107" s="9">
        <v>40991.378217592595</v>
      </c>
      <c r="D107" s="9" t="s">
        <v>335</v>
      </c>
      <c r="E107" t="str">
        <f t="shared" si="1"/>
        <v>'8bf19c2'</v>
      </c>
      <c r="F107" s="9" t="s">
        <v>335</v>
      </c>
      <c r="G107" s="4">
        <v>30</v>
      </c>
      <c r="L107" s="8" t="s">
        <v>1599</v>
      </c>
    </row>
    <row r="108" spans="1:12">
      <c r="A108">
        <v>15</v>
      </c>
      <c r="B108" s="9" t="s">
        <v>335</v>
      </c>
      <c r="C108" s="9">
        <v>40997.409849537034</v>
      </c>
      <c r="D108" s="9" t="s">
        <v>335</v>
      </c>
      <c r="E108" t="str">
        <f t="shared" si="1"/>
        <v>'1b4e89b'</v>
      </c>
      <c r="F108" s="9" t="s">
        <v>335</v>
      </c>
      <c r="G108" s="4">
        <v>31</v>
      </c>
      <c r="L108" s="8" t="s">
        <v>1817</v>
      </c>
    </row>
    <row r="109" spans="1:12">
      <c r="A109">
        <v>15</v>
      </c>
      <c r="B109" s="9" t="s">
        <v>335</v>
      </c>
      <c r="C109" s="9">
        <v>41023.430208333331</v>
      </c>
      <c r="D109" s="9" t="s">
        <v>335</v>
      </c>
      <c r="E109" t="str">
        <f t="shared" si="1"/>
        <v>'d20a7a3'</v>
      </c>
      <c r="F109" s="9" t="s">
        <v>335</v>
      </c>
      <c r="G109" s="4">
        <v>32</v>
      </c>
      <c r="L109" s="8" t="s">
        <v>1740</v>
      </c>
    </row>
    <row r="110" spans="1:12">
      <c r="A110">
        <v>15</v>
      </c>
      <c r="B110" s="9" t="s">
        <v>335</v>
      </c>
      <c r="C110" s="9">
        <v>41030.405439814815</v>
      </c>
      <c r="D110" s="9" t="s">
        <v>335</v>
      </c>
      <c r="E110" t="str">
        <f t="shared" si="1"/>
        <v>'8cf2357'</v>
      </c>
      <c r="F110" s="9" t="s">
        <v>335</v>
      </c>
      <c r="G110" s="4">
        <v>33</v>
      </c>
      <c r="L110" s="8" t="s">
        <v>1757</v>
      </c>
    </row>
    <row r="111" spans="1:12">
      <c r="A111">
        <v>15</v>
      </c>
      <c r="B111" s="9" t="s">
        <v>335</v>
      </c>
      <c r="C111" s="9">
        <v>41064.616030092591</v>
      </c>
      <c r="D111" s="9" t="s">
        <v>335</v>
      </c>
      <c r="E111" t="str">
        <f t="shared" si="1"/>
        <v>'61cc199'</v>
      </c>
      <c r="F111" s="9" t="s">
        <v>335</v>
      </c>
      <c r="G111" s="4">
        <v>34</v>
      </c>
      <c r="L111" s="8" t="s">
        <v>1718</v>
      </c>
    </row>
    <row r="112" spans="1:12">
      <c r="A112">
        <v>15</v>
      </c>
      <c r="B112" s="9" t="s">
        <v>335</v>
      </c>
      <c r="C112" s="9">
        <v>40970.723182870373</v>
      </c>
      <c r="D112" s="9" t="s">
        <v>335</v>
      </c>
      <c r="E112" t="str">
        <f t="shared" si="1"/>
        <v>'93e731d'</v>
      </c>
      <c r="F112" s="9" t="s">
        <v>335</v>
      </c>
      <c r="G112" s="4">
        <v>35</v>
      </c>
      <c r="L112" s="8" t="s">
        <v>1792</v>
      </c>
    </row>
    <row r="113" spans="1:12">
      <c r="A113">
        <v>15</v>
      </c>
      <c r="B113" s="9" t="s">
        <v>335</v>
      </c>
      <c r="C113" s="9">
        <v>40982.525682870371</v>
      </c>
      <c r="D113" s="9" t="s">
        <v>335</v>
      </c>
      <c r="E113" t="str">
        <f t="shared" si="1"/>
        <v>'3586082'</v>
      </c>
      <c r="F113" s="9" t="s">
        <v>335</v>
      </c>
      <c r="G113" s="4">
        <v>36</v>
      </c>
      <c r="L113" s="8">
        <v>3586082</v>
      </c>
    </row>
    <row r="114" spans="1:12">
      <c r="A114">
        <v>15</v>
      </c>
      <c r="B114" s="9" t="s">
        <v>335</v>
      </c>
      <c r="C114" s="9">
        <v>41001.499398148146</v>
      </c>
      <c r="D114" s="9" t="s">
        <v>335</v>
      </c>
      <c r="E114" t="str">
        <f t="shared" si="1"/>
        <v>'7a9ff26'</v>
      </c>
      <c r="F114" s="9" t="s">
        <v>335</v>
      </c>
      <c r="G114" s="4">
        <v>37</v>
      </c>
      <c r="L114" s="8" t="s">
        <v>1749</v>
      </c>
    </row>
    <row r="115" spans="1:12">
      <c r="A115">
        <v>15</v>
      </c>
      <c r="B115" s="9" t="s">
        <v>335</v>
      </c>
      <c r="C115" s="9">
        <v>41034.787488425929</v>
      </c>
      <c r="D115" s="9" t="s">
        <v>335</v>
      </c>
      <c r="E115" t="str">
        <f t="shared" si="1"/>
        <v>'3343cc8'</v>
      </c>
      <c r="F115" s="9" t="s">
        <v>335</v>
      </c>
      <c r="G115" s="4">
        <v>38</v>
      </c>
      <c r="L115" s="8" t="s">
        <v>1747</v>
      </c>
    </row>
    <row r="116" spans="1:12">
      <c r="A116">
        <v>15</v>
      </c>
      <c r="B116" s="9" t="s">
        <v>335</v>
      </c>
      <c r="C116" s="9">
        <v>41035.764120370368</v>
      </c>
      <c r="D116" s="9" t="s">
        <v>335</v>
      </c>
      <c r="E116" t="str">
        <f t="shared" si="1"/>
        <v>'ba71589'</v>
      </c>
      <c r="F116" s="9" t="s">
        <v>335</v>
      </c>
      <c r="G116" s="4">
        <v>39</v>
      </c>
      <c r="L116" s="8" t="s">
        <v>1731</v>
      </c>
    </row>
    <row r="117" spans="1:12">
      <c r="A117">
        <v>15</v>
      </c>
      <c r="B117" s="9" t="s">
        <v>335</v>
      </c>
      <c r="C117" s="9">
        <v>41073.389421296299</v>
      </c>
      <c r="D117" s="9" t="s">
        <v>335</v>
      </c>
      <c r="E117" t="str">
        <f t="shared" si="1"/>
        <v>'156560d'</v>
      </c>
      <c r="F117" s="9" t="s">
        <v>335</v>
      </c>
      <c r="G117" s="4">
        <v>40</v>
      </c>
      <c r="L117" s="8" t="s">
        <v>1709</v>
      </c>
    </row>
    <row r="118" spans="1:12">
      <c r="A118">
        <v>15</v>
      </c>
      <c r="B118" s="9" t="s">
        <v>335</v>
      </c>
      <c r="C118" s="9">
        <v>41073.449502314812</v>
      </c>
      <c r="D118" s="9" t="s">
        <v>335</v>
      </c>
      <c r="E118" t="str">
        <f t="shared" si="1"/>
        <v>'f597bb1'</v>
      </c>
      <c r="F118" s="9" t="s">
        <v>335</v>
      </c>
      <c r="G118" s="4">
        <v>41</v>
      </c>
      <c r="L118" s="8" t="s">
        <v>1613</v>
      </c>
    </row>
    <row r="119" spans="1:12">
      <c r="A119">
        <v>15</v>
      </c>
      <c r="B119" s="9" t="s">
        <v>335</v>
      </c>
      <c r="C119" s="9">
        <v>41015.533055555556</v>
      </c>
      <c r="D119" s="9" t="s">
        <v>335</v>
      </c>
      <c r="E119" t="str">
        <f t="shared" si="1"/>
        <v>'e712c45'</v>
      </c>
      <c r="F119" s="9" t="s">
        <v>335</v>
      </c>
      <c r="G119" s="4">
        <v>42</v>
      </c>
      <c r="L119" s="8" t="s">
        <v>1713</v>
      </c>
    </row>
    <row r="120" spans="1:12">
      <c r="A120">
        <v>15</v>
      </c>
      <c r="B120" s="9" t="s">
        <v>335</v>
      </c>
      <c r="C120" s="9">
        <v>41032.656666666669</v>
      </c>
      <c r="D120" s="9" t="s">
        <v>335</v>
      </c>
      <c r="E120" t="str">
        <f t="shared" si="1"/>
        <v>'a2512e9'</v>
      </c>
      <c r="F120" s="9" t="s">
        <v>335</v>
      </c>
      <c r="G120" s="4">
        <v>43</v>
      </c>
      <c r="L120" s="8" t="s">
        <v>1766</v>
      </c>
    </row>
    <row r="121" spans="1:12">
      <c r="A121">
        <v>15</v>
      </c>
      <c r="B121" s="9" t="s">
        <v>335</v>
      </c>
      <c r="C121" s="9">
        <v>41071.98097222222</v>
      </c>
      <c r="D121" s="9" t="s">
        <v>335</v>
      </c>
      <c r="E121" t="str">
        <f t="shared" si="1"/>
        <v>'668da62'</v>
      </c>
      <c r="F121" s="9" t="s">
        <v>335</v>
      </c>
      <c r="G121" s="4">
        <v>44</v>
      </c>
      <c r="L121" s="8" t="s">
        <v>1674</v>
      </c>
    </row>
    <row r="122" spans="1:12">
      <c r="A122">
        <v>15</v>
      </c>
      <c r="B122" s="9" t="s">
        <v>335</v>
      </c>
      <c r="C122" s="9">
        <v>40978.484120370369</v>
      </c>
      <c r="D122" s="9" t="s">
        <v>335</v>
      </c>
      <c r="E122" t="str">
        <f t="shared" si="1"/>
        <v>'4baf72e'</v>
      </c>
      <c r="F122" s="9" t="s">
        <v>335</v>
      </c>
      <c r="G122" s="4">
        <v>45</v>
      </c>
      <c r="L122" s="8" t="s">
        <v>1826</v>
      </c>
    </row>
    <row r="123" spans="1:12">
      <c r="A123">
        <v>15</v>
      </c>
      <c r="B123" s="9" t="s">
        <v>335</v>
      </c>
      <c r="C123" s="9">
        <v>41036.564791666664</v>
      </c>
      <c r="D123" s="9" t="s">
        <v>335</v>
      </c>
      <c r="E123" t="str">
        <f t="shared" si="1"/>
        <v>'6d32c6c'</v>
      </c>
      <c r="F123" s="9" t="s">
        <v>335</v>
      </c>
      <c r="G123" s="4">
        <v>46</v>
      </c>
      <c r="L123" s="8" t="s">
        <v>1595</v>
      </c>
    </row>
    <row r="124" spans="1:12">
      <c r="A124">
        <v>15</v>
      </c>
      <c r="B124" s="9" t="s">
        <v>335</v>
      </c>
      <c r="C124" s="9">
        <v>41059.599444444444</v>
      </c>
      <c r="D124" s="9" t="s">
        <v>335</v>
      </c>
      <c r="E124" t="str">
        <f t="shared" si="1"/>
        <v>'ec812fa'</v>
      </c>
      <c r="F124" s="9" t="s">
        <v>335</v>
      </c>
      <c r="G124" s="4">
        <v>47</v>
      </c>
      <c r="L124" s="8" t="s">
        <v>1844</v>
      </c>
    </row>
    <row r="125" spans="1:12">
      <c r="A125">
        <v>15</v>
      </c>
      <c r="B125" s="9" t="s">
        <v>335</v>
      </c>
      <c r="C125" s="9">
        <v>40994.45516203704</v>
      </c>
      <c r="D125" s="9" t="s">
        <v>335</v>
      </c>
      <c r="E125" t="str">
        <f t="shared" si="1"/>
        <v>'62db063'</v>
      </c>
      <c r="F125" s="9" t="s">
        <v>335</v>
      </c>
      <c r="G125" s="4">
        <v>48</v>
      </c>
      <c r="L125" s="8" t="s">
        <v>1682</v>
      </c>
    </row>
    <row r="126" spans="1:12">
      <c r="A126">
        <v>15</v>
      </c>
      <c r="B126" s="9" t="s">
        <v>335</v>
      </c>
      <c r="C126" s="9">
        <v>41029.451331018521</v>
      </c>
      <c r="D126" s="9" t="s">
        <v>335</v>
      </c>
      <c r="E126" t="str">
        <f t="shared" si="1"/>
        <v>'aaaa759'</v>
      </c>
      <c r="F126" s="9" t="s">
        <v>335</v>
      </c>
      <c r="G126" s="4">
        <v>49</v>
      </c>
      <c r="L126" s="8" t="s">
        <v>1795</v>
      </c>
    </row>
    <row r="127" spans="1:12">
      <c r="A127">
        <v>15</v>
      </c>
      <c r="B127" s="9" t="s">
        <v>335</v>
      </c>
      <c r="C127" s="9">
        <v>41038.576122685183</v>
      </c>
      <c r="D127" s="9" t="s">
        <v>335</v>
      </c>
      <c r="E127" t="str">
        <f t="shared" si="1"/>
        <v>'c72758b'</v>
      </c>
      <c r="F127" s="9" t="s">
        <v>335</v>
      </c>
      <c r="G127" s="4">
        <v>50</v>
      </c>
      <c r="L127" s="8" t="s">
        <v>1802</v>
      </c>
    </row>
    <row r="128" spans="1:12">
      <c r="A128">
        <v>15</v>
      </c>
      <c r="B128" s="9" t="s">
        <v>335</v>
      </c>
      <c r="C128" s="9">
        <v>41051.173564814817</v>
      </c>
      <c r="D128" s="9" t="s">
        <v>335</v>
      </c>
      <c r="E128" t="str">
        <f t="shared" si="1"/>
        <v>'f84d181'</v>
      </c>
      <c r="F128" s="9" t="s">
        <v>335</v>
      </c>
      <c r="G128" s="4">
        <v>51</v>
      </c>
      <c r="L128" s="8" t="s">
        <v>1737</v>
      </c>
    </row>
    <row r="129" spans="1:12">
      <c r="A129">
        <v>15</v>
      </c>
      <c r="B129" s="9" t="s">
        <v>335</v>
      </c>
      <c r="C129" s="9">
        <v>40983.66369212963</v>
      </c>
      <c r="D129" s="9" t="s">
        <v>335</v>
      </c>
      <c r="E129" t="str">
        <f t="shared" si="1"/>
        <v>'efd8ad7'</v>
      </c>
      <c r="F129" s="9" t="s">
        <v>335</v>
      </c>
      <c r="G129" s="4">
        <v>52</v>
      </c>
      <c r="L129" s="8" t="s">
        <v>1771</v>
      </c>
    </row>
    <row r="130" spans="1:12">
      <c r="A130">
        <v>15</v>
      </c>
      <c r="B130" s="9" t="s">
        <v>335</v>
      </c>
      <c r="C130" s="9">
        <v>41014.992430555554</v>
      </c>
      <c r="D130" s="9" t="s">
        <v>335</v>
      </c>
      <c r="E130" t="str">
        <f t="shared" si="1"/>
        <v>'b7d7962'</v>
      </c>
      <c r="F130" s="9" t="s">
        <v>335</v>
      </c>
      <c r="G130" s="4">
        <v>53</v>
      </c>
      <c r="L130" s="8" t="s">
        <v>1788</v>
      </c>
    </row>
    <row r="131" spans="1:12">
      <c r="A131">
        <v>15</v>
      </c>
      <c r="B131" s="9" t="s">
        <v>335</v>
      </c>
      <c r="C131" s="9">
        <v>40971.477395833332</v>
      </c>
      <c r="D131" s="9" t="s">
        <v>335</v>
      </c>
      <c r="E131" t="str">
        <f t="shared" ref="E131:E172" si="2">CONCATENATE("'",L131,"'")</f>
        <v>'e01055f'</v>
      </c>
      <c r="F131" s="9" t="s">
        <v>335</v>
      </c>
      <c r="G131" s="4">
        <v>54</v>
      </c>
      <c r="L131" s="8" t="s">
        <v>1679</v>
      </c>
    </row>
    <row r="132" spans="1:12">
      <c r="A132">
        <v>15</v>
      </c>
      <c r="B132" s="9" t="s">
        <v>335</v>
      </c>
      <c r="C132" s="9">
        <v>41024.42292824074</v>
      </c>
      <c r="D132" s="9" t="s">
        <v>335</v>
      </c>
      <c r="E132" t="str">
        <f t="shared" si="2"/>
        <v>'3b2917d'</v>
      </c>
      <c r="F132" s="9" t="s">
        <v>335</v>
      </c>
      <c r="G132" s="4">
        <v>55</v>
      </c>
      <c r="L132" s="8" t="s">
        <v>1692</v>
      </c>
    </row>
    <row r="133" spans="1:12">
      <c r="A133">
        <v>15</v>
      </c>
      <c r="B133" s="9" t="s">
        <v>335</v>
      </c>
      <c r="C133" s="9">
        <v>41051.702430555553</v>
      </c>
      <c r="D133" s="9" t="s">
        <v>335</v>
      </c>
      <c r="E133" t="str">
        <f t="shared" si="2"/>
        <v>'3d0692a'</v>
      </c>
      <c r="F133" s="9" t="s">
        <v>335</v>
      </c>
      <c r="G133" s="4">
        <v>56</v>
      </c>
      <c r="L133" s="8" t="s">
        <v>1655</v>
      </c>
    </row>
    <row r="134" spans="1:12">
      <c r="A134">
        <v>15</v>
      </c>
      <c r="B134" s="9" t="s">
        <v>335</v>
      </c>
      <c r="C134" s="9">
        <v>40968.781087962961</v>
      </c>
      <c r="D134" s="9" t="s">
        <v>335</v>
      </c>
      <c r="E134" t="str">
        <f t="shared" si="2"/>
        <v>'3e048a1'</v>
      </c>
      <c r="F134" s="9" t="s">
        <v>335</v>
      </c>
      <c r="G134" s="4">
        <v>57</v>
      </c>
      <c r="L134" s="8" t="s">
        <v>1646</v>
      </c>
    </row>
    <row r="135" spans="1:12">
      <c r="A135">
        <v>15</v>
      </c>
      <c r="B135" s="9" t="s">
        <v>335</v>
      </c>
      <c r="C135" s="9">
        <v>41036.729085648149</v>
      </c>
      <c r="D135" s="9" t="s">
        <v>335</v>
      </c>
      <c r="E135" t="str">
        <f t="shared" si="2"/>
        <v>'adf6484'</v>
      </c>
      <c r="F135" s="9" t="s">
        <v>335</v>
      </c>
      <c r="G135" s="4">
        <v>58</v>
      </c>
      <c r="L135" s="8" t="s">
        <v>1851</v>
      </c>
    </row>
    <row r="136" spans="1:12">
      <c r="A136">
        <v>15</v>
      </c>
      <c r="B136" s="9" t="s">
        <v>335</v>
      </c>
      <c r="C136" s="9">
        <v>41050.779849537037</v>
      </c>
      <c r="D136" s="9" t="s">
        <v>335</v>
      </c>
      <c r="E136" t="str">
        <f t="shared" si="2"/>
        <v>'695f977'</v>
      </c>
      <c r="F136" s="9" t="s">
        <v>335</v>
      </c>
      <c r="G136" s="4">
        <v>59</v>
      </c>
      <c r="L136" s="8" t="s">
        <v>1659</v>
      </c>
    </row>
    <row r="137" spans="1:12">
      <c r="A137">
        <v>15</v>
      </c>
      <c r="B137" s="9" t="s">
        <v>335</v>
      </c>
      <c r="C137" s="9">
        <v>41005.688888888886</v>
      </c>
      <c r="D137" s="9" t="s">
        <v>335</v>
      </c>
      <c r="E137" t="str">
        <f t="shared" si="2"/>
        <v>'5bb217d'</v>
      </c>
      <c r="F137" s="9" t="s">
        <v>335</v>
      </c>
      <c r="G137" s="4">
        <v>60</v>
      </c>
      <c r="L137" s="8" t="s">
        <v>1776</v>
      </c>
    </row>
    <row r="138" spans="1:12">
      <c r="A138">
        <v>15</v>
      </c>
      <c r="B138" s="9" t="s">
        <v>335</v>
      </c>
      <c r="C138" s="9">
        <v>41071.440462962964</v>
      </c>
      <c r="D138" s="9" t="s">
        <v>335</v>
      </c>
      <c r="E138" t="str">
        <f t="shared" si="2"/>
        <v>'1df18c3'</v>
      </c>
      <c r="F138" s="9" t="s">
        <v>335</v>
      </c>
      <c r="G138" s="4">
        <v>61</v>
      </c>
      <c r="L138" s="8" t="s">
        <v>1779</v>
      </c>
    </row>
    <row r="139" spans="1:12">
      <c r="A139">
        <v>15</v>
      </c>
      <c r="B139" s="9" t="s">
        <v>335</v>
      </c>
      <c r="C139" s="9">
        <v>41009.889374999999</v>
      </c>
      <c r="D139" s="9" t="s">
        <v>335</v>
      </c>
      <c r="E139" t="str">
        <f t="shared" si="2"/>
        <v>'aca15ef'</v>
      </c>
      <c r="F139" s="9" t="s">
        <v>335</v>
      </c>
      <c r="G139" s="4">
        <v>62</v>
      </c>
      <c r="L139" s="8" t="s">
        <v>1782</v>
      </c>
    </row>
    <row r="140" spans="1:12">
      <c r="A140">
        <v>15</v>
      </c>
      <c r="B140" s="9" t="s">
        <v>335</v>
      </c>
      <c r="C140" s="9">
        <v>40987.399456018517</v>
      </c>
      <c r="D140" s="9" t="s">
        <v>335</v>
      </c>
      <c r="E140" t="str">
        <f t="shared" si="2"/>
        <v>'b18321b'</v>
      </c>
      <c r="F140" s="9" t="s">
        <v>335</v>
      </c>
      <c r="G140" s="4">
        <v>63</v>
      </c>
      <c r="L140" s="8" t="s">
        <v>1601</v>
      </c>
    </row>
    <row r="141" spans="1:12">
      <c r="A141">
        <v>15</v>
      </c>
      <c r="B141" s="9" t="s">
        <v>335</v>
      </c>
      <c r="C141" s="9">
        <v>41065.854837962965</v>
      </c>
      <c r="D141" s="9" t="s">
        <v>335</v>
      </c>
      <c r="E141" t="str">
        <f t="shared" si="2"/>
        <v>'5b37123'</v>
      </c>
      <c r="F141" s="9" t="s">
        <v>335</v>
      </c>
      <c r="G141" s="4">
        <v>64</v>
      </c>
      <c r="L141" s="8" t="s">
        <v>1704</v>
      </c>
    </row>
    <row r="142" spans="1:12">
      <c r="A142">
        <v>15</v>
      </c>
      <c r="B142" s="9" t="s">
        <v>335</v>
      </c>
      <c r="C142" s="9">
        <v>41008.398865740739</v>
      </c>
      <c r="D142" s="9" t="s">
        <v>335</v>
      </c>
      <c r="E142" t="str">
        <f t="shared" si="2"/>
        <v>'19c79c1'</v>
      </c>
      <c r="F142" s="9" t="s">
        <v>335</v>
      </c>
      <c r="G142" s="4">
        <v>65</v>
      </c>
      <c r="L142" s="8" t="s">
        <v>1648</v>
      </c>
    </row>
    <row r="143" spans="1:12">
      <c r="A143">
        <v>15</v>
      </c>
      <c r="B143" s="9" t="s">
        <v>335</v>
      </c>
      <c r="C143" s="9">
        <v>41008.398912037039</v>
      </c>
      <c r="D143" s="9" t="s">
        <v>335</v>
      </c>
      <c r="E143" t="str">
        <f t="shared" si="2"/>
        <v>'4b1ccd9'</v>
      </c>
      <c r="F143" s="9" t="s">
        <v>335</v>
      </c>
      <c r="G143" s="4">
        <v>66</v>
      </c>
      <c r="L143" s="8" t="s">
        <v>1610</v>
      </c>
    </row>
    <row r="144" spans="1:12">
      <c r="A144">
        <v>15</v>
      </c>
      <c r="B144" s="9" t="s">
        <v>335</v>
      </c>
      <c r="C144" s="9">
        <v>40969.927951388891</v>
      </c>
      <c r="D144" s="9" t="s">
        <v>335</v>
      </c>
      <c r="E144" t="str">
        <f t="shared" si="2"/>
        <v>'c36bd0d'</v>
      </c>
      <c r="F144" s="9" t="s">
        <v>335</v>
      </c>
      <c r="G144" s="4">
        <v>67</v>
      </c>
      <c r="L144" s="8" t="s">
        <v>1808</v>
      </c>
    </row>
    <row r="145" spans="1:12">
      <c r="A145">
        <v>15</v>
      </c>
      <c r="B145" s="9" t="s">
        <v>335</v>
      </c>
      <c r="C145" s="9">
        <v>41071.640243055554</v>
      </c>
      <c r="D145" s="9" t="s">
        <v>335</v>
      </c>
      <c r="E145" t="str">
        <f t="shared" si="2"/>
        <v>'2cf102d'</v>
      </c>
      <c r="F145" s="9" t="s">
        <v>335</v>
      </c>
      <c r="G145" s="4">
        <v>68</v>
      </c>
      <c r="L145" s="8" t="s">
        <v>1643</v>
      </c>
    </row>
    <row r="146" spans="1:12">
      <c r="A146">
        <v>15</v>
      </c>
      <c r="B146" s="9" t="s">
        <v>335</v>
      </c>
      <c r="C146" s="9">
        <v>41052.723703703705</v>
      </c>
      <c r="D146" s="9" t="s">
        <v>335</v>
      </c>
      <c r="E146" t="str">
        <f t="shared" si="2"/>
        <v>'468ed6a'</v>
      </c>
      <c r="F146" s="9" t="s">
        <v>335</v>
      </c>
      <c r="G146" s="4">
        <v>69</v>
      </c>
      <c r="L146" s="8" t="s">
        <v>1847</v>
      </c>
    </row>
    <row r="147" spans="1:12">
      <c r="A147">
        <v>15</v>
      </c>
      <c r="B147" s="9" t="s">
        <v>335</v>
      </c>
      <c r="C147" s="9">
        <v>41058.74359953704</v>
      </c>
      <c r="D147" s="9" t="s">
        <v>335</v>
      </c>
      <c r="E147" t="str">
        <f t="shared" si="2"/>
        <v>'6f99d47'</v>
      </c>
      <c r="F147" s="9" t="s">
        <v>335</v>
      </c>
      <c r="G147" s="4">
        <v>70</v>
      </c>
      <c r="L147" s="8" t="s">
        <v>1640</v>
      </c>
    </row>
    <row r="148" spans="1:12">
      <c r="A148">
        <v>15</v>
      </c>
      <c r="B148" s="9" t="s">
        <v>335</v>
      </c>
      <c r="C148" s="9">
        <v>41073.442662037036</v>
      </c>
      <c r="D148" s="9" t="s">
        <v>335</v>
      </c>
      <c r="E148" t="str">
        <f t="shared" si="2"/>
        <v>'8c011bf'</v>
      </c>
      <c r="F148" s="9" t="s">
        <v>335</v>
      </c>
      <c r="G148" s="4">
        <v>71</v>
      </c>
      <c r="L148" s="8" t="s">
        <v>1726</v>
      </c>
    </row>
    <row r="149" spans="1:12">
      <c r="A149">
        <v>15</v>
      </c>
      <c r="B149" s="9" t="s">
        <v>335</v>
      </c>
      <c r="C149" s="9">
        <v>41065.641076388885</v>
      </c>
      <c r="D149" s="9" t="s">
        <v>335</v>
      </c>
      <c r="E149" t="str">
        <f t="shared" si="2"/>
        <v>'748ecd1'</v>
      </c>
      <c r="F149" s="9" t="s">
        <v>335</v>
      </c>
      <c r="G149" s="4">
        <v>72</v>
      </c>
      <c r="L149" s="8" t="s">
        <v>1698</v>
      </c>
    </row>
    <row r="150" spans="1:12">
      <c r="A150">
        <v>15</v>
      </c>
      <c r="B150" s="9" t="s">
        <v>335</v>
      </c>
      <c r="C150" s="9">
        <v>40995.789907407408</v>
      </c>
      <c r="D150" s="9" t="s">
        <v>335</v>
      </c>
      <c r="E150" t="str">
        <f t="shared" si="2"/>
        <v>'28a0a27'</v>
      </c>
      <c r="F150" s="9" t="s">
        <v>335</v>
      </c>
      <c r="G150" s="4">
        <v>73</v>
      </c>
      <c r="L150" s="8" t="s">
        <v>1721</v>
      </c>
    </row>
    <row r="151" spans="1:12">
      <c r="A151">
        <v>15</v>
      </c>
      <c r="B151" s="9" t="s">
        <v>335</v>
      </c>
      <c r="C151" s="9">
        <v>41065.722696759258</v>
      </c>
      <c r="D151" s="9" t="s">
        <v>335</v>
      </c>
      <c r="E151" t="str">
        <f t="shared" si="2"/>
        <v>'3dfa3e7'</v>
      </c>
      <c r="F151" s="9" t="s">
        <v>335</v>
      </c>
      <c r="G151" s="4">
        <v>74</v>
      </c>
      <c r="L151" s="8" t="s">
        <v>1823</v>
      </c>
    </row>
    <row r="152" spans="1:12">
      <c r="A152">
        <v>15</v>
      </c>
      <c r="B152" s="9" t="s">
        <v>335</v>
      </c>
      <c r="C152" s="9">
        <v>41036.570879629631</v>
      </c>
      <c r="D152" s="9" t="s">
        <v>335</v>
      </c>
      <c r="E152" t="str">
        <f t="shared" si="2"/>
        <v>'182572b'</v>
      </c>
      <c r="F152" s="9" t="s">
        <v>335</v>
      </c>
      <c r="G152" s="4">
        <v>75</v>
      </c>
      <c r="L152" s="8" t="s">
        <v>1815</v>
      </c>
    </row>
    <row r="153" spans="1:12">
      <c r="A153">
        <v>15</v>
      </c>
      <c r="B153" s="9" t="s">
        <v>335</v>
      </c>
      <c r="C153" s="9">
        <v>40969.943564814814</v>
      </c>
      <c r="D153" s="9" t="s">
        <v>335</v>
      </c>
      <c r="E153" t="str">
        <f t="shared" si="2"/>
        <v>'d64c8e5'</v>
      </c>
      <c r="F153" s="9" t="s">
        <v>335</v>
      </c>
      <c r="G153" s="4">
        <v>76</v>
      </c>
      <c r="L153" s="8" t="s">
        <v>1653</v>
      </c>
    </row>
    <row r="154" spans="1:12">
      <c r="A154">
        <v>15</v>
      </c>
      <c r="B154" s="9" t="s">
        <v>335</v>
      </c>
      <c r="C154" s="9">
        <v>41051.780381944445</v>
      </c>
      <c r="D154" s="9" t="s">
        <v>335</v>
      </c>
      <c r="E154" t="str">
        <f t="shared" si="2"/>
        <v>'fce5783'</v>
      </c>
      <c r="F154" s="9" t="s">
        <v>335</v>
      </c>
      <c r="G154" s="4">
        <v>77</v>
      </c>
      <c r="L154" s="8" t="s">
        <v>1671</v>
      </c>
    </row>
    <row r="155" spans="1:12">
      <c r="A155">
        <v>15</v>
      </c>
      <c r="B155" s="9" t="s">
        <v>335</v>
      </c>
      <c r="C155" s="9">
        <v>41059.594398148147</v>
      </c>
      <c r="D155" s="9" t="s">
        <v>335</v>
      </c>
      <c r="E155" t="str">
        <f t="shared" si="2"/>
        <v>'fbe2047'</v>
      </c>
      <c r="F155" s="9" t="s">
        <v>335</v>
      </c>
      <c r="G155" s="4">
        <v>78</v>
      </c>
      <c r="L155" s="8" t="s">
        <v>1774</v>
      </c>
    </row>
    <row r="156" spans="1:12">
      <c r="A156">
        <v>15</v>
      </c>
      <c r="B156" s="9" t="s">
        <v>335</v>
      </c>
      <c r="C156" s="9">
        <v>40973.426365740743</v>
      </c>
      <c r="D156" s="9" t="s">
        <v>335</v>
      </c>
      <c r="E156" t="str">
        <f t="shared" si="2"/>
        <v>'436ae85'</v>
      </c>
      <c r="F156" s="9" t="s">
        <v>335</v>
      </c>
      <c r="G156" s="4">
        <v>79</v>
      </c>
      <c r="L156" s="8" t="s">
        <v>1701</v>
      </c>
    </row>
    <row r="157" spans="1:12">
      <c r="A157">
        <v>15</v>
      </c>
      <c r="B157" s="9" t="s">
        <v>335</v>
      </c>
      <c r="C157" s="9">
        <v>41043.793217592596</v>
      </c>
      <c r="D157" s="9" t="s">
        <v>335</v>
      </c>
      <c r="E157" t="str">
        <f t="shared" si="2"/>
        <v>'f2a7046'</v>
      </c>
      <c r="F157" s="9" t="s">
        <v>335</v>
      </c>
      <c r="G157" s="4">
        <v>80</v>
      </c>
      <c r="L157" s="8" t="s">
        <v>1626</v>
      </c>
    </row>
    <row r="158" spans="1:12">
      <c r="A158">
        <v>15</v>
      </c>
      <c r="B158" s="9" t="s">
        <v>335</v>
      </c>
      <c r="C158" s="9">
        <v>41016.489502314813</v>
      </c>
      <c r="D158" s="9" t="s">
        <v>335</v>
      </c>
      <c r="E158" t="str">
        <f t="shared" si="2"/>
        <v>'41d0e33'</v>
      </c>
      <c r="F158" s="9" t="s">
        <v>335</v>
      </c>
      <c r="G158" s="4">
        <v>81</v>
      </c>
      <c r="L158" s="8" t="s">
        <v>1828</v>
      </c>
    </row>
    <row r="159" spans="1:12">
      <c r="A159">
        <v>15</v>
      </c>
      <c r="B159" s="9" t="s">
        <v>335</v>
      </c>
      <c r="C159" s="9">
        <v>40990.456701388888</v>
      </c>
      <c r="D159" s="9" t="s">
        <v>335</v>
      </c>
      <c r="E159" t="str">
        <f t="shared" si="2"/>
        <v>'2240ad3'</v>
      </c>
      <c r="F159" s="9" t="s">
        <v>335</v>
      </c>
      <c r="G159" s="4">
        <v>82</v>
      </c>
      <c r="L159" s="8" t="s">
        <v>1676</v>
      </c>
    </row>
    <row r="160" spans="1:12">
      <c r="A160">
        <v>15</v>
      </c>
      <c r="B160" s="9" t="s">
        <v>335</v>
      </c>
      <c r="C160" s="9">
        <v>40968.785787037035</v>
      </c>
      <c r="D160" s="9" t="s">
        <v>335</v>
      </c>
      <c r="E160" t="str">
        <f t="shared" si="2"/>
        <v>'c4a711a'</v>
      </c>
      <c r="F160" s="9" t="s">
        <v>335</v>
      </c>
      <c r="G160" s="4">
        <v>83</v>
      </c>
      <c r="L160" s="8" t="s">
        <v>1799</v>
      </c>
    </row>
    <row r="161" spans="1:12">
      <c r="A161">
        <v>16</v>
      </c>
      <c r="B161" s="9" t="s">
        <v>335</v>
      </c>
      <c r="C161" s="9">
        <v>40995.717048611114</v>
      </c>
      <c r="D161" s="9" t="s">
        <v>335</v>
      </c>
      <c r="E161" t="str">
        <f t="shared" si="2"/>
        <v>'52f051d'</v>
      </c>
      <c r="F161" s="9" t="s">
        <v>335</v>
      </c>
      <c r="G161" s="4">
        <v>1</v>
      </c>
      <c r="L161" s="8" t="s">
        <v>1585</v>
      </c>
    </row>
    <row r="162" spans="1:12">
      <c r="A162">
        <v>17</v>
      </c>
      <c r="B162" s="9" t="s">
        <v>335</v>
      </c>
      <c r="C162" s="9">
        <v>41011.949016203704</v>
      </c>
      <c r="D162" s="9" t="s">
        <v>335</v>
      </c>
      <c r="E162" t="str">
        <f t="shared" si="2"/>
        <v>'abeecaf'</v>
      </c>
      <c r="F162" s="9" t="s">
        <v>335</v>
      </c>
      <c r="G162" s="4">
        <v>1</v>
      </c>
      <c r="L162" s="8" t="s">
        <v>1662</v>
      </c>
    </row>
    <row r="163" spans="1:12">
      <c r="A163">
        <v>17</v>
      </c>
      <c r="B163" s="9" t="s">
        <v>335</v>
      </c>
      <c r="C163" s="9">
        <v>41064.474999999999</v>
      </c>
      <c r="D163" s="9" t="s">
        <v>335</v>
      </c>
      <c r="E163" t="str">
        <f t="shared" si="2"/>
        <v>'df4692c'</v>
      </c>
      <c r="F163" s="9" t="s">
        <v>335</v>
      </c>
      <c r="G163" s="4">
        <v>2</v>
      </c>
      <c r="L163" s="8" t="s">
        <v>1634</v>
      </c>
    </row>
    <row r="164" spans="1:12">
      <c r="A164">
        <v>18</v>
      </c>
      <c r="B164" s="9" t="s">
        <v>335</v>
      </c>
      <c r="C164" s="9">
        <v>40977.490439814814</v>
      </c>
      <c r="D164" s="9" t="s">
        <v>335</v>
      </c>
      <c r="E164" t="str">
        <f t="shared" si="2"/>
        <v>'4e7a187'</v>
      </c>
      <c r="F164" s="9" t="s">
        <v>335</v>
      </c>
      <c r="G164" s="4">
        <v>1</v>
      </c>
      <c r="L164" s="8" t="s">
        <v>1759</v>
      </c>
    </row>
    <row r="165" spans="1:12">
      <c r="A165">
        <v>19</v>
      </c>
      <c r="B165" s="9" t="s">
        <v>335</v>
      </c>
      <c r="C165" s="9">
        <v>41060.395451388889</v>
      </c>
      <c r="D165" s="9" t="s">
        <v>335</v>
      </c>
      <c r="E165" t="str">
        <f t="shared" si="2"/>
        <v>'1837662'</v>
      </c>
      <c r="F165" s="9" t="s">
        <v>335</v>
      </c>
      <c r="G165" s="4">
        <v>1</v>
      </c>
      <c r="L165" s="8">
        <v>1837662</v>
      </c>
    </row>
    <row r="166" spans="1:12">
      <c r="A166">
        <v>20</v>
      </c>
      <c r="B166" s="9" t="s">
        <v>335</v>
      </c>
      <c r="C166" s="9">
        <v>41024.911678240744</v>
      </c>
      <c r="D166" s="9" t="s">
        <v>335</v>
      </c>
      <c r="E166" t="str">
        <f t="shared" si="2"/>
        <v>'554c49e'</v>
      </c>
      <c r="F166" s="9" t="s">
        <v>335</v>
      </c>
      <c r="G166" s="4">
        <v>1</v>
      </c>
      <c r="L166" s="8" t="s">
        <v>1746</v>
      </c>
    </row>
    <row r="167" spans="1:12">
      <c r="A167">
        <v>20</v>
      </c>
      <c r="B167" s="9" t="s">
        <v>335</v>
      </c>
      <c r="C167" s="9">
        <v>41061.719560185185</v>
      </c>
      <c r="D167" s="9" t="s">
        <v>335</v>
      </c>
      <c r="E167" t="str">
        <f t="shared" si="2"/>
        <v>'a3431a9'</v>
      </c>
      <c r="F167" s="9" t="s">
        <v>335</v>
      </c>
      <c r="G167" s="4">
        <v>2</v>
      </c>
      <c r="L167" s="8" t="s">
        <v>1708</v>
      </c>
    </row>
    <row r="168" spans="1:12">
      <c r="A168">
        <v>20</v>
      </c>
      <c r="B168" s="9" t="s">
        <v>335</v>
      </c>
      <c r="C168" s="9">
        <v>41060.473032407404</v>
      </c>
      <c r="D168" s="9" t="s">
        <v>335</v>
      </c>
      <c r="E168" t="str">
        <f t="shared" si="2"/>
        <v>'469cd6b'</v>
      </c>
      <c r="F168" s="9" t="s">
        <v>335</v>
      </c>
      <c r="G168" s="4">
        <v>3</v>
      </c>
      <c r="L168" s="8" t="s">
        <v>1845</v>
      </c>
    </row>
    <row r="169" spans="1:12">
      <c r="A169">
        <v>21</v>
      </c>
      <c r="B169" s="9" t="s">
        <v>335</v>
      </c>
      <c r="C169" s="9">
        <v>40981.438090277778</v>
      </c>
      <c r="D169" s="9" t="s">
        <v>335</v>
      </c>
      <c r="E169" t="str">
        <f t="shared" si="2"/>
        <v>'31f06a9'</v>
      </c>
      <c r="F169" s="9" t="s">
        <v>335</v>
      </c>
      <c r="G169" s="4">
        <v>1</v>
      </c>
      <c r="L169" s="8" t="s">
        <v>1686</v>
      </c>
    </row>
    <row r="170" spans="1:12">
      <c r="A170">
        <v>22</v>
      </c>
      <c r="B170" s="9" t="s">
        <v>335</v>
      </c>
      <c r="C170" s="9">
        <v>41060.528449074074</v>
      </c>
      <c r="D170" s="9" t="s">
        <v>335</v>
      </c>
      <c r="E170" t="str">
        <f t="shared" si="2"/>
        <v>'d1bc264'</v>
      </c>
      <c r="F170" s="9" t="s">
        <v>335</v>
      </c>
      <c r="G170" s="4">
        <v>1</v>
      </c>
      <c r="L170" s="8" t="s">
        <v>1717</v>
      </c>
    </row>
    <row r="171" spans="1:12">
      <c r="A171">
        <v>23</v>
      </c>
      <c r="B171" s="9" t="s">
        <v>335</v>
      </c>
      <c r="C171" s="9">
        <v>41024.399629629632</v>
      </c>
      <c r="D171" s="9" t="s">
        <v>335</v>
      </c>
      <c r="E171" t="str">
        <f t="shared" si="2"/>
        <v>'5046c24'</v>
      </c>
      <c r="F171" s="9" t="s">
        <v>335</v>
      </c>
      <c r="G171" s="4">
        <v>1</v>
      </c>
      <c r="L171" s="8" t="s">
        <v>1605</v>
      </c>
    </row>
    <row r="172" spans="1:12">
      <c r="A172">
        <v>24</v>
      </c>
      <c r="B172" s="9" t="s">
        <v>335</v>
      </c>
      <c r="C172" s="9">
        <v>40982.02652777778</v>
      </c>
      <c r="D172" s="9" t="s">
        <v>335</v>
      </c>
      <c r="E172" t="str">
        <f t="shared" si="2"/>
        <v>'3a2e9b1'</v>
      </c>
      <c r="F172" s="9" t="s">
        <v>335</v>
      </c>
      <c r="G172" s="4">
        <v>1</v>
      </c>
      <c r="L172" s="8" t="s">
        <v>1770</v>
      </c>
    </row>
  </sheetData>
  <conditionalFormatting sqref="L2:L172">
    <cfRule type="duplicateValues" dxfId="281" priority="1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M61"/>
  <sheetViews>
    <sheetView topLeftCell="A39" workbookViewId="0">
      <selection activeCell="A3" sqref="A3"/>
    </sheetView>
  </sheetViews>
  <sheetFormatPr baseColWidth="10" defaultRowHeight="15" x14ac:dyDescent="0"/>
  <cols>
    <col min="1" max="1" width="14.6640625" customWidth="1"/>
    <col min="2" max="2" width="5.33203125" customWidth="1"/>
    <col min="9" max="9" width="21.1640625" customWidth="1"/>
    <col min="12" max="12" width="24.83203125" customWidth="1"/>
  </cols>
  <sheetData>
    <row r="3" spans="1:4">
      <c r="A3" s="25" t="s">
        <v>1881</v>
      </c>
    </row>
    <row r="4" spans="1:4">
      <c r="A4" s="25" t="s">
        <v>1870</v>
      </c>
      <c r="B4" t="s">
        <v>1869</v>
      </c>
      <c r="C4" t="s">
        <v>1874</v>
      </c>
      <c r="D4" t="s">
        <v>1886</v>
      </c>
    </row>
    <row r="5" spans="1:4">
      <c r="A5" s="26" t="s">
        <v>1882</v>
      </c>
      <c r="B5" s="4"/>
      <c r="C5">
        <f t="shared" ref="C5:C21" si="0">$A$24</f>
        <v>13.076923076923077</v>
      </c>
      <c r="D5">
        <f t="shared" ref="D5:D21" si="1">$A$25</f>
        <v>11</v>
      </c>
    </row>
    <row r="6" spans="1:4">
      <c r="A6" s="31" t="s">
        <v>1918</v>
      </c>
      <c r="B6" s="4">
        <v>0</v>
      </c>
      <c r="C6">
        <f t="shared" si="0"/>
        <v>13.076923076923077</v>
      </c>
      <c r="D6">
        <f t="shared" si="1"/>
        <v>11</v>
      </c>
    </row>
    <row r="7" spans="1:4">
      <c r="A7" s="31" t="s">
        <v>1919</v>
      </c>
      <c r="B7" s="4">
        <v>4</v>
      </c>
      <c r="C7">
        <f t="shared" si="0"/>
        <v>13.076923076923077</v>
      </c>
      <c r="D7">
        <f t="shared" si="1"/>
        <v>11</v>
      </c>
    </row>
    <row r="8" spans="1:4">
      <c r="A8" s="31" t="s">
        <v>1920</v>
      </c>
      <c r="B8" s="4">
        <v>1</v>
      </c>
      <c r="C8">
        <f t="shared" si="0"/>
        <v>13.076923076923077</v>
      </c>
      <c r="D8">
        <f t="shared" si="1"/>
        <v>11</v>
      </c>
    </row>
    <row r="9" spans="1:4">
      <c r="A9" s="26" t="s">
        <v>1883</v>
      </c>
      <c r="B9" s="4"/>
      <c r="C9">
        <f t="shared" si="0"/>
        <v>13.076923076923077</v>
      </c>
      <c r="D9">
        <f t="shared" si="1"/>
        <v>11</v>
      </c>
    </row>
    <row r="10" spans="1:4">
      <c r="A10" s="31" t="s">
        <v>1918</v>
      </c>
      <c r="B10" s="4">
        <v>0</v>
      </c>
      <c r="C10">
        <f t="shared" si="0"/>
        <v>13.076923076923077</v>
      </c>
      <c r="D10">
        <f t="shared" si="1"/>
        <v>11</v>
      </c>
    </row>
    <row r="11" spans="1:4">
      <c r="A11" s="31" t="s">
        <v>1919</v>
      </c>
      <c r="B11" s="4">
        <v>0</v>
      </c>
      <c r="C11">
        <f t="shared" si="0"/>
        <v>13.076923076923077</v>
      </c>
      <c r="D11">
        <f t="shared" si="1"/>
        <v>11</v>
      </c>
    </row>
    <row r="12" spans="1:4">
      <c r="A12" s="31" t="s">
        <v>1921</v>
      </c>
      <c r="B12" s="4">
        <v>0</v>
      </c>
      <c r="C12">
        <f t="shared" si="0"/>
        <v>13.076923076923077</v>
      </c>
      <c r="D12">
        <f t="shared" si="1"/>
        <v>11</v>
      </c>
    </row>
    <row r="13" spans="1:4">
      <c r="A13" s="31" t="s">
        <v>1920</v>
      </c>
      <c r="B13" s="4">
        <v>11</v>
      </c>
      <c r="C13">
        <f t="shared" si="0"/>
        <v>13.076923076923077</v>
      </c>
      <c r="D13">
        <f t="shared" si="1"/>
        <v>11</v>
      </c>
    </row>
    <row r="14" spans="1:4">
      <c r="A14" s="26" t="s">
        <v>1884</v>
      </c>
      <c r="B14" s="4"/>
      <c r="C14">
        <f t="shared" si="0"/>
        <v>13.076923076923077</v>
      </c>
      <c r="D14">
        <f t="shared" si="1"/>
        <v>11</v>
      </c>
    </row>
    <row r="15" spans="1:4">
      <c r="A15" s="31" t="s">
        <v>1918</v>
      </c>
      <c r="B15" s="4">
        <v>35</v>
      </c>
      <c r="C15">
        <f t="shared" si="0"/>
        <v>13.076923076923077</v>
      </c>
      <c r="D15">
        <f t="shared" si="1"/>
        <v>11</v>
      </c>
    </row>
    <row r="16" spans="1:4">
      <c r="A16" s="31" t="s">
        <v>1919</v>
      </c>
      <c r="B16" s="4">
        <v>48</v>
      </c>
      <c r="C16">
        <f t="shared" si="0"/>
        <v>13.076923076923077</v>
      </c>
      <c r="D16">
        <f t="shared" si="1"/>
        <v>11</v>
      </c>
    </row>
    <row r="17" spans="1:4">
      <c r="A17" s="31" t="s">
        <v>1921</v>
      </c>
      <c r="B17" s="4">
        <v>17</v>
      </c>
      <c r="C17">
        <f t="shared" si="0"/>
        <v>13.076923076923077</v>
      </c>
      <c r="D17">
        <f t="shared" si="1"/>
        <v>11</v>
      </c>
    </row>
    <row r="18" spans="1:4">
      <c r="A18" s="31" t="s">
        <v>1920</v>
      </c>
      <c r="B18" s="4">
        <v>19</v>
      </c>
      <c r="C18">
        <f t="shared" si="0"/>
        <v>13.076923076923077</v>
      </c>
      <c r="D18">
        <f t="shared" si="1"/>
        <v>11</v>
      </c>
    </row>
    <row r="19" spans="1:4">
      <c r="A19" s="26" t="s">
        <v>1885</v>
      </c>
      <c r="B19" s="4"/>
      <c r="C19">
        <f t="shared" si="0"/>
        <v>13.076923076923077</v>
      </c>
      <c r="D19">
        <f t="shared" si="1"/>
        <v>11</v>
      </c>
    </row>
    <row r="20" spans="1:4">
      <c r="A20" s="31" t="s">
        <v>1918</v>
      </c>
      <c r="B20" s="4">
        <v>18</v>
      </c>
      <c r="C20">
        <f t="shared" si="0"/>
        <v>13.076923076923077</v>
      </c>
      <c r="D20">
        <f t="shared" si="1"/>
        <v>11</v>
      </c>
    </row>
    <row r="21" spans="1:4">
      <c r="A21" s="31" t="s">
        <v>1919</v>
      </c>
      <c r="B21" s="4">
        <v>17</v>
      </c>
      <c r="C21">
        <f t="shared" si="0"/>
        <v>13.076923076923077</v>
      </c>
      <c r="D21">
        <f t="shared" si="1"/>
        <v>11</v>
      </c>
    </row>
    <row r="22" spans="1:4">
      <c r="A22" s="26" t="s">
        <v>1871</v>
      </c>
      <c r="B22" s="4">
        <v>170</v>
      </c>
    </row>
    <row r="24" spans="1:4">
      <c r="A24">
        <f>AVERAGE(B5:B21)</f>
        <v>13.076923076923077</v>
      </c>
    </row>
    <row r="25" spans="1:4">
      <c r="A25">
        <f>MEDIAN(B5:B21)</f>
        <v>11</v>
      </c>
    </row>
    <row r="45" spans="9:13">
      <c r="I45" s="12" t="s">
        <v>1887</v>
      </c>
      <c r="L45" s="33" t="s">
        <v>1899</v>
      </c>
      <c r="M45" s="29"/>
    </row>
    <row r="46" spans="9:13">
      <c r="I46" s="30" t="s">
        <v>1891</v>
      </c>
      <c r="J46" s="29">
        <v>12</v>
      </c>
      <c r="L46" s="30" t="s">
        <v>1889</v>
      </c>
      <c r="M46" s="29">
        <v>2</v>
      </c>
    </row>
    <row r="47" spans="9:13">
      <c r="I47" s="30" t="s">
        <v>1892</v>
      </c>
      <c r="J47" s="29">
        <v>10</v>
      </c>
      <c r="L47" s="30" t="s">
        <v>1893</v>
      </c>
      <c r="M47" s="29">
        <v>2</v>
      </c>
    </row>
    <row r="48" spans="9:13">
      <c r="I48" s="30" t="s">
        <v>1890</v>
      </c>
      <c r="J48" s="29">
        <v>8</v>
      </c>
      <c r="L48" s="30" t="s">
        <v>1894</v>
      </c>
      <c r="M48" s="29">
        <v>2</v>
      </c>
    </row>
    <row r="50" spans="9:13">
      <c r="I50" s="12" t="s">
        <v>1888</v>
      </c>
    </row>
    <row r="51" spans="9:13">
      <c r="I51" s="32">
        <v>40634</v>
      </c>
      <c r="J51" s="29">
        <v>22</v>
      </c>
      <c r="L51" s="34">
        <v>40940</v>
      </c>
      <c r="M51">
        <v>5</v>
      </c>
    </row>
    <row r="52" spans="9:13">
      <c r="I52" s="32">
        <v>40695</v>
      </c>
      <c r="J52" s="29">
        <v>18</v>
      </c>
      <c r="L52" s="27">
        <v>41000</v>
      </c>
      <c r="M52">
        <v>5</v>
      </c>
    </row>
    <row r="53" spans="9:13">
      <c r="I53" s="27">
        <v>40603</v>
      </c>
      <c r="J53" s="29">
        <v>18</v>
      </c>
    </row>
    <row r="56" spans="9:13">
      <c r="I56" s="12" t="s">
        <v>1922</v>
      </c>
    </row>
    <row r="57" spans="9:13">
      <c r="I57" s="27" t="s">
        <v>1923</v>
      </c>
      <c r="J57">
        <v>48</v>
      </c>
      <c r="L57" t="s">
        <v>1925</v>
      </c>
      <c r="M57">
        <v>11</v>
      </c>
    </row>
    <row r="58" spans="9:13">
      <c r="I58" s="27" t="s">
        <v>1924</v>
      </c>
      <c r="J58">
        <v>35</v>
      </c>
    </row>
    <row r="60" spans="9:13">
      <c r="I60" s="12" t="s">
        <v>1926</v>
      </c>
    </row>
    <row r="61" spans="9:13">
      <c r="I61" t="s">
        <v>1927</v>
      </c>
      <c r="J61">
        <v>83</v>
      </c>
      <c r="L61" t="s">
        <v>1928</v>
      </c>
      <c r="M61">
        <v>35</v>
      </c>
    </row>
  </sheetData>
  <pageMargins left="0.75" right="0.75" top="1" bottom="1" header="0.5" footer="0.5"/>
  <pageSetup orientation="portrait" horizontalDpi="4294967292" verticalDpi="4294967292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X396"/>
  <sheetViews>
    <sheetView zoomScale="80" zoomScaleNormal="80" zoomScalePageLayoutView="80" workbookViewId="0">
      <selection activeCell="A3" sqref="A3"/>
    </sheetView>
  </sheetViews>
  <sheetFormatPr baseColWidth="10" defaultColWidth="11" defaultRowHeight="15" x14ac:dyDescent="0"/>
  <cols>
    <col min="3" max="3" width="16.1640625" bestFit="1" customWidth="1"/>
    <col min="5" max="5" width="7.5" customWidth="1"/>
    <col min="6" max="6" width="11" style="12"/>
    <col min="7" max="7" width="18.1640625" style="4" bestFit="1" customWidth="1"/>
    <col min="8" max="8" width="8.6640625" style="4" customWidth="1"/>
    <col min="9" max="9" width="18.5" style="9" bestFit="1" customWidth="1"/>
    <col min="10" max="10" width="11" style="8"/>
    <col min="11" max="11" width="8.5" style="4" bestFit="1" customWidth="1"/>
    <col min="12" max="12" width="4.5" style="4" customWidth="1"/>
    <col min="13" max="13" width="13.33203125" style="4" customWidth="1"/>
    <col min="14" max="14" width="18.1640625" bestFit="1" customWidth="1"/>
    <col min="19" max="19" width="14" style="2" customWidth="1"/>
    <col min="20" max="20" width="5.6640625" customWidth="1"/>
    <col min="21" max="21" width="10.6640625" customWidth="1"/>
    <col min="22" max="22" width="5.6640625" customWidth="1"/>
    <col min="23" max="23" width="16.1640625" bestFit="1" customWidth="1"/>
  </cols>
  <sheetData>
    <row r="1" spans="1:20" s="18" customFormat="1" ht="20">
      <c r="G1" s="19" t="s">
        <v>329</v>
      </c>
      <c r="H1" s="19" t="s">
        <v>334</v>
      </c>
      <c r="I1" s="20" t="s">
        <v>333</v>
      </c>
      <c r="J1" s="21" t="s">
        <v>332</v>
      </c>
      <c r="K1" s="19" t="s">
        <v>331</v>
      </c>
      <c r="L1" s="19" t="s">
        <v>1867</v>
      </c>
      <c r="M1" s="19" t="s">
        <v>1863</v>
      </c>
      <c r="N1" s="18" t="s">
        <v>329</v>
      </c>
      <c r="O1" s="18" t="s">
        <v>330</v>
      </c>
      <c r="S1" s="22"/>
    </row>
    <row r="2" spans="1:20">
      <c r="A2">
        <v>128</v>
      </c>
      <c r="C2" s="3"/>
      <c r="F2" s="12">
        <v>1</v>
      </c>
      <c r="G2" t="s">
        <v>405</v>
      </c>
      <c r="H2" s="7">
        <f t="shared" ref="H2:H12" si="0">LOOKUP(G2,$N$2:$N$9,$O$2:$O$9)</f>
        <v>1</v>
      </c>
      <c r="I2" s="3">
        <v>40518.567939814813</v>
      </c>
      <c r="J2" s="8" t="s">
        <v>406</v>
      </c>
      <c r="K2" s="4">
        <f t="shared" ref="K2:K12" si="1">IF(Q2&gt;Q1,1,K1+1)</f>
        <v>1</v>
      </c>
      <c r="L2" s="4">
        <v>2</v>
      </c>
      <c r="M2" s="4">
        <v>1</v>
      </c>
      <c r="N2" t="s">
        <v>405</v>
      </c>
      <c r="O2">
        <v>1</v>
      </c>
      <c r="Q2">
        <v>1</v>
      </c>
      <c r="S2" s="8"/>
      <c r="T2" s="10"/>
    </row>
    <row r="3" spans="1:20">
      <c r="C3" s="3"/>
      <c r="F3" s="12">
        <v>3</v>
      </c>
      <c r="G3" t="s">
        <v>325</v>
      </c>
      <c r="H3" s="7">
        <f t="shared" si="0"/>
        <v>2</v>
      </c>
      <c r="I3" s="3">
        <v>40519.596168981479</v>
      </c>
      <c r="J3" s="8" t="s">
        <v>1342</v>
      </c>
      <c r="K3" s="4">
        <f t="shared" si="1"/>
        <v>1</v>
      </c>
      <c r="L3" s="4">
        <v>2</v>
      </c>
      <c r="M3" s="4">
        <v>1</v>
      </c>
      <c r="N3" t="s">
        <v>325</v>
      </c>
      <c r="O3">
        <v>2</v>
      </c>
      <c r="Q3">
        <v>2</v>
      </c>
      <c r="S3" s="8"/>
      <c r="T3" s="10"/>
    </row>
    <row r="4" spans="1:20">
      <c r="C4" s="3"/>
      <c r="F4" s="12">
        <v>6</v>
      </c>
      <c r="G4" t="s">
        <v>553</v>
      </c>
      <c r="H4" s="7">
        <f t="shared" si="0"/>
        <v>3</v>
      </c>
      <c r="I4" s="3">
        <v>40522.539201388892</v>
      </c>
      <c r="J4" s="8" t="s">
        <v>552</v>
      </c>
      <c r="K4" s="4">
        <f t="shared" si="1"/>
        <v>1</v>
      </c>
      <c r="L4" s="4">
        <v>2</v>
      </c>
      <c r="M4" s="4">
        <v>1</v>
      </c>
      <c r="N4" t="s">
        <v>553</v>
      </c>
      <c r="O4">
        <v>3</v>
      </c>
      <c r="Q4">
        <v>3</v>
      </c>
      <c r="S4" s="8"/>
      <c r="T4" s="10"/>
    </row>
    <row r="5" spans="1:20">
      <c r="C5" s="3"/>
      <c r="F5" s="12">
        <v>7</v>
      </c>
      <c r="G5" t="s">
        <v>336</v>
      </c>
      <c r="H5" s="7">
        <f t="shared" si="0"/>
        <v>4</v>
      </c>
      <c r="I5" s="3">
        <v>40522.554756944446</v>
      </c>
      <c r="J5" s="8" t="s">
        <v>1575</v>
      </c>
      <c r="K5" s="4">
        <f t="shared" si="1"/>
        <v>1</v>
      </c>
      <c r="L5" s="4">
        <v>2</v>
      </c>
      <c r="M5" s="4">
        <v>1</v>
      </c>
      <c r="N5" t="s">
        <v>336</v>
      </c>
      <c r="O5">
        <v>4</v>
      </c>
      <c r="Q5">
        <v>4</v>
      </c>
      <c r="S5" s="8"/>
      <c r="T5" s="10"/>
    </row>
    <row r="6" spans="1:20">
      <c r="C6" s="3"/>
      <c r="F6" s="12">
        <v>9</v>
      </c>
      <c r="G6" t="s">
        <v>336</v>
      </c>
      <c r="H6" s="7">
        <f t="shared" si="0"/>
        <v>4</v>
      </c>
      <c r="I6" s="3">
        <v>40523.921863425923</v>
      </c>
      <c r="J6" s="8" t="s">
        <v>862</v>
      </c>
      <c r="K6" s="4">
        <f t="shared" si="1"/>
        <v>2</v>
      </c>
      <c r="L6" s="4">
        <v>2</v>
      </c>
      <c r="M6" s="4">
        <v>2</v>
      </c>
      <c r="N6" s="2" t="s">
        <v>288</v>
      </c>
      <c r="O6">
        <v>5</v>
      </c>
      <c r="Q6">
        <v>4</v>
      </c>
      <c r="S6" s="8"/>
      <c r="T6" s="10"/>
    </row>
    <row r="7" spans="1:20">
      <c r="C7" s="3"/>
      <c r="F7" s="12">
        <v>4</v>
      </c>
      <c r="G7" s="2" t="s">
        <v>288</v>
      </c>
      <c r="H7" s="7">
        <f t="shared" si="0"/>
        <v>5</v>
      </c>
      <c r="I7" s="3">
        <v>40519.638553240744</v>
      </c>
      <c r="J7" s="8" t="s">
        <v>1343</v>
      </c>
      <c r="K7" s="4">
        <f t="shared" si="1"/>
        <v>1</v>
      </c>
      <c r="L7" s="4">
        <v>17</v>
      </c>
      <c r="M7" s="4">
        <v>1</v>
      </c>
      <c r="N7" t="s">
        <v>300</v>
      </c>
      <c r="O7">
        <v>6</v>
      </c>
      <c r="Q7">
        <v>5</v>
      </c>
      <c r="S7" s="8"/>
      <c r="T7" s="10"/>
    </row>
    <row r="8" spans="1:20">
      <c r="C8" s="3"/>
      <c r="F8" s="12">
        <v>5</v>
      </c>
      <c r="G8" t="s">
        <v>288</v>
      </c>
      <c r="H8" s="7">
        <f t="shared" si="0"/>
        <v>5</v>
      </c>
      <c r="I8" s="3">
        <v>40522.390347222223</v>
      </c>
      <c r="J8" s="8" t="s">
        <v>551</v>
      </c>
      <c r="K8" s="4">
        <f t="shared" si="1"/>
        <v>2</v>
      </c>
      <c r="L8" s="4">
        <v>11</v>
      </c>
      <c r="M8" s="4">
        <v>2</v>
      </c>
      <c r="N8" t="s">
        <v>289</v>
      </c>
      <c r="O8">
        <v>7</v>
      </c>
      <c r="Q8">
        <v>5</v>
      </c>
      <c r="S8" s="8"/>
      <c r="T8" s="10"/>
    </row>
    <row r="9" spans="1:20">
      <c r="C9" s="3"/>
      <c r="F9" s="12">
        <v>8</v>
      </c>
      <c r="G9" t="s">
        <v>288</v>
      </c>
      <c r="H9" s="7">
        <f t="shared" si="0"/>
        <v>5</v>
      </c>
      <c r="I9" s="3">
        <v>40523.504479166666</v>
      </c>
      <c r="J9" s="8" t="s">
        <v>861</v>
      </c>
      <c r="K9" s="4">
        <f t="shared" si="1"/>
        <v>3</v>
      </c>
      <c r="L9" s="4">
        <v>2</v>
      </c>
      <c r="M9" s="4">
        <v>3</v>
      </c>
      <c r="N9" t="s">
        <v>457</v>
      </c>
      <c r="O9">
        <v>8</v>
      </c>
      <c r="Q9">
        <v>5</v>
      </c>
      <c r="S9" s="8"/>
      <c r="T9" s="10"/>
    </row>
    <row r="10" spans="1:20">
      <c r="C10" s="3"/>
      <c r="D10" s="1"/>
      <c r="F10" s="12">
        <v>2</v>
      </c>
      <c r="G10" t="s">
        <v>300</v>
      </c>
      <c r="H10" s="7">
        <f t="shared" si="0"/>
        <v>6</v>
      </c>
      <c r="I10" s="3">
        <v>40518.891203703701</v>
      </c>
      <c r="J10" s="8" t="s">
        <v>407</v>
      </c>
      <c r="K10" s="4">
        <f t="shared" si="1"/>
        <v>1</v>
      </c>
      <c r="L10" s="4">
        <v>3</v>
      </c>
      <c r="M10" s="4">
        <v>1</v>
      </c>
      <c r="Q10">
        <v>6</v>
      </c>
      <c r="S10" s="8"/>
      <c r="T10" s="10"/>
    </row>
    <row r="11" spans="1:20">
      <c r="C11" s="3"/>
      <c r="F11" s="12">
        <v>11</v>
      </c>
      <c r="G11" t="s">
        <v>289</v>
      </c>
      <c r="H11" s="7">
        <f t="shared" si="0"/>
        <v>7</v>
      </c>
      <c r="I11" s="3">
        <v>40524.062430555554</v>
      </c>
      <c r="J11" s="8" t="s">
        <v>459</v>
      </c>
      <c r="K11" s="4">
        <f t="shared" si="1"/>
        <v>1</v>
      </c>
      <c r="L11" s="4">
        <v>4</v>
      </c>
      <c r="M11" s="4">
        <v>1</v>
      </c>
      <c r="Q11">
        <v>7</v>
      </c>
      <c r="S11" s="8"/>
    </row>
    <row r="12" spans="1:20">
      <c r="C12" s="3"/>
      <c r="F12" s="12">
        <v>10</v>
      </c>
      <c r="G12" t="s">
        <v>457</v>
      </c>
      <c r="H12" s="7">
        <f t="shared" si="0"/>
        <v>8</v>
      </c>
      <c r="I12" s="3">
        <v>40444.905590277776</v>
      </c>
      <c r="J12" s="8" t="s">
        <v>458</v>
      </c>
      <c r="K12" s="4">
        <f t="shared" si="1"/>
        <v>1</v>
      </c>
      <c r="L12" s="4">
        <v>2</v>
      </c>
      <c r="M12" s="4">
        <v>1</v>
      </c>
      <c r="Q12">
        <v>8</v>
      </c>
      <c r="S12" s="8"/>
    </row>
    <row r="13" spans="1:20">
      <c r="C13" s="3"/>
      <c r="G13" s="2"/>
      <c r="H13" s="7"/>
      <c r="I13" s="3"/>
      <c r="J13" s="8" t="s">
        <v>1874</v>
      </c>
      <c r="L13" s="16">
        <f>AVERAGE(L2:L12)</f>
        <v>4.4545454545454541</v>
      </c>
      <c r="S13" s="8"/>
    </row>
    <row r="14" spans="1:20">
      <c r="C14" s="3"/>
      <c r="D14" s="1"/>
      <c r="H14" s="7"/>
      <c r="I14" s="3"/>
      <c r="S14" s="8"/>
      <c r="T14" s="10"/>
    </row>
    <row r="15" spans="1:20">
      <c r="C15" s="3"/>
      <c r="G15"/>
      <c r="H15" s="7"/>
      <c r="I15" s="3"/>
      <c r="S15" s="8"/>
      <c r="T15" s="10"/>
    </row>
    <row r="16" spans="1:20">
      <c r="C16" s="3"/>
      <c r="G16"/>
      <c r="H16" s="7"/>
      <c r="I16" s="3"/>
      <c r="S16" s="8"/>
      <c r="T16" s="10"/>
    </row>
    <row r="17" spans="3:24">
      <c r="C17" s="3"/>
      <c r="G17" s="2"/>
      <c r="H17" s="7"/>
      <c r="I17" s="3"/>
      <c r="S17" s="8"/>
      <c r="T17" s="10"/>
    </row>
    <row r="18" spans="3:24">
      <c r="C18" s="3"/>
      <c r="G18"/>
      <c r="H18" s="7"/>
      <c r="I18" s="3"/>
      <c r="S18" s="8"/>
      <c r="T18" s="10"/>
    </row>
    <row r="19" spans="3:24">
      <c r="C19" s="3"/>
      <c r="D19" s="1"/>
      <c r="G19"/>
      <c r="H19" s="7"/>
      <c r="I19" s="3"/>
      <c r="S19" s="8"/>
      <c r="T19" s="10"/>
      <c r="W19" s="12">
        <f>T30/8</f>
        <v>1.375</v>
      </c>
      <c r="X19" t="s">
        <v>1865</v>
      </c>
    </row>
    <row r="20" spans="3:24">
      <c r="C20" s="3"/>
      <c r="G20"/>
      <c r="H20" s="7"/>
      <c r="I20" s="3"/>
      <c r="S20" s="25" t="s">
        <v>1872</v>
      </c>
    </row>
    <row r="21" spans="3:24">
      <c r="C21" s="3"/>
      <c r="G21" s="2"/>
      <c r="H21" s="7"/>
      <c r="I21" s="3"/>
      <c r="S21" s="25" t="s">
        <v>1870</v>
      </c>
      <c r="T21" t="s">
        <v>1869</v>
      </c>
    </row>
    <row r="22" spans="3:24">
      <c r="C22" s="3"/>
      <c r="G22" s="2"/>
      <c r="H22" s="7"/>
      <c r="I22" s="3"/>
      <c r="S22" s="26">
        <v>1</v>
      </c>
      <c r="T22" s="4">
        <v>1</v>
      </c>
    </row>
    <row r="23" spans="3:24">
      <c r="C23" s="3"/>
      <c r="H23" s="7"/>
      <c r="I23" s="3"/>
      <c r="S23" s="26">
        <v>2</v>
      </c>
      <c r="T23" s="4">
        <v>1</v>
      </c>
    </row>
    <row r="24" spans="3:24">
      <c r="C24" s="3"/>
      <c r="G24" s="2"/>
      <c r="H24" s="7"/>
      <c r="I24" s="3"/>
      <c r="S24" s="26">
        <v>3</v>
      </c>
      <c r="T24" s="4">
        <v>1</v>
      </c>
    </row>
    <row r="25" spans="3:24">
      <c r="C25" s="3"/>
      <c r="G25"/>
      <c r="H25" s="7"/>
      <c r="I25" s="3"/>
      <c r="S25" s="26">
        <v>4</v>
      </c>
      <c r="T25" s="4">
        <v>2</v>
      </c>
    </row>
    <row r="26" spans="3:24">
      <c r="C26" s="3"/>
      <c r="G26"/>
      <c r="H26" s="7"/>
      <c r="I26" s="3"/>
      <c r="S26" s="26">
        <v>5</v>
      </c>
      <c r="T26" s="4">
        <v>3</v>
      </c>
    </row>
    <row r="27" spans="3:24">
      <c r="C27" s="3"/>
      <c r="G27" s="2"/>
      <c r="H27" s="7"/>
      <c r="I27" s="3"/>
      <c r="S27" s="26">
        <v>6</v>
      </c>
      <c r="T27" s="4">
        <v>1</v>
      </c>
    </row>
    <row r="28" spans="3:24">
      <c r="C28" s="3"/>
      <c r="G28" s="2"/>
      <c r="H28" s="7"/>
      <c r="I28" s="3"/>
      <c r="S28" s="26">
        <v>7</v>
      </c>
      <c r="T28" s="4">
        <v>1</v>
      </c>
    </row>
    <row r="29" spans="3:24">
      <c r="C29" s="3"/>
      <c r="G29" s="2"/>
      <c r="H29" s="7"/>
      <c r="I29" s="3"/>
      <c r="S29" s="26">
        <v>8</v>
      </c>
      <c r="T29" s="4">
        <v>1</v>
      </c>
    </row>
    <row r="30" spans="3:24">
      <c r="C30" s="3"/>
      <c r="G30"/>
      <c r="H30" s="7"/>
      <c r="I30" s="3"/>
      <c r="S30" s="26" t="s">
        <v>1871</v>
      </c>
      <c r="T30" s="4">
        <v>11</v>
      </c>
    </row>
    <row r="31" spans="3:24">
      <c r="C31" s="3"/>
      <c r="G31" s="2"/>
      <c r="H31" s="7"/>
      <c r="I31" s="3"/>
      <c r="S31"/>
    </row>
    <row r="32" spans="3:24">
      <c r="C32" s="3"/>
      <c r="G32" s="40"/>
      <c r="H32" s="43"/>
      <c r="I32" s="3"/>
      <c r="N32" s="39"/>
      <c r="S32"/>
    </row>
    <row r="33" spans="3:20">
      <c r="C33" s="3"/>
      <c r="G33" s="42"/>
      <c r="H33" s="43"/>
      <c r="I33" s="3"/>
      <c r="N33" s="40"/>
      <c r="S33"/>
    </row>
    <row r="34" spans="3:20">
      <c r="C34" s="3"/>
      <c r="G34" s="40"/>
      <c r="H34" s="43"/>
      <c r="I34" s="3"/>
      <c r="N34" s="39"/>
      <c r="S34" s="8"/>
      <c r="T34" s="10"/>
    </row>
    <row r="35" spans="3:20">
      <c r="C35" s="3"/>
      <c r="G35" s="40"/>
      <c r="H35" s="43"/>
      <c r="I35" s="3"/>
      <c r="N35" s="40"/>
      <c r="S35" s="8"/>
      <c r="T35" s="10"/>
    </row>
    <row r="36" spans="3:20">
      <c r="C36" s="3"/>
      <c r="G36" s="40"/>
      <c r="H36" s="43"/>
      <c r="I36" s="3"/>
      <c r="N36" s="41"/>
      <c r="S36" s="8"/>
      <c r="T36" s="10"/>
    </row>
    <row r="37" spans="3:20">
      <c r="C37" s="3"/>
      <c r="G37" s="40"/>
      <c r="H37" s="43"/>
      <c r="I37" s="3"/>
      <c r="N37" s="39"/>
      <c r="S37" s="8"/>
      <c r="T37" s="10"/>
    </row>
    <row r="38" spans="3:20">
      <c r="C38" s="3"/>
      <c r="G38" s="41"/>
      <c r="H38" s="43"/>
      <c r="I38" s="3"/>
      <c r="N38" s="41"/>
      <c r="S38" s="8"/>
      <c r="T38" s="10"/>
    </row>
    <row r="39" spans="3:20">
      <c r="C39" s="3"/>
      <c r="G39" s="42"/>
      <c r="H39" s="43"/>
      <c r="I39" s="3"/>
      <c r="N39" s="40"/>
      <c r="S39" s="8"/>
      <c r="T39" s="10"/>
    </row>
    <row r="40" spans="3:20">
      <c r="C40" s="3"/>
      <c r="G40" s="39"/>
      <c r="H40" s="43"/>
      <c r="I40" s="3"/>
      <c r="N40" s="40"/>
      <c r="S40" s="8"/>
      <c r="T40" s="10"/>
    </row>
    <row r="41" spans="3:20">
      <c r="C41" s="3"/>
      <c r="G41" s="40"/>
      <c r="H41" s="43"/>
      <c r="I41" s="3"/>
      <c r="N41" s="40"/>
      <c r="S41" s="8"/>
      <c r="T41" s="10"/>
    </row>
    <row r="42" spans="3:20">
      <c r="C42" s="3"/>
      <c r="G42" s="40"/>
      <c r="H42" s="43"/>
      <c r="I42" s="3"/>
      <c r="N42" s="40"/>
      <c r="S42" s="8"/>
      <c r="T42" s="10"/>
    </row>
    <row r="43" spans="3:20">
      <c r="C43" s="3"/>
      <c r="G43" s="40"/>
      <c r="H43" s="43"/>
      <c r="I43" s="3"/>
      <c r="N43" s="42"/>
      <c r="S43" s="8"/>
      <c r="T43" s="10"/>
    </row>
    <row r="44" spans="3:20">
      <c r="C44" s="3"/>
      <c r="G44" s="39"/>
      <c r="H44" s="43"/>
      <c r="I44" s="3"/>
      <c r="S44" s="8"/>
      <c r="T44" s="10"/>
    </row>
    <row r="45" spans="3:20">
      <c r="C45" s="3"/>
      <c r="G45" s="39"/>
      <c r="H45" s="43"/>
      <c r="I45" s="3"/>
      <c r="S45" s="8"/>
      <c r="T45" s="10"/>
    </row>
    <row r="46" spans="3:20">
      <c r="C46" s="3"/>
      <c r="G46" s="39"/>
      <c r="H46" s="43"/>
      <c r="I46" s="3"/>
      <c r="S46" s="8"/>
      <c r="T46" s="10"/>
    </row>
    <row r="47" spans="3:20">
      <c r="C47" s="3"/>
      <c r="G47" s="39"/>
      <c r="H47" s="43"/>
      <c r="I47" s="3"/>
      <c r="S47" s="8"/>
      <c r="T47" s="10"/>
    </row>
    <row r="48" spans="3:20">
      <c r="C48" s="3"/>
      <c r="G48" s="41"/>
      <c r="H48" s="43"/>
      <c r="I48" s="3"/>
      <c r="S48" s="8"/>
      <c r="T48" s="10"/>
    </row>
    <row r="49" spans="3:20">
      <c r="C49" s="3"/>
      <c r="G49" s="41"/>
      <c r="H49" s="43"/>
      <c r="I49" s="3"/>
      <c r="S49" s="8"/>
      <c r="T49" s="10"/>
    </row>
    <row r="50" spans="3:20">
      <c r="C50" s="3"/>
      <c r="G50" s="42"/>
      <c r="H50" s="43"/>
      <c r="I50" s="3"/>
      <c r="S50" s="8"/>
      <c r="T50" s="10"/>
    </row>
    <row r="51" spans="3:20">
      <c r="C51" s="3"/>
      <c r="G51" s="40"/>
      <c r="H51" s="43"/>
      <c r="I51" s="3"/>
      <c r="S51" s="8"/>
      <c r="T51" s="10"/>
    </row>
    <row r="52" spans="3:20">
      <c r="C52" s="3"/>
      <c r="G52" s="40"/>
      <c r="H52" s="43"/>
      <c r="I52" s="3"/>
      <c r="S52" s="8"/>
      <c r="T52" s="10"/>
    </row>
    <row r="53" spans="3:20">
      <c r="C53" s="3"/>
      <c r="G53" s="40"/>
      <c r="H53" s="43"/>
      <c r="I53" s="3"/>
      <c r="S53" s="8"/>
      <c r="T53" s="10"/>
    </row>
    <row r="54" spans="3:20">
      <c r="C54" s="3"/>
      <c r="G54" s="40"/>
      <c r="H54" s="43"/>
      <c r="I54" s="3"/>
      <c r="S54" s="8"/>
      <c r="T54" s="10"/>
    </row>
    <row r="55" spans="3:20">
      <c r="C55" s="3"/>
      <c r="G55" s="40"/>
      <c r="H55" s="43"/>
      <c r="I55" s="3"/>
      <c r="S55" s="8"/>
      <c r="T55" s="10"/>
    </row>
    <row r="56" spans="3:20">
      <c r="C56" s="3"/>
      <c r="D56" s="1"/>
      <c r="G56" s="40"/>
      <c r="H56" s="43"/>
      <c r="I56" s="3"/>
      <c r="S56" s="8"/>
      <c r="T56" s="10"/>
    </row>
    <row r="57" spans="3:20">
      <c r="C57" s="3"/>
      <c r="G57" s="40"/>
      <c r="H57" s="43"/>
      <c r="I57" s="3"/>
      <c r="S57" s="8"/>
      <c r="T57" s="10"/>
    </row>
    <row r="58" spans="3:20">
      <c r="C58" s="3"/>
      <c r="G58" s="40"/>
      <c r="H58" s="43"/>
      <c r="I58" s="3"/>
      <c r="S58" s="8"/>
      <c r="T58" s="10"/>
    </row>
    <row r="59" spans="3:20">
      <c r="C59" s="3"/>
      <c r="G59" s="40"/>
      <c r="H59" s="43"/>
      <c r="I59" s="3"/>
      <c r="S59" s="8"/>
      <c r="T59" s="10"/>
    </row>
    <row r="60" spans="3:20">
      <c r="C60" s="3"/>
      <c r="G60" s="40"/>
      <c r="H60" s="43"/>
      <c r="I60" s="3"/>
      <c r="S60" s="8"/>
      <c r="T60" s="10"/>
    </row>
    <row r="61" spans="3:20">
      <c r="C61" s="3"/>
      <c r="G61" s="40"/>
      <c r="H61" s="43"/>
      <c r="I61" s="3"/>
      <c r="S61" s="8"/>
      <c r="T61" s="10"/>
    </row>
    <row r="62" spans="3:20">
      <c r="C62" s="3"/>
      <c r="G62" s="40"/>
      <c r="H62" s="43"/>
      <c r="I62" s="3"/>
      <c r="S62" s="8"/>
      <c r="T62" s="10"/>
    </row>
    <row r="63" spans="3:20">
      <c r="C63" s="3"/>
      <c r="G63" s="40"/>
      <c r="H63" s="43"/>
      <c r="I63" s="3"/>
      <c r="S63" s="8"/>
      <c r="T63" s="10"/>
    </row>
    <row r="64" spans="3:20">
      <c r="C64" s="3"/>
      <c r="G64" s="40"/>
      <c r="H64" s="43"/>
      <c r="I64" s="3"/>
      <c r="S64" s="8"/>
      <c r="T64" s="10"/>
    </row>
    <row r="65" spans="3:20">
      <c r="C65" s="3"/>
      <c r="G65" s="40"/>
      <c r="H65" s="43"/>
      <c r="I65" s="3"/>
      <c r="S65" s="8"/>
      <c r="T65" s="10"/>
    </row>
    <row r="66" spans="3:20">
      <c r="C66" s="3"/>
      <c r="G66" s="40"/>
      <c r="H66" s="43"/>
      <c r="I66" s="3"/>
      <c r="S66" s="8"/>
      <c r="T66" s="10"/>
    </row>
    <row r="67" spans="3:20">
      <c r="C67" s="3"/>
      <c r="G67" s="40"/>
      <c r="H67" s="43"/>
      <c r="I67" s="3"/>
      <c r="S67" s="8"/>
      <c r="T67" s="10"/>
    </row>
    <row r="68" spans="3:20">
      <c r="C68" s="3"/>
      <c r="G68" s="40"/>
      <c r="H68" s="43"/>
      <c r="I68" s="3"/>
      <c r="S68" s="8"/>
      <c r="T68" s="10"/>
    </row>
    <row r="69" spans="3:20">
      <c r="C69" s="3"/>
      <c r="G69" s="40"/>
      <c r="H69" s="43"/>
      <c r="I69" s="3"/>
      <c r="S69" s="8"/>
      <c r="T69" s="10"/>
    </row>
    <row r="70" spans="3:20">
      <c r="C70" s="3"/>
      <c r="G70" s="40"/>
      <c r="H70" s="43"/>
      <c r="I70" s="3"/>
      <c r="S70" s="8"/>
      <c r="T70" s="10"/>
    </row>
    <row r="71" spans="3:20">
      <c r="C71" s="3"/>
      <c r="G71" s="40"/>
      <c r="H71" s="43"/>
      <c r="I71" s="3"/>
      <c r="S71" s="8"/>
      <c r="T71" s="10"/>
    </row>
    <row r="72" spans="3:20">
      <c r="C72" s="3"/>
      <c r="G72" s="40"/>
      <c r="H72" s="43"/>
      <c r="I72" s="3"/>
      <c r="S72" s="8"/>
      <c r="T72" s="10"/>
    </row>
    <row r="73" spans="3:20">
      <c r="C73" s="3"/>
      <c r="G73" s="40"/>
      <c r="H73" s="43"/>
      <c r="I73" s="3"/>
      <c r="S73" s="8"/>
      <c r="T73" s="10"/>
    </row>
    <row r="74" spans="3:20">
      <c r="C74" s="3"/>
      <c r="G74" s="40"/>
      <c r="H74" s="43"/>
      <c r="I74" s="3"/>
      <c r="S74" s="8"/>
      <c r="T74" s="10"/>
    </row>
    <row r="75" spans="3:20">
      <c r="C75" s="3"/>
      <c r="G75" s="40"/>
      <c r="H75" s="43"/>
      <c r="I75" s="3"/>
      <c r="S75" s="8"/>
    </row>
    <row r="76" spans="3:20">
      <c r="C76" s="3"/>
      <c r="G76" s="40"/>
      <c r="H76" s="43"/>
      <c r="I76" s="3"/>
      <c r="S76" s="8"/>
      <c r="T76" s="10"/>
    </row>
    <row r="77" spans="3:20">
      <c r="C77" s="3"/>
      <c r="G77" s="40"/>
      <c r="H77" s="43"/>
      <c r="I77" s="3"/>
      <c r="S77" s="8"/>
      <c r="T77" s="10"/>
    </row>
    <row r="78" spans="3:20">
      <c r="C78" s="3"/>
      <c r="G78" s="39"/>
      <c r="H78" s="43"/>
      <c r="I78" s="3"/>
      <c r="S78" s="8"/>
      <c r="T78" s="10"/>
    </row>
    <row r="79" spans="3:20">
      <c r="C79" s="3"/>
      <c r="G79" s="40"/>
      <c r="H79" s="43"/>
      <c r="I79" s="3"/>
      <c r="S79" s="8"/>
      <c r="T79" s="10"/>
    </row>
    <row r="80" spans="3:20">
      <c r="C80" s="3"/>
      <c r="G80" s="39"/>
      <c r="H80" s="43"/>
      <c r="I80" s="3"/>
      <c r="S80" s="8"/>
      <c r="T80" s="10"/>
    </row>
    <row r="81" spans="3:20">
      <c r="C81" s="3"/>
      <c r="G81" s="40"/>
      <c r="H81" s="43"/>
      <c r="I81" s="3"/>
      <c r="S81" s="8"/>
      <c r="T81" s="10"/>
    </row>
    <row r="82" spans="3:20">
      <c r="C82" s="3"/>
      <c r="D82" s="1"/>
      <c r="G82" s="39"/>
      <c r="H82" s="43"/>
      <c r="I82" s="3"/>
      <c r="S82" s="8"/>
      <c r="T82" s="10"/>
    </row>
    <row r="83" spans="3:20">
      <c r="C83" s="3"/>
      <c r="G83" s="40"/>
      <c r="H83" s="43"/>
      <c r="I83" s="3"/>
      <c r="S83" s="8"/>
      <c r="T83" s="10"/>
    </row>
    <row r="84" spans="3:20">
      <c r="C84" s="3"/>
      <c r="G84" s="39"/>
      <c r="H84" s="43"/>
      <c r="I84" s="3"/>
      <c r="S84" s="8"/>
      <c r="T84" s="10"/>
    </row>
    <row r="85" spans="3:20">
      <c r="C85" s="3"/>
      <c r="G85" s="39"/>
      <c r="H85" s="43"/>
      <c r="I85" s="3"/>
      <c r="S85" s="8"/>
      <c r="T85" s="10"/>
    </row>
    <row r="86" spans="3:20">
      <c r="C86" s="3"/>
      <c r="G86" s="40"/>
      <c r="H86" s="43"/>
      <c r="I86" s="3"/>
      <c r="S86" s="8"/>
      <c r="T86" s="10"/>
    </row>
    <row r="87" spans="3:20">
      <c r="C87" s="3"/>
      <c r="G87" s="40"/>
      <c r="H87" s="43"/>
      <c r="I87" s="3"/>
      <c r="S87" s="8"/>
      <c r="T87" s="10"/>
    </row>
    <row r="88" spans="3:20">
      <c r="C88" s="3"/>
      <c r="G88" s="40"/>
      <c r="H88" s="43"/>
      <c r="I88" s="3"/>
      <c r="S88" s="8"/>
      <c r="T88" s="10"/>
    </row>
    <row r="89" spans="3:20">
      <c r="C89" s="3"/>
      <c r="G89" s="40"/>
      <c r="H89" s="43"/>
      <c r="I89" s="3"/>
      <c r="S89" s="8"/>
      <c r="T89" s="10"/>
    </row>
    <row r="90" spans="3:20">
      <c r="C90" s="3"/>
      <c r="G90" s="40"/>
      <c r="H90" s="43"/>
      <c r="I90" s="3"/>
      <c r="S90" s="8"/>
      <c r="T90" s="10"/>
    </row>
    <row r="91" spans="3:20">
      <c r="C91" s="3"/>
      <c r="G91" s="40"/>
      <c r="H91" s="43"/>
      <c r="I91" s="3"/>
      <c r="S91" s="8"/>
      <c r="T91" s="10"/>
    </row>
    <row r="92" spans="3:20">
      <c r="C92" s="3"/>
      <c r="G92" s="39"/>
      <c r="H92" s="43"/>
      <c r="I92" s="3"/>
      <c r="S92" s="8"/>
      <c r="T92" s="10"/>
    </row>
    <row r="93" spans="3:20">
      <c r="C93" s="3"/>
      <c r="G93" s="40"/>
      <c r="H93" s="43"/>
      <c r="I93" s="3"/>
      <c r="S93" s="8"/>
      <c r="T93" s="10"/>
    </row>
    <row r="94" spans="3:20">
      <c r="C94" s="3"/>
      <c r="G94" s="40"/>
      <c r="H94" s="43"/>
      <c r="I94" s="3"/>
      <c r="S94" s="8"/>
      <c r="T94" s="10"/>
    </row>
    <row r="95" spans="3:20">
      <c r="C95" s="3"/>
      <c r="G95" s="40"/>
      <c r="H95" s="43"/>
      <c r="I95" s="3"/>
      <c r="S95" s="8"/>
      <c r="T95" s="10"/>
    </row>
    <row r="96" spans="3:20">
      <c r="C96" s="3"/>
      <c r="G96" s="40"/>
      <c r="H96" s="43"/>
      <c r="I96" s="3"/>
      <c r="S96" s="8"/>
      <c r="T96" s="10"/>
    </row>
    <row r="97" spans="3:20">
      <c r="C97" s="3"/>
      <c r="G97" s="39"/>
      <c r="H97" s="43"/>
      <c r="I97" s="3"/>
      <c r="S97" s="8"/>
      <c r="T97" s="10"/>
    </row>
    <row r="98" spans="3:20">
      <c r="C98" s="3"/>
      <c r="G98" s="40"/>
      <c r="H98" s="43"/>
      <c r="I98" s="3"/>
      <c r="S98" s="8"/>
      <c r="T98" s="10"/>
    </row>
    <row r="99" spans="3:20">
      <c r="C99" s="3"/>
      <c r="G99" s="40"/>
      <c r="H99" s="43"/>
      <c r="I99" s="3"/>
      <c r="S99" s="8"/>
      <c r="T99" s="10"/>
    </row>
    <row r="100" spans="3:20">
      <c r="C100" s="3"/>
      <c r="G100" s="40"/>
      <c r="H100" s="43"/>
      <c r="I100" s="3"/>
      <c r="S100" s="8"/>
      <c r="T100" s="10"/>
    </row>
    <row r="101" spans="3:20">
      <c r="C101" s="3"/>
      <c r="G101" s="39"/>
      <c r="H101" s="43"/>
      <c r="I101" s="3"/>
      <c r="S101" s="8"/>
      <c r="T101" s="10"/>
    </row>
    <row r="102" spans="3:20">
      <c r="C102" s="3"/>
      <c r="G102" s="40"/>
      <c r="H102" s="43"/>
      <c r="I102" s="3"/>
      <c r="S102" s="8"/>
      <c r="T102" s="10"/>
    </row>
    <row r="103" spans="3:20">
      <c r="C103" s="3"/>
      <c r="G103" s="40"/>
      <c r="H103" s="43"/>
      <c r="I103" s="3"/>
      <c r="S103" s="8"/>
      <c r="T103" s="10"/>
    </row>
    <row r="104" spans="3:20">
      <c r="C104" s="3"/>
      <c r="G104" s="39"/>
      <c r="H104" s="43"/>
      <c r="I104" s="3"/>
      <c r="S104" s="8"/>
      <c r="T104" s="10"/>
    </row>
    <row r="105" spans="3:20">
      <c r="C105" s="3"/>
      <c r="G105" s="40"/>
      <c r="H105" s="43"/>
      <c r="I105" s="3"/>
      <c r="S105" s="8"/>
      <c r="T105" s="10"/>
    </row>
    <row r="106" spans="3:20">
      <c r="C106" s="3"/>
      <c r="G106" s="40"/>
      <c r="H106" s="43"/>
      <c r="I106" s="3"/>
      <c r="S106" s="8"/>
      <c r="T106" s="10"/>
    </row>
    <row r="107" spans="3:20">
      <c r="C107" s="3"/>
      <c r="G107" s="39"/>
      <c r="H107" s="43"/>
      <c r="I107" s="3"/>
      <c r="S107" s="8"/>
      <c r="T107" s="10"/>
    </row>
    <row r="108" spans="3:20">
      <c r="C108" s="3"/>
      <c r="G108" s="39"/>
      <c r="H108" s="43"/>
      <c r="I108" s="3"/>
      <c r="S108" s="8"/>
      <c r="T108" s="10"/>
    </row>
    <row r="109" spans="3:20">
      <c r="C109" s="3"/>
      <c r="G109" s="40"/>
      <c r="H109" s="43"/>
      <c r="I109" s="3"/>
      <c r="S109" s="8"/>
      <c r="T109" s="10"/>
    </row>
    <row r="110" spans="3:20">
      <c r="C110" s="3"/>
      <c r="G110" s="39"/>
      <c r="H110" s="43"/>
      <c r="I110" s="3"/>
      <c r="S110" s="8"/>
      <c r="T110" s="10"/>
    </row>
    <row r="111" spans="3:20">
      <c r="C111" s="3"/>
      <c r="G111" s="40"/>
      <c r="H111" s="43"/>
      <c r="I111" s="3"/>
      <c r="S111" s="8"/>
      <c r="T111" s="10"/>
    </row>
    <row r="112" spans="3:20">
      <c r="C112" s="3"/>
      <c r="G112" s="39"/>
      <c r="H112" s="43"/>
      <c r="I112" s="3"/>
      <c r="S112" s="8"/>
      <c r="T112" s="10"/>
    </row>
    <row r="113" spans="3:20">
      <c r="C113" s="3"/>
      <c r="G113" s="39"/>
      <c r="H113" s="43"/>
      <c r="I113" s="3"/>
      <c r="S113" s="8"/>
      <c r="T113" s="10"/>
    </row>
    <row r="114" spans="3:20">
      <c r="C114" s="3"/>
      <c r="G114" s="40"/>
      <c r="H114" s="43"/>
      <c r="I114" s="3"/>
      <c r="S114" s="8"/>
      <c r="T114" s="10"/>
    </row>
    <row r="115" spans="3:20">
      <c r="C115" s="3"/>
      <c r="G115" s="40"/>
      <c r="H115" s="43"/>
      <c r="I115" s="3"/>
      <c r="S115" s="8"/>
      <c r="T115" s="10"/>
    </row>
    <row r="116" spans="3:20">
      <c r="C116" s="3"/>
      <c r="G116" s="39"/>
      <c r="H116" s="43"/>
      <c r="I116" s="3"/>
      <c r="S116" s="8"/>
      <c r="T116" s="10"/>
    </row>
    <row r="117" spans="3:20">
      <c r="C117" s="3"/>
      <c r="G117" s="40"/>
      <c r="H117" s="43"/>
      <c r="I117" s="3"/>
      <c r="S117" s="8"/>
      <c r="T117" s="10"/>
    </row>
    <row r="118" spans="3:20">
      <c r="C118" s="3"/>
      <c r="G118" s="40"/>
      <c r="H118" s="43"/>
      <c r="I118" s="3"/>
      <c r="S118" s="8"/>
      <c r="T118" s="10"/>
    </row>
    <row r="119" spans="3:20">
      <c r="C119" s="3"/>
      <c r="G119" s="39"/>
      <c r="H119" s="43"/>
      <c r="I119" s="3"/>
      <c r="S119" s="8"/>
      <c r="T119" s="10"/>
    </row>
    <row r="120" spans="3:20">
      <c r="C120" s="3"/>
      <c r="G120" s="39"/>
      <c r="H120" s="43"/>
      <c r="I120" s="3"/>
      <c r="S120" s="8"/>
      <c r="T120" s="10"/>
    </row>
    <row r="121" spans="3:20">
      <c r="C121" s="3"/>
      <c r="G121" s="40"/>
      <c r="H121" s="43"/>
      <c r="I121" s="3"/>
      <c r="S121" s="8"/>
      <c r="T121" s="10"/>
    </row>
    <row r="122" spans="3:20">
      <c r="C122" s="3"/>
      <c r="G122" s="39"/>
      <c r="H122" s="43"/>
      <c r="I122" s="3"/>
      <c r="S122" s="8"/>
      <c r="T122" s="10"/>
    </row>
    <row r="123" spans="3:20">
      <c r="C123" s="3"/>
      <c r="G123" s="40"/>
      <c r="H123" s="43"/>
      <c r="I123" s="3"/>
      <c r="S123" s="8"/>
      <c r="T123" s="10"/>
    </row>
    <row r="124" spans="3:20">
      <c r="C124" s="3"/>
      <c r="G124" s="39"/>
      <c r="H124" s="43"/>
      <c r="I124" s="3"/>
      <c r="S124" s="8"/>
      <c r="T124" s="10"/>
    </row>
    <row r="125" spans="3:20">
      <c r="C125" s="3"/>
      <c r="G125" s="42"/>
      <c r="H125" s="43"/>
      <c r="I125" s="3"/>
      <c r="S125" s="8"/>
      <c r="T125" s="10"/>
    </row>
    <row r="126" spans="3:20">
      <c r="C126" s="3"/>
      <c r="G126" s="42"/>
      <c r="H126" s="43"/>
      <c r="I126" s="3"/>
      <c r="S126" s="8"/>
      <c r="T126" s="10"/>
    </row>
    <row r="127" spans="3:20">
      <c r="C127" s="3"/>
      <c r="G127" s="41"/>
      <c r="H127" s="43"/>
      <c r="I127" s="3"/>
      <c r="S127" s="8"/>
      <c r="T127" s="10"/>
    </row>
    <row r="128" spans="3:20">
      <c r="C128" s="3"/>
      <c r="G128" s="40"/>
      <c r="H128" s="43"/>
      <c r="I128" s="3"/>
      <c r="S128" s="8"/>
      <c r="T128" s="10"/>
    </row>
    <row r="129" spans="3:20">
      <c r="C129" s="3"/>
      <c r="G129" s="40"/>
      <c r="H129" s="43"/>
      <c r="I129" s="3"/>
      <c r="S129" s="8"/>
      <c r="T129" s="10"/>
    </row>
    <row r="130" spans="3:20">
      <c r="C130" s="3"/>
      <c r="G130" s="39"/>
      <c r="H130" s="43"/>
      <c r="I130" s="3"/>
      <c r="S130" s="8"/>
      <c r="T130" s="10"/>
    </row>
    <row r="131" spans="3:20">
      <c r="C131" s="3"/>
      <c r="G131" s="40"/>
      <c r="H131" s="43"/>
      <c r="I131" s="3"/>
      <c r="S131" s="8"/>
      <c r="T131" s="10"/>
    </row>
    <row r="132" spans="3:20">
      <c r="C132" s="3"/>
      <c r="G132" s="40"/>
      <c r="H132" s="43"/>
      <c r="I132" s="3"/>
      <c r="S132" s="8"/>
      <c r="T132" s="10"/>
    </row>
    <row r="133" spans="3:20">
      <c r="C133" s="3"/>
      <c r="G133" s="40"/>
      <c r="H133" s="43"/>
      <c r="I133" s="3"/>
      <c r="S133" s="8"/>
      <c r="T133" s="10"/>
    </row>
    <row r="134" spans="3:20">
      <c r="C134" s="3"/>
      <c r="G134" s="40"/>
      <c r="H134" s="43"/>
      <c r="I134" s="3"/>
      <c r="S134" s="8"/>
      <c r="T134" s="10"/>
    </row>
    <row r="135" spans="3:20">
      <c r="C135" s="3"/>
      <c r="G135" s="40"/>
      <c r="H135" s="43"/>
      <c r="I135" s="3"/>
      <c r="S135" s="8"/>
      <c r="T135" s="10"/>
    </row>
    <row r="136" spans="3:20">
      <c r="C136" s="3"/>
      <c r="G136" s="39"/>
      <c r="H136" s="43"/>
      <c r="I136" s="3"/>
      <c r="S136" s="8"/>
      <c r="T136" s="10"/>
    </row>
    <row r="137" spans="3:20">
      <c r="C137" s="3"/>
      <c r="G137" s="40"/>
      <c r="H137" s="43"/>
      <c r="I137" s="3"/>
      <c r="S137" s="8"/>
      <c r="T137" s="10"/>
    </row>
    <row r="138" spans="3:20">
      <c r="C138" s="3"/>
      <c r="G138" s="39"/>
      <c r="H138" s="43"/>
      <c r="I138" s="3"/>
      <c r="S138" s="8"/>
      <c r="T138" s="10"/>
    </row>
    <row r="139" spans="3:20">
      <c r="C139" s="3"/>
      <c r="G139" s="39"/>
      <c r="H139" s="43"/>
      <c r="I139" s="3"/>
      <c r="S139" s="8"/>
      <c r="T139" s="10"/>
    </row>
    <row r="140" spans="3:20">
      <c r="C140" s="3"/>
      <c r="G140" s="40"/>
      <c r="H140" s="43"/>
      <c r="I140" s="3"/>
      <c r="S140" s="8"/>
      <c r="T140" s="10"/>
    </row>
    <row r="141" spans="3:20">
      <c r="C141" s="3"/>
      <c r="G141" s="40"/>
      <c r="H141" s="43"/>
      <c r="I141" s="3"/>
      <c r="S141" s="8"/>
      <c r="T141" s="10"/>
    </row>
    <row r="142" spans="3:20">
      <c r="C142" s="3"/>
      <c r="G142" s="40"/>
      <c r="H142" s="43"/>
      <c r="I142" s="3"/>
      <c r="S142" s="8"/>
      <c r="T142" s="10"/>
    </row>
    <row r="143" spans="3:20">
      <c r="C143" s="3"/>
      <c r="G143" s="40"/>
      <c r="H143" s="43"/>
      <c r="I143" s="3"/>
      <c r="S143" s="8"/>
      <c r="T143" s="10"/>
    </row>
    <row r="144" spans="3:20">
      <c r="C144" s="3"/>
      <c r="D144" s="1"/>
      <c r="G144" s="40"/>
      <c r="H144" s="43"/>
      <c r="I144" s="3"/>
      <c r="S144" s="8"/>
      <c r="T144" s="10"/>
    </row>
    <row r="145" spans="3:20">
      <c r="C145" s="3"/>
      <c r="G145" s="40"/>
      <c r="H145" s="43"/>
      <c r="I145" s="3"/>
      <c r="S145" s="8"/>
      <c r="T145" s="10"/>
    </row>
    <row r="146" spans="3:20">
      <c r="C146" s="3"/>
      <c r="G146" s="40"/>
      <c r="H146" s="43"/>
      <c r="I146" s="3"/>
      <c r="S146" s="8"/>
      <c r="T146" s="10"/>
    </row>
    <row r="147" spans="3:20">
      <c r="C147" s="3"/>
      <c r="G147" s="40"/>
      <c r="H147" s="43"/>
      <c r="I147" s="3"/>
      <c r="S147" s="8"/>
      <c r="T147" s="10"/>
    </row>
    <row r="148" spans="3:20">
      <c r="C148" s="3"/>
      <c r="G148" s="39"/>
      <c r="H148" s="43"/>
      <c r="I148" s="3"/>
      <c r="S148" s="8"/>
      <c r="T148" s="10"/>
    </row>
    <row r="149" spans="3:20">
      <c r="C149" s="3"/>
      <c r="G149" s="40"/>
      <c r="H149" s="43"/>
      <c r="I149" s="3"/>
      <c r="S149" s="8"/>
      <c r="T149" s="10"/>
    </row>
    <row r="150" spans="3:20">
      <c r="C150" s="3"/>
      <c r="G150" s="39"/>
      <c r="H150" s="43"/>
      <c r="I150" s="3"/>
      <c r="S150" s="8"/>
      <c r="T150" s="10"/>
    </row>
    <row r="151" spans="3:20">
      <c r="C151" s="3"/>
      <c r="G151" s="40"/>
      <c r="H151" s="43"/>
      <c r="I151" s="3"/>
      <c r="S151" s="8"/>
      <c r="T151" s="10"/>
    </row>
    <row r="152" spans="3:20">
      <c r="C152" s="3"/>
      <c r="G152" s="39"/>
      <c r="H152" s="43"/>
      <c r="I152" s="3"/>
      <c r="S152" s="8"/>
      <c r="T152" s="10"/>
    </row>
    <row r="153" spans="3:20">
      <c r="C153" s="3"/>
      <c r="G153" s="39"/>
      <c r="H153" s="43"/>
      <c r="I153" s="3"/>
      <c r="S153" s="8"/>
      <c r="T153" s="10"/>
    </row>
    <row r="154" spans="3:20">
      <c r="C154" s="3"/>
      <c r="G154" s="40"/>
      <c r="H154" s="43"/>
      <c r="I154" s="3"/>
      <c r="S154" s="8"/>
      <c r="T154" s="10"/>
    </row>
    <row r="155" spans="3:20">
      <c r="C155" s="3"/>
      <c r="G155" s="40"/>
      <c r="H155" s="43"/>
      <c r="I155" s="3"/>
      <c r="S155" s="8"/>
      <c r="T155" s="10"/>
    </row>
    <row r="156" spans="3:20">
      <c r="C156" s="3"/>
      <c r="G156" s="39"/>
      <c r="H156" s="43"/>
      <c r="I156" s="3"/>
      <c r="S156" s="8"/>
      <c r="T156" s="10"/>
    </row>
    <row r="157" spans="3:20">
      <c r="C157" s="3"/>
      <c r="G157" s="39"/>
      <c r="H157" s="43"/>
      <c r="I157" s="3"/>
      <c r="S157" s="8"/>
      <c r="T157" s="10"/>
    </row>
    <row r="158" spans="3:20">
      <c r="C158" s="3"/>
      <c r="G158" s="39"/>
      <c r="H158" s="43"/>
      <c r="I158" s="3"/>
      <c r="S158" s="8"/>
      <c r="T158" s="10"/>
    </row>
    <row r="159" spans="3:20">
      <c r="C159" s="3"/>
      <c r="G159" s="40"/>
      <c r="H159" s="43"/>
      <c r="I159" s="3"/>
      <c r="S159" s="8"/>
      <c r="T159" s="10"/>
    </row>
    <row r="160" spans="3:20">
      <c r="C160" s="3"/>
      <c r="G160" s="39"/>
      <c r="H160" s="43"/>
      <c r="I160" s="3"/>
      <c r="S160" s="8"/>
      <c r="T160" s="10"/>
    </row>
    <row r="161" spans="3:20">
      <c r="C161" s="3"/>
      <c r="G161" s="40"/>
      <c r="H161" s="43"/>
      <c r="I161" s="3"/>
      <c r="S161" s="8"/>
      <c r="T161" s="10"/>
    </row>
    <row r="162" spans="3:20">
      <c r="C162" s="3"/>
      <c r="G162" s="40"/>
      <c r="H162" s="43"/>
      <c r="I162" s="3"/>
      <c r="S162" s="8"/>
      <c r="T162" s="10"/>
    </row>
    <row r="163" spans="3:20">
      <c r="C163" s="3"/>
      <c r="G163" s="39"/>
      <c r="H163" s="43"/>
      <c r="I163" s="3"/>
      <c r="S163" s="8"/>
      <c r="T163" s="10"/>
    </row>
    <row r="164" spans="3:20">
      <c r="C164" s="3"/>
      <c r="G164" s="39"/>
      <c r="H164" s="43"/>
      <c r="I164" s="3"/>
      <c r="S164" s="8"/>
      <c r="T164" s="10"/>
    </row>
    <row r="165" spans="3:20">
      <c r="C165" s="3"/>
      <c r="G165" s="41"/>
      <c r="H165" s="43"/>
      <c r="I165" s="3"/>
      <c r="S165" s="8"/>
      <c r="T165" s="10"/>
    </row>
    <row r="166" spans="3:20">
      <c r="C166" s="3"/>
      <c r="G166" s="39"/>
      <c r="H166" s="43"/>
      <c r="I166" s="3"/>
      <c r="S166" s="8"/>
      <c r="T166" s="10"/>
    </row>
    <row r="167" spans="3:20">
      <c r="C167" s="3"/>
      <c r="G167" s="39"/>
      <c r="H167" s="43"/>
      <c r="I167" s="3"/>
      <c r="S167" s="8"/>
      <c r="T167" s="10"/>
    </row>
    <row r="168" spans="3:20">
      <c r="C168" s="3"/>
      <c r="G168" s="41"/>
      <c r="H168" s="43"/>
      <c r="I168" s="3"/>
      <c r="S168" s="8"/>
      <c r="T168" s="10"/>
    </row>
    <row r="169" spans="3:20">
      <c r="C169" s="3"/>
      <c r="G169" s="40"/>
      <c r="H169" s="43"/>
      <c r="I169" s="3"/>
      <c r="S169" s="8"/>
      <c r="T169" s="10"/>
    </row>
    <row r="170" spans="3:20">
      <c r="C170" s="3"/>
      <c r="G170" s="40"/>
      <c r="H170" s="43"/>
      <c r="I170" s="3"/>
      <c r="S170" s="8"/>
      <c r="T170" s="10"/>
    </row>
    <row r="171" spans="3:20">
      <c r="C171" s="3"/>
      <c r="G171" s="40"/>
      <c r="H171" s="43"/>
      <c r="I171" s="3"/>
      <c r="S171" s="8"/>
      <c r="T171" s="10"/>
    </row>
    <row r="172" spans="3:20">
      <c r="C172" s="3"/>
      <c r="G172" s="39"/>
      <c r="H172" s="43"/>
      <c r="I172" s="3"/>
      <c r="S172" s="8"/>
      <c r="T172" s="10"/>
    </row>
    <row r="173" spans="3:20">
      <c r="C173" s="3"/>
      <c r="G173" s="39"/>
      <c r="H173" s="43"/>
      <c r="I173" s="3"/>
      <c r="S173" s="8"/>
      <c r="T173" s="10"/>
    </row>
    <row r="174" spans="3:20">
      <c r="C174" s="3"/>
      <c r="G174" s="40"/>
      <c r="H174" s="43"/>
      <c r="I174" s="3"/>
      <c r="S174" s="8"/>
      <c r="T174" s="10"/>
    </row>
    <row r="175" spans="3:20">
      <c r="C175" s="3"/>
      <c r="G175" s="39"/>
      <c r="H175" s="43"/>
      <c r="I175" s="3"/>
      <c r="S175" s="8"/>
      <c r="T175" s="10"/>
    </row>
    <row r="176" spans="3:20">
      <c r="C176" s="3"/>
      <c r="G176" s="39"/>
      <c r="H176" s="43"/>
      <c r="I176" s="3"/>
      <c r="S176" s="8"/>
      <c r="T176" s="10"/>
    </row>
    <row r="177" spans="3:20">
      <c r="C177" s="3"/>
      <c r="G177" s="40"/>
      <c r="H177" s="43"/>
      <c r="I177" s="3"/>
      <c r="S177" s="8"/>
      <c r="T177" s="10"/>
    </row>
    <row r="178" spans="3:20">
      <c r="C178" s="3"/>
      <c r="G178" s="40"/>
      <c r="H178" s="43"/>
      <c r="I178" s="3"/>
      <c r="S178" s="8"/>
      <c r="T178" s="10"/>
    </row>
    <row r="179" spans="3:20">
      <c r="C179" s="3"/>
      <c r="G179" s="40"/>
      <c r="H179" s="43"/>
      <c r="I179" s="3"/>
      <c r="S179" s="8"/>
      <c r="T179" s="10"/>
    </row>
    <row r="180" spans="3:20">
      <c r="C180" s="3"/>
      <c r="G180" s="40"/>
      <c r="H180" s="43"/>
      <c r="I180" s="3"/>
      <c r="S180" s="8"/>
      <c r="T180" s="10"/>
    </row>
    <row r="181" spans="3:20">
      <c r="C181" s="3"/>
      <c r="G181" s="39"/>
      <c r="H181" s="43"/>
      <c r="I181" s="3"/>
      <c r="S181" s="8"/>
      <c r="T181" s="10"/>
    </row>
    <row r="182" spans="3:20">
      <c r="C182" s="3"/>
      <c r="G182" s="39"/>
      <c r="H182" s="43"/>
      <c r="I182" s="3"/>
      <c r="S182" s="8"/>
      <c r="T182" s="10"/>
    </row>
    <row r="183" spans="3:20">
      <c r="C183" s="3"/>
      <c r="G183" s="39"/>
      <c r="H183" s="43"/>
      <c r="I183" s="3"/>
      <c r="S183" s="8"/>
      <c r="T183" s="10"/>
    </row>
    <row r="184" spans="3:20">
      <c r="C184" s="3"/>
      <c r="G184" s="40"/>
      <c r="H184" s="43"/>
      <c r="I184" s="3"/>
      <c r="S184" s="8"/>
      <c r="T184" s="10"/>
    </row>
    <row r="185" spans="3:20">
      <c r="C185" s="3"/>
      <c r="G185" s="40"/>
      <c r="H185" s="43"/>
      <c r="I185" s="3"/>
      <c r="S185" s="8"/>
    </row>
    <row r="186" spans="3:20">
      <c r="C186" s="3"/>
      <c r="G186" s="40"/>
      <c r="H186" s="43"/>
      <c r="I186" s="3"/>
      <c r="S186" s="8"/>
    </row>
    <row r="187" spans="3:20">
      <c r="C187" s="3"/>
      <c r="G187" s="40"/>
      <c r="H187" s="43"/>
      <c r="I187" s="3"/>
      <c r="S187" s="8"/>
    </row>
    <row r="188" spans="3:20">
      <c r="C188" s="3"/>
      <c r="G188" s="39"/>
      <c r="H188" s="43"/>
      <c r="I188" s="3"/>
      <c r="S188" s="8"/>
    </row>
    <row r="189" spans="3:20">
      <c r="C189" s="3"/>
      <c r="G189" s="39"/>
      <c r="H189" s="43"/>
      <c r="I189" s="3"/>
      <c r="S189" s="8"/>
    </row>
    <row r="190" spans="3:20">
      <c r="C190" s="3"/>
      <c r="G190" s="42"/>
      <c r="H190" s="43"/>
      <c r="I190" s="3"/>
      <c r="S190" s="8"/>
    </row>
    <row r="191" spans="3:20">
      <c r="C191" s="3"/>
      <c r="G191" s="44"/>
      <c r="H191" s="43"/>
      <c r="I191" s="3"/>
      <c r="S191" s="8"/>
    </row>
    <row r="192" spans="3:20">
      <c r="C192" s="3"/>
      <c r="G192" s="44"/>
      <c r="H192" s="43"/>
      <c r="I192" s="3"/>
      <c r="S192" s="8"/>
    </row>
    <row r="193" spans="3:19">
      <c r="C193" s="3"/>
      <c r="G193" s="44"/>
      <c r="H193" s="43"/>
      <c r="I193" s="3"/>
      <c r="S193" s="8"/>
    </row>
    <row r="194" spans="3:19">
      <c r="C194" s="3"/>
      <c r="G194" s="8"/>
      <c r="H194" s="7"/>
      <c r="I194" s="3"/>
      <c r="S194" s="8"/>
    </row>
    <row r="195" spans="3:19">
      <c r="C195" s="3"/>
      <c r="G195" s="8"/>
      <c r="H195" s="7"/>
      <c r="I195" s="3"/>
      <c r="S195" s="8"/>
    </row>
    <row r="196" spans="3:19">
      <c r="C196" s="3"/>
      <c r="G196" s="8"/>
      <c r="H196" s="7"/>
      <c r="I196" s="3"/>
    </row>
    <row r="197" spans="3:19">
      <c r="C197" s="3"/>
      <c r="G197" s="8"/>
      <c r="H197" s="7"/>
      <c r="I197" s="3"/>
    </row>
    <row r="198" spans="3:19">
      <c r="C198" s="3"/>
      <c r="G198" s="8"/>
      <c r="H198" s="7"/>
      <c r="I198" s="3"/>
    </row>
    <row r="199" spans="3:19">
      <c r="C199" s="3"/>
      <c r="G199" s="8"/>
      <c r="H199" s="7"/>
      <c r="I199" s="3"/>
    </row>
    <row r="200" spans="3:19">
      <c r="C200" s="3"/>
      <c r="G200" s="8"/>
      <c r="H200" s="7"/>
      <c r="I200" s="3"/>
    </row>
    <row r="201" spans="3:19">
      <c r="C201" s="3"/>
      <c r="G201" s="8"/>
      <c r="H201" s="7"/>
      <c r="I201" s="3"/>
    </row>
    <row r="202" spans="3:19">
      <c r="G202" s="8"/>
      <c r="H202" s="7"/>
      <c r="I202" s="3"/>
    </row>
    <row r="203" spans="3:19">
      <c r="G203" s="8"/>
      <c r="H203" s="7"/>
      <c r="I203" s="3"/>
    </row>
    <row r="204" spans="3:19">
      <c r="G204" s="8"/>
      <c r="H204" s="7"/>
      <c r="I204" s="3"/>
    </row>
    <row r="205" spans="3:19">
      <c r="G205" s="8"/>
      <c r="H205" s="7"/>
      <c r="I205" s="3"/>
    </row>
    <row r="206" spans="3:19">
      <c r="G206" s="8"/>
      <c r="H206" s="7"/>
      <c r="I206" s="3"/>
    </row>
    <row r="207" spans="3:19">
      <c r="G207" s="8"/>
      <c r="H207" s="7"/>
      <c r="I207" s="3"/>
    </row>
    <row r="208" spans="3:19">
      <c r="G208" s="8"/>
      <c r="H208" s="7"/>
      <c r="I208" s="3"/>
    </row>
    <row r="209" spans="7:9">
      <c r="G209" s="8"/>
      <c r="H209" s="7"/>
      <c r="I209" s="3"/>
    </row>
    <row r="210" spans="7:9">
      <c r="G210" s="8"/>
      <c r="H210" s="7"/>
      <c r="I210" s="3"/>
    </row>
    <row r="211" spans="7:9">
      <c r="G211" s="8"/>
      <c r="H211" s="7"/>
      <c r="I211" s="3"/>
    </row>
    <row r="212" spans="7:9">
      <c r="G212" s="8"/>
      <c r="H212" s="7"/>
      <c r="I212" s="3"/>
    </row>
    <row r="213" spans="7:9">
      <c r="G213" s="8"/>
      <c r="H213" s="7"/>
      <c r="I213" s="3"/>
    </row>
    <row r="214" spans="7:9">
      <c r="G214" s="8"/>
      <c r="H214" s="7"/>
      <c r="I214" s="3"/>
    </row>
    <row r="215" spans="7:9">
      <c r="G215" s="8"/>
      <c r="H215" s="7"/>
      <c r="I215" s="3"/>
    </row>
    <row r="216" spans="7:9">
      <c r="G216" s="8"/>
      <c r="H216" s="7"/>
      <c r="I216" s="3"/>
    </row>
    <row r="217" spans="7:9">
      <c r="G217" s="8"/>
      <c r="H217" s="7"/>
      <c r="I217" s="3"/>
    </row>
    <row r="218" spans="7:9">
      <c r="G218" s="8"/>
      <c r="H218" s="7"/>
      <c r="I218" s="3"/>
    </row>
    <row r="219" spans="7:9">
      <c r="G219" s="8"/>
      <c r="H219" s="7"/>
      <c r="I219" s="3"/>
    </row>
    <row r="220" spans="7:9">
      <c r="G220" s="8"/>
      <c r="H220" s="7"/>
      <c r="I220" s="3"/>
    </row>
    <row r="221" spans="7:9">
      <c r="G221" s="8"/>
      <c r="H221" s="7"/>
      <c r="I221" s="3"/>
    </row>
    <row r="222" spans="7:9">
      <c r="G222" s="8"/>
      <c r="H222" s="7"/>
      <c r="I222" s="3"/>
    </row>
    <row r="223" spans="7:9">
      <c r="G223" s="8"/>
      <c r="H223" s="7"/>
      <c r="I223" s="3"/>
    </row>
    <row r="224" spans="7:9">
      <c r="G224" s="8"/>
      <c r="H224" s="7"/>
      <c r="I224" s="3"/>
    </row>
    <row r="225" spans="7:9">
      <c r="G225" s="8"/>
      <c r="H225" s="7"/>
      <c r="I225" s="3"/>
    </row>
    <row r="226" spans="7:9">
      <c r="G226" s="8"/>
      <c r="H226" s="7"/>
      <c r="I226" s="3"/>
    </row>
    <row r="227" spans="7:9">
      <c r="G227" s="8"/>
      <c r="H227" s="7"/>
      <c r="I227" s="3"/>
    </row>
    <row r="228" spans="7:9">
      <c r="G228" s="8"/>
      <c r="H228" s="7"/>
      <c r="I228" s="3"/>
    </row>
    <row r="229" spans="7:9">
      <c r="G229" s="8"/>
      <c r="H229" s="7"/>
      <c r="I229" s="3"/>
    </row>
    <row r="230" spans="7:9">
      <c r="G230" s="8"/>
      <c r="H230" s="7"/>
      <c r="I230" s="3"/>
    </row>
    <row r="231" spans="7:9">
      <c r="G231" s="8"/>
      <c r="H231" s="7"/>
      <c r="I231" s="3"/>
    </row>
    <row r="232" spans="7:9">
      <c r="G232" s="8"/>
      <c r="H232" s="7"/>
      <c r="I232" s="3"/>
    </row>
    <row r="233" spans="7:9">
      <c r="G233" s="8"/>
      <c r="H233" s="7"/>
      <c r="I233" s="3"/>
    </row>
    <row r="234" spans="7:9">
      <c r="G234" s="8"/>
      <c r="H234" s="7"/>
      <c r="I234" s="3"/>
    </row>
    <row r="235" spans="7:9">
      <c r="G235" s="8"/>
      <c r="H235" s="7"/>
      <c r="I235" s="3"/>
    </row>
    <row r="236" spans="7:9">
      <c r="G236" s="8"/>
      <c r="H236" s="7"/>
      <c r="I236" s="3"/>
    </row>
    <row r="237" spans="7:9">
      <c r="G237" s="8"/>
      <c r="H237" s="7"/>
      <c r="I237" s="3"/>
    </row>
    <row r="238" spans="7:9">
      <c r="G238" s="8"/>
      <c r="H238" s="7"/>
      <c r="I238" s="3"/>
    </row>
    <row r="239" spans="7:9">
      <c r="G239" s="8"/>
      <c r="H239" s="7"/>
      <c r="I239" s="3"/>
    </row>
    <row r="240" spans="7:9">
      <c r="G240" s="8"/>
      <c r="H240" s="7"/>
      <c r="I240" s="3"/>
    </row>
    <row r="241" spans="7:9">
      <c r="G241" s="8"/>
      <c r="H241" s="7"/>
      <c r="I241" s="3"/>
    </row>
    <row r="242" spans="7:9">
      <c r="G242" s="8"/>
      <c r="H242" s="7"/>
      <c r="I242" s="3"/>
    </row>
    <row r="243" spans="7:9">
      <c r="G243" s="8"/>
      <c r="H243" s="7"/>
      <c r="I243" s="3"/>
    </row>
    <row r="244" spans="7:9">
      <c r="G244" s="8"/>
      <c r="H244" s="7"/>
      <c r="I244" s="3"/>
    </row>
    <row r="245" spans="7:9">
      <c r="G245" s="8"/>
      <c r="H245" s="7"/>
      <c r="I245" s="3"/>
    </row>
    <row r="246" spans="7:9">
      <c r="G246" s="8"/>
      <c r="H246" s="7"/>
      <c r="I246" s="3"/>
    </row>
    <row r="247" spans="7:9">
      <c r="G247" s="8"/>
      <c r="H247" s="7"/>
      <c r="I247" s="3"/>
    </row>
    <row r="248" spans="7:9">
      <c r="G248" s="8"/>
      <c r="H248" s="7"/>
      <c r="I248" s="3"/>
    </row>
    <row r="249" spans="7:9">
      <c r="G249" s="8"/>
      <c r="H249" s="7"/>
      <c r="I249" s="3"/>
    </row>
    <row r="250" spans="7:9">
      <c r="G250" s="8"/>
      <c r="H250" s="7"/>
      <c r="I250" s="3"/>
    </row>
    <row r="251" spans="7:9">
      <c r="G251" s="8"/>
      <c r="H251" s="7"/>
      <c r="I251" s="3"/>
    </row>
    <row r="252" spans="7:9">
      <c r="G252" s="8"/>
      <c r="H252" s="7"/>
      <c r="I252" s="3"/>
    </row>
    <row r="253" spans="7:9">
      <c r="G253" s="8"/>
      <c r="H253" s="7"/>
      <c r="I253" s="3"/>
    </row>
    <row r="254" spans="7:9">
      <c r="G254" s="8"/>
      <c r="H254" s="7"/>
      <c r="I254" s="3"/>
    </row>
    <row r="255" spans="7:9">
      <c r="G255" s="8"/>
      <c r="H255" s="7"/>
      <c r="I255" s="3"/>
    </row>
    <row r="256" spans="7:9">
      <c r="G256" s="8"/>
      <c r="H256" s="7"/>
      <c r="I256" s="3"/>
    </row>
    <row r="257" spans="7:12">
      <c r="G257" s="8"/>
      <c r="H257" s="7"/>
      <c r="I257" s="3"/>
    </row>
    <row r="258" spans="7:12">
      <c r="G258" s="8"/>
      <c r="H258" s="7"/>
      <c r="I258" s="3"/>
    </row>
    <row r="259" spans="7:12">
      <c r="G259" s="8"/>
      <c r="H259" s="7"/>
      <c r="I259" s="3"/>
    </row>
    <row r="260" spans="7:12">
      <c r="G260" s="8"/>
      <c r="H260" s="7"/>
      <c r="I260" s="3"/>
    </row>
    <row r="261" spans="7:12">
      <c r="G261" s="8"/>
      <c r="H261" s="7"/>
      <c r="I261" s="3"/>
    </row>
    <row r="262" spans="7:12">
      <c r="G262" s="8"/>
      <c r="H262" s="7"/>
      <c r="I262" s="3"/>
    </row>
    <row r="263" spans="7:12">
      <c r="G263" s="8"/>
      <c r="H263" s="7"/>
      <c r="I263" s="3"/>
    </row>
    <row r="264" spans="7:12">
      <c r="G264" s="8"/>
      <c r="H264" s="7"/>
      <c r="I264" s="3"/>
    </row>
    <row r="265" spans="7:12">
      <c r="G265" s="8"/>
      <c r="H265" s="7"/>
      <c r="I265" s="3"/>
    </row>
    <row r="266" spans="7:12">
      <c r="G266" s="8"/>
      <c r="H266" s="7"/>
      <c r="I266" s="3"/>
    </row>
    <row r="267" spans="7:12">
      <c r="G267" s="8"/>
      <c r="H267" s="7"/>
      <c r="I267" s="3"/>
    </row>
    <row r="268" spans="7:12">
      <c r="G268" s="8"/>
      <c r="H268" s="7"/>
      <c r="I268" s="3"/>
    </row>
    <row r="269" spans="7:12">
      <c r="G269" s="8"/>
      <c r="H269" s="7"/>
      <c r="I269" s="3"/>
    </row>
    <row r="270" spans="7:12">
      <c r="G270" s="8"/>
      <c r="H270" s="7"/>
      <c r="I270" s="3"/>
    </row>
    <row r="271" spans="7:12">
      <c r="G271" s="3"/>
      <c r="L271" s="16"/>
    </row>
    <row r="272" spans="7:12">
      <c r="G272" s="3"/>
    </row>
    <row r="273" spans="7:7">
      <c r="G273"/>
    </row>
    <row r="274" spans="7:7">
      <c r="G274" s="3"/>
    </row>
    <row r="275" spans="7:7">
      <c r="G275" s="3"/>
    </row>
    <row r="276" spans="7:7">
      <c r="G276" s="3"/>
    </row>
    <row r="277" spans="7:7">
      <c r="G277"/>
    </row>
    <row r="278" spans="7:7">
      <c r="G278" s="3"/>
    </row>
    <row r="279" spans="7:7">
      <c r="G279" s="3"/>
    </row>
    <row r="280" spans="7:7">
      <c r="G280"/>
    </row>
    <row r="281" spans="7:7">
      <c r="G281" s="3"/>
    </row>
    <row r="282" spans="7:7">
      <c r="G282"/>
    </row>
    <row r="283" spans="7:7">
      <c r="G283"/>
    </row>
    <row r="284" spans="7:7">
      <c r="G284" s="3"/>
    </row>
    <row r="285" spans="7:7">
      <c r="G285"/>
    </row>
    <row r="286" spans="7:7">
      <c r="G286"/>
    </row>
    <row r="287" spans="7:7">
      <c r="G287"/>
    </row>
    <row r="288" spans="7:7">
      <c r="G288"/>
    </row>
    <row r="289" spans="7:7">
      <c r="G289" s="3"/>
    </row>
    <row r="290" spans="7:7">
      <c r="G290" s="3"/>
    </row>
    <row r="291" spans="7:7">
      <c r="G291"/>
    </row>
    <row r="292" spans="7:7">
      <c r="G292" s="3"/>
    </row>
    <row r="293" spans="7:7">
      <c r="G293"/>
    </row>
    <row r="294" spans="7:7">
      <c r="G294" s="3"/>
    </row>
    <row r="295" spans="7:7">
      <c r="G295" s="3"/>
    </row>
    <row r="296" spans="7:7">
      <c r="G296"/>
    </row>
    <row r="297" spans="7:7">
      <c r="G297" s="3"/>
    </row>
    <row r="298" spans="7:7">
      <c r="G298"/>
    </row>
    <row r="299" spans="7:7">
      <c r="G299" s="3"/>
    </row>
    <row r="300" spans="7:7">
      <c r="G300"/>
    </row>
    <row r="301" spans="7:7">
      <c r="G301"/>
    </row>
    <row r="302" spans="7:7">
      <c r="G302"/>
    </row>
    <row r="303" spans="7:7">
      <c r="G303" s="3"/>
    </row>
    <row r="304" spans="7:7">
      <c r="G304"/>
    </row>
    <row r="305" spans="7:7">
      <c r="G305"/>
    </row>
    <row r="306" spans="7:7">
      <c r="G306" s="3"/>
    </row>
    <row r="307" spans="7:7">
      <c r="G307" s="3"/>
    </row>
    <row r="308" spans="7:7">
      <c r="G308"/>
    </row>
    <row r="309" spans="7:7">
      <c r="G309" s="3"/>
    </row>
    <row r="310" spans="7:7">
      <c r="G310" s="3"/>
    </row>
    <row r="311" spans="7:7">
      <c r="G311"/>
    </row>
    <row r="312" spans="7:7">
      <c r="G312" s="3"/>
    </row>
    <row r="313" spans="7:7">
      <c r="G313" s="3"/>
    </row>
    <row r="314" spans="7:7">
      <c r="G314"/>
    </row>
    <row r="315" spans="7:7">
      <c r="G315" s="3"/>
    </row>
    <row r="316" spans="7:7">
      <c r="G316"/>
    </row>
    <row r="317" spans="7:7">
      <c r="G317" s="3"/>
    </row>
    <row r="318" spans="7:7">
      <c r="G318" s="3"/>
    </row>
    <row r="319" spans="7:7">
      <c r="G319" s="3"/>
    </row>
    <row r="320" spans="7:7">
      <c r="G320" s="3"/>
    </row>
    <row r="321" spans="7:7">
      <c r="G321" s="3"/>
    </row>
    <row r="322" spans="7:7">
      <c r="G322"/>
    </row>
    <row r="323" spans="7:7">
      <c r="G323"/>
    </row>
    <row r="324" spans="7:7">
      <c r="G324"/>
    </row>
    <row r="325" spans="7:7">
      <c r="G325" s="3"/>
    </row>
    <row r="326" spans="7:7">
      <c r="G326" s="3"/>
    </row>
    <row r="327" spans="7:7">
      <c r="G327" s="3"/>
    </row>
    <row r="328" spans="7:7">
      <c r="G328" s="3"/>
    </row>
    <row r="329" spans="7:7">
      <c r="G329" s="3"/>
    </row>
    <row r="330" spans="7:7">
      <c r="G330" s="3"/>
    </row>
    <row r="331" spans="7:7">
      <c r="G331"/>
    </row>
    <row r="332" spans="7:7">
      <c r="G332"/>
    </row>
    <row r="333" spans="7:7">
      <c r="G333" s="3"/>
    </row>
    <row r="334" spans="7:7">
      <c r="G334"/>
    </row>
    <row r="335" spans="7:7">
      <c r="G335" s="3"/>
    </row>
    <row r="336" spans="7:7">
      <c r="G336"/>
    </row>
    <row r="337" spans="7:7">
      <c r="G337"/>
    </row>
    <row r="338" spans="7:7">
      <c r="G338" s="3"/>
    </row>
    <row r="339" spans="7:7">
      <c r="G339"/>
    </row>
    <row r="340" spans="7:7">
      <c r="G340" s="3"/>
    </row>
    <row r="341" spans="7:7">
      <c r="G341" s="3"/>
    </row>
    <row r="342" spans="7:7">
      <c r="G342"/>
    </row>
    <row r="343" spans="7:7">
      <c r="G343"/>
    </row>
    <row r="344" spans="7:7">
      <c r="G344" s="3"/>
    </row>
    <row r="345" spans="7:7">
      <c r="G345"/>
    </row>
    <row r="346" spans="7:7">
      <c r="G346"/>
    </row>
    <row r="347" spans="7:7">
      <c r="G347"/>
    </row>
    <row r="348" spans="7:7">
      <c r="G348" s="2"/>
    </row>
    <row r="349" spans="7:7">
      <c r="G349" s="3"/>
    </row>
    <row r="350" spans="7:7">
      <c r="G350" s="3"/>
    </row>
    <row r="351" spans="7:7">
      <c r="G351"/>
    </row>
    <row r="352" spans="7:7">
      <c r="G352" s="3"/>
    </row>
    <row r="353" spans="7:7">
      <c r="G353" s="3"/>
    </row>
    <row r="354" spans="7:7">
      <c r="G354"/>
    </row>
    <row r="355" spans="7:7">
      <c r="G355"/>
    </row>
    <row r="356" spans="7:7">
      <c r="G356"/>
    </row>
    <row r="357" spans="7:7">
      <c r="G357"/>
    </row>
    <row r="358" spans="7:7">
      <c r="G358" s="3"/>
    </row>
    <row r="359" spans="7:7">
      <c r="G359" s="3"/>
    </row>
    <row r="360" spans="7:7">
      <c r="G360" s="3"/>
    </row>
    <row r="361" spans="7:7">
      <c r="G361" s="3"/>
    </row>
    <row r="362" spans="7:7">
      <c r="G362"/>
    </row>
    <row r="363" spans="7:7">
      <c r="G363" s="3"/>
    </row>
    <row r="364" spans="7:7">
      <c r="G364" s="3"/>
    </row>
    <row r="365" spans="7:7">
      <c r="G365" s="3"/>
    </row>
    <row r="366" spans="7:7">
      <c r="G366"/>
    </row>
    <row r="367" spans="7:7">
      <c r="G367"/>
    </row>
    <row r="368" spans="7:7">
      <c r="G368"/>
    </row>
    <row r="369" spans="7:7">
      <c r="G369"/>
    </row>
    <row r="370" spans="7:7">
      <c r="G370"/>
    </row>
    <row r="371" spans="7:7">
      <c r="G371"/>
    </row>
    <row r="372" spans="7:7">
      <c r="G372"/>
    </row>
    <row r="373" spans="7:7">
      <c r="G373"/>
    </row>
    <row r="374" spans="7:7">
      <c r="G374"/>
    </row>
    <row r="375" spans="7:7">
      <c r="G375"/>
    </row>
    <row r="376" spans="7:7">
      <c r="G376"/>
    </row>
    <row r="377" spans="7:7">
      <c r="G377" s="3"/>
    </row>
    <row r="378" spans="7:7">
      <c r="G378"/>
    </row>
    <row r="379" spans="7:7">
      <c r="G379" s="3"/>
    </row>
    <row r="380" spans="7:7">
      <c r="G380" s="3"/>
    </row>
    <row r="381" spans="7:7">
      <c r="G381" s="3"/>
    </row>
    <row r="382" spans="7:7">
      <c r="G382"/>
    </row>
    <row r="383" spans="7:7">
      <c r="G383"/>
    </row>
    <row r="384" spans="7:7">
      <c r="G384"/>
    </row>
    <row r="385" spans="7:10">
      <c r="G385" s="3"/>
    </row>
    <row r="386" spans="7:10">
      <c r="G386" s="3"/>
    </row>
    <row r="387" spans="7:10">
      <c r="G387"/>
    </row>
    <row r="388" spans="7:10">
      <c r="G388" s="3"/>
    </row>
    <row r="389" spans="7:10">
      <c r="G389" s="3"/>
    </row>
    <row r="390" spans="7:10">
      <c r="G390"/>
    </row>
    <row r="391" spans="7:10">
      <c r="G391" s="3"/>
    </row>
    <row r="392" spans="7:10">
      <c r="G392"/>
      <c r="H392"/>
      <c r="I392"/>
      <c r="J392"/>
    </row>
    <row r="393" spans="7:10">
      <c r="G393"/>
      <c r="H393"/>
      <c r="I393"/>
      <c r="J393"/>
    </row>
    <row r="394" spans="7:10">
      <c r="G394"/>
      <c r="H394"/>
      <c r="I394"/>
      <c r="J394"/>
    </row>
    <row r="395" spans="7:10">
      <c r="G395"/>
      <c r="H395"/>
      <c r="I395"/>
      <c r="J395"/>
    </row>
    <row r="396" spans="7:10">
      <c r="G396"/>
      <c r="H396"/>
      <c r="I396"/>
      <c r="J396"/>
    </row>
  </sheetData>
  <sortState ref="F2:M12">
    <sortCondition ref="H2:H12"/>
    <sortCondition ref="M2:M12"/>
  </sortState>
  <dataConsolidate/>
  <conditionalFormatting sqref="D2:D101">
    <cfRule type="duplicateValues" dxfId="280" priority="19"/>
  </conditionalFormatting>
  <conditionalFormatting sqref="D102:D201">
    <cfRule type="duplicateValues" dxfId="279" priority="18"/>
  </conditionalFormatting>
  <conditionalFormatting sqref="J298:J391">
    <cfRule type="cellIs" dxfId="278" priority="17" operator="lessThan">
      <formula>0</formula>
    </cfRule>
  </conditionalFormatting>
  <conditionalFormatting sqref="J271:J391">
    <cfRule type="duplicateValues" dxfId="277" priority="20"/>
  </conditionalFormatting>
  <conditionalFormatting sqref="S102:S195">
    <cfRule type="cellIs" dxfId="276" priority="15" operator="lessThan">
      <formula>0</formula>
    </cfRule>
  </conditionalFormatting>
  <conditionalFormatting sqref="S2:S11 S13:S195">
    <cfRule type="duplicateValues" dxfId="275" priority="16"/>
  </conditionalFormatting>
  <conditionalFormatting sqref="S12">
    <cfRule type="duplicateValues" dxfId="274" priority="14"/>
  </conditionalFormatting>
  <conditionalFormatting sqref="I191:I270">
    <cfRule type="duplicateValues" dxfId="273" priority="13"/>
  </conditionalFormatting>
  <conditionalFormatting sqref="I37:I190">
    <cfRule type="duplicateValues" dxfId="272" priority="12"/>
  </conditionalFormatting>
  <conditionalFormatting sqref="J33:J190">
    <cfRule type="duplicateValues" dxfId="271" priority="11"/>
  </conditionalFormatting>
  <conditionalFormatting sqref="I14:J15 I17:J18 J16 I13 J19:J31 I19:I36">
    <cfRule type="duplicateValues" dxfId="270" priority="10"/>
  </conditionalFormatting>
  <conditionalFormatting sqref="J13 J192:J270">
    <cfRule type="duplicateValues" dxfId="269" priority="21"/>
  </conditionalFormatting>
  <conditionalFormatting sqref="I8:I12">
    <cfRule type="cellIs" dxfId="268" priority="1" operator="between">
      <formula>$X$10</formula>
      <formula>$Y$10</formula>
    </cfRule>
    <cfRule type="cellIs" dxfId="267" priority="2" operator="between">
      <formula>$X$9</formula>
      <formula>$Y$9</formula>
    </cfRule>
    <cfRule type="cellIs" dxfId="266" priority="3" operator="between">
      <formula>$X$6</formula>
      <formula>$Y$6</formula>
    </cfRule>
    <cfRule type="cellIs" dxfId="265" priority="4" operator="between">
      <formula>$X$5</formula>
      <formula>$Y$5</formula>
    </cfRule>
  </conditionalFormatting>
  <conditionalFormatting sqref="I2:J12">
    <cfRule type="duplicateValues" dxfId="264" priority="5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C1:X396"/>
  <sheetViews>
    <sheetView topLeftCell="D1" zoomScale="80" zoomScaleNormal="80" zoomScalePageLayoutView="80" workbookViewId="0">
      <selection activeCell="M2" sqref="M2:M31"/>
    </sheetView>
  </sheetViews>
  <sheetFormatPr baseColWidth="10" defaultColWidth="11" defaultRowHeight="15" x14ac:dyDescent="0"/>
  <cols>
    <col min="3" max="3" width="16.1640625" bestFit="1" customWidth="1"/>
    <col min="5" max="5" width="7.5" customWidth="1"/>
    <col min="6" max="6" width="11" style="12"/>
    <col min="7" max="7" width="18.1640625" style="4" bestFit="1" customWidth="1"/>
    <col min="8" max="8" width="8.6640625" style="4" customWidth="1"/>
    <col min="9" max="9" width="18.5" style="9" bestFit="1" customWidth="1"/>
    <col min="10" max="10" width="11" style="8"/>
    <col min="11" max="11" width="8.5" style="4" bestFit="1" customWidth="1"/>
    <col min="12" max="12" width="4.5" style="4" customWidth="1"/>
    <col min="13" max="13" width="13.33203125" style="4" customWidth="1"/>
    <col min="14" max="14" width="18.1640625" bestFit="1" customWidth="1"/>
    <col min="19" max="19" width="16.5" style="2" customWidth="1"/>
    <col min="20" max="20" width="17.5" bestFit="1" customWidth="1"/>
    <col min="21" max="22" width="5.6640625" customWidth="1"/>
    <col min="23" max="23" width="16.1640625" bestFit="1" customWidth="1"/>
  </cols>
  <sheetData>
    <row r="1" spans="3:21" s="18" customFormat="1" ht="20">
      <c r="G1" s="19" t="s">
        <v>329</v>
      </c>
      <c r="H1" s="19" t="s">
        <v>334</v>
      </c>
      <c r="I1" s="20" t="s">
        <v>333</v>
      </c>
      <c r="J1" s="21" t="s">
        <v>332</v>
      </c>
      <c r="K1" s="19" t="s">
        <v>331</v>
      </c>
      <c r="L1" s="19" t="s">
        <v>1867</v>
      </c>
      <c r="M1" s="19" t="s">
        <v>1863</v>
      </c>
      <c r="N1" s="18" t="s">
        <v>329</v>
      </c>
      <c r="O1" s="18" t="s">
        <v>330</v>
      </c>
      <c r="S1" s="22"/>
    </row>
    <row r="2" spans="3:21">
      <c r="C2" s="3"/>
      <c r="F2" s="12">
        <v>10</v>
      </c>
      <c r="G2" t="s">
        <v>294</v>
      </c>
      <c r="H2" s="7">
        <f t="shared" ref="H2:H31" si="0">LOOKUP(G2,$N$2:$N$9,$O$2:$O$9)</f>
        <v>1</v>
      </c>
      <c r="I2" s="3">
        <v>40629.981099537035</v>
      </c>
      <c r="J2" s="8" t="s">
        <v>476</v>
      </c>
      <c r="K2" s="4">
        <f t="shared" ref="K2:K31" si="1">IF(Q2&gt;Q1,1,K1+1)</f>
        <v>1</v>
      </c>
      <c r="L2" s="4">
        <v>15</v>
      </c>
      <c r="M2" s="4">
        <v>1</v>
      </c>
      <c r="N2" s="5" t="s">
        <v>294</v>
      </c>
      <c r="O2">
        <v>1</v>
      </c>
      <c r="Q2">
        <v>1</v>
      </c>
      <c r="S2" s="8"/>
      <c r="T2" s="10"/>
    </row>
    <row r="3" spans="3:21">
      <c r="C3" s="3"/>
      <c r="F3" s="12">
        <v>25</v>
      </c>
      <c r="G3" t="s">
        <v>294</v>
      </c>
      <c r="H3" s="7">
        <f t="shared" si="0"/>
        <v>1</v>
      </c>
      <c r="I3" s="3">
        <v>40633.069467592592</v>
      </c>
      <c r="J3" s="8" t="s">
        <v>1424</v>
      </c>
      <c r="K3" s="4">
        <f t="shared" si="1"/>
        <v>2</v>
      </c>
      <c r="L3" s="4">
        <v>3</v>
      </c>
      <c r="M3" s="4">
        <v>2</v>
      </c>
      <c r="N3" s="5" t="s">
        <v>336</v>
      </c>
      <c r="O3">
        <v>2</v>
      </c>
      <c r="Q3">
        <v>1</v>
      </c>
      <c r="S3" s="8"/>
      <c r="T3" s="10"/>
    </row>
    <row r="4" spans="3:21">
      <c r="C4" s="3"/>
      <c r="F4" s="12">
        <v>2</v>
      </c>
      <c r="G4" s="4" t="s">
        <v>336</v>
      </c>
      <c r="H4" s="7">
        <f t="shared" si="0"/>
        <v>2</v>
      </c>
      <c r="I4" s="3">
        <v>40630.592453703706</v>
      </c>
      <c r="J4" s="8" t="s">
        <v>1385</v>
      </c>
      <c r="K4" s="4">
        <f t="shared" si="1"/>
        <v>1</v>
      </c>
      <c r="L4" s="4">
        <v>10</v>
      </c>
      <c r="M4" s="4">
        <v>1</v>
      </c>
      <c r="N4" s="5" t="s">
        <v>288</v>
      </c>
      <c r="O4">
        <v>3</v>
      </c>
      <c r="Q4">
        <v>2</v>
      </c>
      <c r="S4" s="8"/>
      <c r="T4" s="10"/>
    </row>
    <row r="5" spans="3:21">
      <c r="C5" s="3"/>
      <c r="F5" s="12">
        <v>6</v>
      </c>
      <c r="G5" s="4" t="s">
        <v>336</v>
      </c>
      <c r="H5" s="7">
        <f t="shared" si="0"/>
        <v>2</v>
      </c>
      <c r="I5" s="3">
        <v>40631.432581018518</v>
      </c>
      <c r="J5" s="8" t="s">
        <v>1187</v>
      </c>
      <c r="K5" s="4">
        <f t="shared" si="1"/>
        <v>2</v>
      </c>
      <c r="L5" s="4">
        <v>4</v>
      </c>
      <c r="M5" s="4">
        <v>2</v>
      </c>
      <c r="N5" s="6" t="s">
        <v>300</v>
      </c>
      <c r="O5">
        <v>4</v>
      </c>
      <c r="Q5">
        <v>2</v>
      </c>
      <c r="S5" s="8"/>
      <c r="T5" s="10"/>
    </row>
    <row r="6" spans="3:21">
      <c r="C6" s="3"/>
      <c r="F6" s="12">
        <v>9</v>
      </c>
      <c r="G6" s="4" t="s">
        <v>336</v>
      </c>
      <c r="H6" s="7">
        <f t="shared" si="0"/>
        <v>2</v>
      </c>
      <c r="I6" s="3">
        <v>40632.423449074071</v>
      </c>
      <c r="J6" s="8" t="s">
        <v>571</v>
      </c>
      <c r="K6" s="4">
        <f t="shared" si="1"/>
        <v>3</v>
      </c>
      <c r="L6" s="4">
        <v>2</v>
      </c>
      <c r="M6" s="4">
        <v>3</v>
      </c>
      <c r="N6" s="6" t="s">
        <v>289</v>
      </c>
      <c r="O6">
        <v>5</v>
      </c>
      <c r="Q6">
        <v>2</v>
      </c>
      <c r="S6" s="8"/>
      <c r="T6" s="10"/>
    </row>
    <row r="7" spans="3:21">
      <c r="C7" s="3"/>
      <c r="F7" s="12">
        <v>19</v>
      </c>
      <c r="G7" s="4" t="s">
        <v>336</v>
      </c>
      <c r="H7" s="7">
        <f t="shared" si="0"/>
        <v>2</v>
      </c>
      <c r="I7" s="3">
        <v>40633.790567129632</v>
      </c>
      <c r="J7" s="8" t="s">
        <v>1333</v>
      </c>
      <c r="K7" s="4">
        <f t="shared" si="1"/>
        <v>4</v>
      </c>
      <c r="L7" s="4">
        <v>2</v>
      </c>
      <c r="M7" s="4">
        <v>4</v>
      </c>
      <c r="N7" s="6" t="s">
        <v>1581</v>
      </c>
      <c r="O7">
        <v>6</v>
      </c>
      <c r="Q7">
        <v>2</v>
      </c>
      <c r="S7" s="8"/>
      <c r="T7" s="10"/>
    </row>
    <row r="8" spans="3:21">
      <c r="C8" s="3"/>
      <c r="F8" s="12">
        <v>23</v>
      </c>
      <c r="G8" s="4" t="s">
        <v>336</v>
      </c>
      <c r="H8" s="7">
        <f t="shared" si="0"/>
        <v>2</v>
      </c>
      <c r="I8" s="3">
        <v>40633.793113425927</v>
      </c>
      <c r="J8" s="8" t="s">
        <v>1156</v>
      </c>
      <c r="K8" s="4">
        <f t="shared" si="1"/>
        <v>5</v>
      </c>
      <c r="L8" s="4">
        <v>2</v>
      </c>
      <c r="M8" s="4">
        <v>5</v>
      </c>
      <c r="N8" s="5" t="s">
        <v>299</v>
      </c>
      <c r="O8">
        <v>7</v>
      </c>
      <c r="Q8">
        <v>2</v>
      </c>
      <c r="S8" s="8"/>
      <c r="T8" s="10"/>
    </row>
    <row r="9" spans="3:21">
      <c r="C9" s="3"/>
      <c r="F9" s="12">
        <v>27</v>
      </c>
      <c r="G9" s="4" t="s">
        <v>336</v>
      </c>
      <c r="H9" s="7">
        <f t="shared" si="0"/>
        <v>2</v>
      </c>
      <c r="I9" s="3">
        <v>40634.634675925925</v>
      </c>
      <c r="J9" s="8" t="s">
        <v>433</v>
      </c>
      <c r="K9" s="4">
        <f t="shared" si="1"/>
        <v>6</v>
      </c>
      <c r="L9" s="4">
        <v>2</v>
      </c>
      <c r="M9" s="4">
        <v>6</v>
      </c>
      <c r="N9" s="6" t="s">
        <v>438</v>
      </c>
      <c r="O9">
        <v>8</v>
      </c>
      <c r="Q9">
        <v>2</v>
      </c>
      <c r="S9" s="8"/>
      <c r="T9" s="10"/>
    </row>
    <row r="10" spans="3:21">
      <c r="C10" s="3"/>
      <c r="D10" s="1"/>
      <c r="F10" s="12">
        <v>1</v>
      </c>
      <c r="G10" t="s">
        <v>288</v>
      </c>
      <c r="H10" s="7">
        <f t="shared" si="0"/>
        <v>3</v>
      </c>
      <c r="I10" s="3">
        <v>40628.903831018521</v>
      </c>
      <c r="J10" s="8" t="s">
        <v>1384</v>
      </c>
      <c r="K10" s="4">
        <f t="shared" si="1"/>
        <v>1</v>
      </c>
      <c r="L10" s="4">
        <v>2</v>
      </c>
      <c r="M10" s="4">
        <v>1</v>
      </c>
      <c r="Q10">
        <v>3</v>
      </c>
      <c r="S10" s="8"/>
      <c r="T10" s="10"/>
    </row>
    <row r="11" spans="3:21">
      <c r="C11" s="3"/>
      <c r="F11" s="12">
        <v>3</v>
      </c>
      <c r="G11" t="s">
        <v>288</v>
      </c>
      <c r="H11" s="7">
        <f t="shared" si="0"/>
        <v>3</v>
      </c>
      <c r="I11" s="3">
        <v>40630.592569444445</v>
      </c>
      <c r="J11" s="8" t="s">
        <v>670</v>
      </c>
      <c r="K11" s="4">
        <f t="shared" si="1"/>
        <v>2</v>
      </c>
      <c r="L11" s="4">
        <v>10</v>
      </c>
      <c r="M11" s="4">
        <v>2</v>
      </c>
      <c r="Q11">
        <v>3</v>
      </c>
      <c r="S11" s="8"/>
      <c r="T11" s="25" t="s">
        <v>1872</v>
      </c>
    </row>
    <row r="12" spans="3:21">
      <c r="C12" s="3"/>
      <c r="F12" s="12">
        <v>5</v>
      </c>
      <c r="G12" t="s">
        <v>288</v>
      </c>
      <c r="H12" s="7">
        <f t="shared" si="0"/>
        <v>3</v>
      </c>
      <c r="I12" s="3">
        <v>40631.375208333331</v>
      </c>
      <c r="J12" s="8" t="s">
        <v>1186</v>
      </c>
      <c r="K12" s="4">
        <f t="shared" si="1"/>
        <v>3</v>
      </c>
      <c r="L12" s="4">
        <v>2</v>
      </c>
      <c r="M12" s="4">
        <v>3</v>
      </c>
      <c r="Q12">
        <v>3</v>
      </c>
      <c r="S12" s="8"/>
      <c r="T12" s="25" t="s">
        <v>1870</v>
      </c>
      <c r="U12" t="s">
        <v>1869</v>
      </c>
    </row>
    <row r="13" spans="3:21">
      <c r="C13" s="3"/>
      <c r="F13" s="12">
        <v>8</v>
      </c>
      <c r="G13" s="2" t="s">
        <v>288</v>
      </c>
      <c r="H13" s="7">
        <f t="shared" si="0"/>
        <v>3</v>
      </c>
      <c r="I13" s="3">
        <v>40632.41678240741</v>
      </c>
      <c r="J13" s="8" t="s">
        <v>570</v>
      </c>
      <c r="K13" s="4">
        <f t="shared" si="1"/>
        <v>4</v>
      </c>
      <c r="L13" s="4">
        <v>7</v>
      </c>
      <c r="M13" s="4">
        <v>4</v>
      </c>
      <c r="Q13">
        <v>3</v>
      </c>
      <c r="S13" s="8"/>
      <c r="T13" s="26" t="s">
        <v>294</v>
      </c>
      <c r="U13" s="4">
        <v>2</v>
      </c>
    </row>
    <row r="14" spans="3:21">
      <c r="C14" s="3"/>
      <c r="D14" s="1"/>
      <c r="F14" s="12">
        <v>11</v>
      </c>
      <c r="G14" s="4" t="s">
        <v>288</v>
      </c>
      <c r="H14" s="7">
        <f t="shared" si="0"/>
        <v>3</v>
      </c>
      <c r="I14" s="3">
        <v>40632.606296296297</v>
      </c>
      <c r="J14" s="8" t="s">
        <v>477</v>
      </c>
      <c r="K14" s="4">
        <f t="shared" si="1"/>
        <v>5</v>
      </c>
      <c r="L14" s="4">
        <v>3</v>
      </c>
      <c r="M14" s="4">
        <v>5</v>
      </c>
      <c r="Q14">
        <v>3</v>
      </c>
      <c r="S14" s="8"/>
      <c r="T14" s="26" t="s">
        <v>336</v>
      </c>
      <c r="U14" s="4">
        <v>6</v>
      </c>
    </row>
    <row r="15" spans="3:21">
      <c r="C15" s="3"/>
      <c r="F15" s="12">
        <v>15</v>
      </c>
      <c r="G15" t="s">
        <v>288</v>
      </c>
      <c r="H15" s="7">
        <f t="shared" si="0"/>
        <v>3</v>
      </c>
      <c r="I15" s="3">
        <v>40632.423449074071</v>
      </c>
      <c r="J15" s="8" t="s">
        <v>676</v>
      </c>
      <c r="K15" s="4">
        <f t="shared" si="1"/>
        <v>6</v>
      </c>
      <c r="L15" s="4">
        <v>2</v>
      </c>
      <c r="M15" s="4">
        <v>6</v>
      </c>
      <c r="Q15">
        <v>3</v>
      </c>
      <c r="S15" s="8"/>
      <c r="T15" s="26" t="s">
        <v>288</v>
      </c>
      <c r="U15" s="4">
        <v>11</v>
      </c>
    </row>
    <row r="16" spans="3:21">
      <c r="C16" s="3"/>
      <c r="F16" s="12">
        <v>17</v>
      </c>
      <c r="G16" t="s">
        <v>288</v>
      </c>
      <c r="H16" s="7">
        <f t="shared" si="0"/>
        <v>3</v>
      </c>
      <c r="I16" s="3">
        <v>40632.901886574073</v>
      </c>
      <c r="J16" s="8" t="s">
        <v>665</v>
      </c>
      <c r="K16" s="4">
        <f t="shared" si="1"/>
        <v>7</v>
      </c>
      <c r="L16" s="4">
        <v>2</v>
      </c>
      <c r="M16" s="4">
        <v>7</v>
      </c>
      <c r="Q16">
        <v>3</v>
      </c>
      <c r="S16" s="8"/>
      <c r="T16" s="26" t="s">
        <v>300</v>
      </c>
      <c r="U16" s="4">
        <v>1</v>
      </c>
    </row>
    <row r="17" spans="3:24">
      <c r="C17" s="3"/>
      <c r="F17" s="12">
        <v>21</v>
      </c>
      <c r="G17" s="2" t="s">
        <v>288</v>
      </c>
      <c r="H17" s="7">
        <f t="shared" si="0"/>
        <v>3</v>
      </c>
      <c r="I17" s="3">
        <v>40633.791666666664</v>
      </c>
      <c r="J17" s="8" t="s">
        <v>586</v>
      </c>
      <c r="K17" s="4">
        <f t="shared" si="1"/>
        <v>8</v>
      </c>
      <c r="L17" s="4">
        <v>2</v>
      </c>
      <c r="M17" s="4">
        <v>8</v>
      </c>
      <c r="Q17">
        <v>3</v>
      </c>
      <c r="S17" s="8"/>
      <c r="T17" s="26" t="s">
        <v>289</v>
      </c>
      <c r="U17" s="4">
        <v>2</v>
      </c>
    </row>
    <row r="18" spans="3:24">
      <c r="C18" s="3"/>
      <c r="F18" s="12">
        <v>22</v>
      </c>
      <c r="G18" t="s">
        <v>288</v>
      </c>
      <c r="H18" s="7">
        <f t="shared" si="0"/>
        <v>3</v>
      </c>
      <c r="I18" s="3">
        <v>40633.763344907406</v>
      </c>
      <c r="J18" s="8" t="s">
        <v>1155</v>
      </c>
      <c r="K18" s="4">
        <f t="shared" si="1"/>
        <v>9</v>
      </c>
      <c r="L18" s="4">
        <v>3</v>
      </c>
      <c r="M18" s="4">
        <v>9</v>
      </c>
      <c r="Q18">
        <v>3</v>
      </c>
      <c r="S18" s="8"/>
      <c r="T18" s="26" t="s">
        <v>1581</v>
      </c>
      <c r="U18" s="4">
        <v>1</v>
      </c>
    </row>
    <row r="19" spans="3:24">
      <c r="C19" s="3"/>
      <c r="D19" s="1"/>
      <c r="F19" s="12">
        <v>26</v>
      </c>
      <c r="G19" t="s">
        <v>288</v>
      </c>
      <c r="H19" s="7">
        <f t="shared" si="0"/>
        <v>3</v>
      </c>
      <c r="I19" s="3">
        <v>40634.62972222222</v>
      </c>
      <c r="J19" s="8" t="s">
        <v>579</v>
      </c>
      <c r="K19" s="4">
        <f t="shared" si="1"/>
        <v>10</v>
      </c>
      <c r="L19" s="4">
        <v>2</v>
      </c>
      <c r="M19" s="4">
        <v>10</v>
      </c>
      <c r="Q19">
        <v>3</v>
      </c>
      <c r="S19" s="8"/>
      <c r="T19" s="26" t="s">
        <v>299</v>
      </c>
      <c r="U19" s="4">
        <v>6</v>
      </c>
      <c r="W19" s="12">
        <f>U21/8</f>
        <v>3.75</v>
      </c>
      <c r="X19" t="s">
        <v>1865</v>
      </c>
    </row>
    <row r="20" spans="3:24">
      <c r="C20" s="3"/>
      <c r="F20" s="12">
        <v>28</v>
      </c>
      <c r="G20" t="s">
        <v>288</v>
      </c>
      <c r="H20" s="7">
        <f t="shared" si="0"/>
        <v>3</v>
      </c>
      <c r="I20" s="3">
        <v>40634.601226851853</v>
      </c>
      <c r="J20" s="8" t="s">
        <v>1108</v>
      </c>
      <c r="K20" s="4">
        <f t="shared" si="1"/>
        <v>11</v>
      </c>
      <c r="L20" s="4">
        <v>6</v>
      </c>
      <c r="M20" s="4">
        <v>11</v>
      </c>
      <c r="Q20">
        <v>3</v>
      </c>
      <c r="S20" s="8"/>
      <c r="T20" s="26" t="s">
        <v>438</v>
      </c>
      <c r="U20" s="4">
        <v>1</v>
      </c>
    </row>
    <row r="21" spans="3:24">
      <c r="C21" s="3"/>
      <c r="F21" s="12">
        <v>24</v>
      </c>
      <c r="G21" s="2" t="s">
        <v>300</v>
      </c>
      <c r="H21" s="7">
        <f t="shared" si="0"/>
        <v>4</v>
      </c>
      <c r="I21" s="3">
        <v>40633.951550925929</v>
      </c>
      <c r="J21" s="8" t="s">
        <v>712</v>
      </c>
      <c r="K21" s="4">
        <f t="shared" si="1"/>
        <v>1</v>
      </c>
      <c r="L21" s="4">
        <v>2</v>
      </c>
      <c r="M21" s="4">
        <v>1</v>
      </c>
      <c r="Q21">
        <v>4</v>
      </c>
      <c r="S21" s="8"/>
      <c r="T21" s="26" t="s">
        <v>1871</v>
      </c>
      <c r="U21" s="4">
        <v>30</v>
      </c>
    </row>
    <row r="22" spans="3:24">
      <c r="C22" s="3"/>
      <c r="F22" s="12">
        <v>29</v>
      </c>
      <c r="G22" s="2" t="s">
        <v>289</v>
      </c>
      <c r="H22" s="7">
        <f t="shared" si="0"/>
        <v>5</v>
      </c>
      <c r="I22" s="3">
        <v>40635.272743055553</v>
      </c>
      <c r="J22" s="8" t="s">
        <v>1109</v>
      </c>
      <c r="K22" s="4">
        <f t="shared" si="1"/>
        <v>1</v>
      </c>
      <c r="L22" s="4">
        <v>2</v>
      </c>
      <c r="M22" s="4">
        <v>1</v>
      </c>
      <c r="Q22">
        <v>5</v>
      </c>
      <c r="S22" s="8"/>
    </row>
    <row r="23" spans="3:24">
      <c r="C23" s="3"/>
      <c r="F23" s="12">
        <v>30</v>
      </c>
      <c r="G23" s="4" t="s">
        <v>289</v>
      </c>
      <c r="H23" s="7">
        <f t="shared" si="0"/>
        <v>5</v>
      </c>
      <c r="I23" s="3">
        <v>40635.34306712963</v>
      </c>
      <c r="J23" s="8" t="s">
        <v>434</v>
      </c>
      <c r="K23" s="4">
        <f t="shared" si="1"/>
        <v>2</v>
      </c>
      <c r="L23" s="4">
        <v>2</v>
      </c>
      <c r="M23" s="4">
        <v>2</v>
      </c>
      <c r="Q23">
        <v>5</v>
      </c>
      <c r="S23" s="8"/>
    </row>
    <row r="24" spans="3:24">
      <c r="C24" s="3"/>
      <c r="F24" s="12">
        <v>13</v>
      </c>
      <c r="G24" s="2" t="s">
        <v>1581</v>
      </c>
      <c r="H24" s="7">
        <f t="shared" si="0"/>
        <v>6</v>
      </c>
      <c r="I24" s="3">
        <v>40632.723993055559</v>
      </c>
      <c r="J24" s="8" t="s">
        <v>1455</v>
      </c>
      <c r="K24" s="4">
        <f t="shared" si="1"/>
        <v>1</v>
      </c>
      <c r="L24" s="4">
        <v>4</v>
      </c>
      <c r="M24" s="4">
        <v>1</v>
      </c>
      <c r="Q24">
        <v>6</v>
      </c>
      <c r="S24" s="8"/>
    </row>
    <row r="25" spans="3:24">
      <c r="C25" s="3"/>
      <c r="F25" s="12">
        <v>7</v>
      </c>
      <c r="G25" t="s">
        <v>299</v>
      </c>
      <c r="H25" s="7">
        <f t="shared" si="0"/>
        <v>7</v>
      </c>
      <c r="I25" s="3">
        <v>40625.667847222219</v>
      </c>
      <c r="J25" s="8" t="s">
        <v>1239</v>
      </c>
      <c r="K25" s="4">
        <f t="shared" si="1"/>
        <v>1</v>
      </c>
      <c r="L25" s="4">
        <v>5</v>
      </c>
      <c r="M25" s="4">
        <v>1</v>
      </c>
      <c r="Q25">
        <v>7</v>
      </c>
      <c r="S25" s="8"/>
      <c r="T25" s="10"/>
    </row>
    <row r="26" spans="3:24">
      <c r="C26" s="3"/>
      <c r="F26" s="12">
        <v>12</v>
      </c>
      <c r="G26" t="s">
        <v>299</v>
      </c>
      <c r="H26" s="7">
        <f t="shared" si="0"/>
        <v>7</v>
      </c>
      <c r="I26" s="3">
        <v>40632.50582175926</v>
      </c>
      <c r="J26" s="8" t="s">
        <v>1454</v>
      </c>
      <c r="K26" s="4">
        <f t="shared" si="1"/>
        <v>2</v>
      </c>
      <c r="L26" s="4">
        <v>6</v>
      </c>
      <c r="M26" s="4">
        <v>2</v>
      </c>
      <c r="Q26">
        <v>7</v>
      </c>
      <c r="S26" s="8"/>
      <c r="T26" s="10"/>
    </row>
    <row r="27" spans="3:24">
      <c r="C27" s="3"/>
      <c r="F27" s="12">
        <v>14</v>
      </c>
      <c r="G27" s="2" t="s">
        <v>299</v>
      </c>
      <c r="H27" s="7">
        <f t="shared" si="0"/>
        <v>7</v>
      </c>
      <c r="I27" s="3">
        <v>40632.724247685182</v>
      </c>
      <c r="J27" s="8" t="s">
        <v>1057</v>
      </c>
      <c r="K27" s="4">
        <f t="shared" si="1"/>
        <v>3</v>
      </c>
      <c r="L27" s="4">
        <v>4</v>
      </c>
      <c r="M27" s="4">
        <v>3</v>
      </c>
      <c r="Q27">
        <v>7</v>
      </c>
      <c r="S27" s="8"/>
      <c r="T27" s="10"/>
    </row>
    <row r="28" spans="3:24">
      <c r="C28" s="3"/>
      <c r="F28" s="12">
        <v>16</v>
      </c>
      <c r="G28" s="2" t="s">
        <v>299</v>
      </c>
      <c r="H28" s="7">
        <f t="shared" si="0"/>
        <v>7</v>
      </c>
      <c r="I28" s="3">
        <v>40633.414953703701</v>
      </c>
      <c r="J28" s="8" t="s">
        <v>677</v>
      </c>
      <c r="K28" s="4">
        <f t="shared" si="1"/>
        <v>4</v>
      </c>
      <c r="L28" s="4">
        <v>7</v>
      </c>
      <c r="M28" s="4">
        <v>4</v>
      </c>
      <c r="Q28">
        <v>7</v>
      </c>
      <c r="S28" s="8"/>
      <c r="T28" s="10"/>
    </row>
    <row r="29" spans="3:24">
      <c r="C29" s="3"/>
      <c r="F29" s="12">
        <v>18</v>
      </c>
      <c r="G29" s="2" t="s">
        <v>299</v>
      </c>
      <c r="H29" s="7">
        <f t="shared" si="0"/>
        <v>7</v>
      </c>
      <c r="I29" s="3">
        <v>40633.691030092596</v>
      </c>
      <c r="J29" s="8" t="s">
        <v>1460</v>
      </c>
      <c r="K29" s="4">
        <f t="shared" si="1"/>
        <v>5</v>
      </c>
      <c r="L29" s="4">
        <v>2</v>
      </c>
      <c r="M29" s="4">
        <v>5</v>
      </c>
      <c r="Q29">
        <v>7</v>
      </c>
      <c r="S29" s="8"/>
      <c r="T29" s="10"/>
    </row>
    <row r="30" spans="3:24">
      <c r="C30" s="3"/>
      <c r="F30" s="12">
        <v>20</v>
      </c>
      <c r="G30" t="s">
        <v>299</v>
      </c>
      <c r="H30" s="7">
        <f t="shared" si="0"/>
        <v>7</v>
      </c>
      <c r="I30" s="3">
        <v>40633.416678240741</v>
      </c>
      <c r="J30" s="8" t="s">
        <v>585</v>
      </c>
      <c r="K30" s="4">
        <f t="shared" si="1"/>
        <v>6</v>
      </c>
      <c r="L30" s="4">
        <v>2</v>
      </c>
      <c r="M30" s="4">
        <v>6</v>
      </c>
      <c r="Q30">
        <v>7</v>
      </c>
      <c r="S30" s="8"/>
      <c r="T30" s="10"/>
    </row>
    <row r="31" spans="3:24">
      <c r="C31" s="3"/>
      <c r="F31" s="12">
        <v>4</v>
      </c>
      <c r="G31" s="2" t="s">
        <v>438</v>
      </c>
      <c r="H31" s="7">
        <f t="shared" si="0"/>
        <v>8</v>
      </c>
      <c r="I31" s="3">
        <v>40630.606134259258</v>
      </c>
      <c r="J31" s="8" t="s">
        <v>671</v>
      </c>
      <c r="K31" s="4">
        <f t="shared" si="1"/>
        <v>1</v>
      </c>
      <c r="L31" s="4">
        <v>3</v>
      </c>
      <c r="M31" s="4">
        <v>1</v>
      </c>
      <c r="Q31">
        <v>8</v>
      </c>
      <c r="S31" s="8"/>
      <c r="T31" s="10"/>
    </row>
    <row r="32" spans="3:24">
      <c r="C32" s="3"/>
      <c r="G32" s="40"/>
      <c r="H32" s="43"/>
      <c r="I32" s="3"/>
      <c r="J32" s="8" t="s">
        <v>1874</v>
      </c>
      <c r="L32" s="16">
        <f>AVERAGE(L2:L31)</f>
        <v>4</v>
      </c>
      <c r="N32" s="39"/>
      <c r="S32" s="8"/>
      <c r="T32" s="10"/>
    </row>
    <row r="33" spans="3:20">
      <c r="C33" s="3"/>
      <c r="G33" s="42"/>
      <c r="H33" s="43"/>
      <c r="I33" s="3"/>
      <c r="N33" s="40"/>
      <c r="S33" s="8"/>
      <c r="T33" s="10"/>
    </row>
    <row r="34" spans="3:20">
      <c r="C34" s="3"/>
      <c r="G34" s="40"/>
      <c r="H34" s="43"/>
      <c r="I34" s="3"/>
      <c r="N34" s="39"/>
      <c r="S34" s="8"/>
      <c r="T34" s="10"/>
    </row>
    <row r="35" spans="3:20">
      <c r="C35" s="3"/>
      <c r="G35" s="40"/>
      <c r="H35" s="43"/>
      <c r="I35" s="3"/>
      <c r="N35" s="40"/>
      <c r="S35" s="8"/>
      <c r="T35" s="10"/>
    </row>
    <row r="36" spans="3:20">
      <c r="C36" s="3"/>
      <c r="G36" s="40"/>
      <c r="H36" s="43"/>
      <c r="I36" s="3"/>
      <c r="N36" s="41"/>
      <c r="S36" s="8"/>
      <c r="T36" s="10"/>
    </row>
    <row r="37" spans="3:20">
      <c r="C37" s="3"/>
      <c r="G37" s="40"/>
      <c r="H37" s="43"/>
      <c r="I37" s="3"/>
      <c r="N37" s="39"/>
      <c r="S37" s="8"/>
      <c r="T37" s="10"/>
    </row>
    <row r="38" spans="3:20">
      <c r="C38" s="3"/>
      <c r="G38" s="41"/>
      <c r="H38" s="43"/>
      <c r="I38" s="3"/>
      <c r="N38" s="41"/>
      <c r="S38" s="8"/>
      <c r="T38" s="10"/>
    </row>
    <row r="39" spans="3:20">
      <c r="C39" s="3"/>
      <c r="G39" s="42"/>
      <c r="H39" s="43"/>
      <c r="I39" s="3"/>
      <c r="N39" s="40"/>
      <c r="S39" s="8"/>
      <c r="T39" s="10"/>
    </row>
    <row r="40" spans="3:20">
      <c r="C40" s="3"/>
      <c r="G40" s="39"/>
      <c r="H40" s="43"/>
      <c r="I40" s="3"/>
      <c r="N40" s="40"/>
      <c r="S40" s="8"/>
      <c r="T40" s="10"/>
    </row>
    <row r="41" spans="3:20">
      <c r="C41" s="3"/>
      <c r="G41" s="40"/>
      <c r="H41" s="43"/>
      <c r="I41" s="3"/>
      <c r="N41" s="40"/>
      <c r="S41" s="8"/>
      <c r="T41" s="10"/>
    </row>
    <row r="42" spans="3:20">
      <c r="C42" s="3"/>
      <c r="G42" s="40"/>
      <c r="H42" s="43"/>
      <c r="I42" s="3"/>
      <c r="N42" s="40"/>
      <c r="S42" s="8"/>
      <c r="T42" s="10"/>
    </row>
    <row r="43" spans="3:20">
      <c r="C43" s="3"/>
      <c r="G43" s="40"/>
      <c r="H43" s="43"/>
      <c r="I43" s="3"/>
      <c r="N43" s="42"/>
      <c r="S43" s="8"/>
      <c r="T43" s="10"/>
    </row>
    <row r="44" spans="3:20">
      <c r="C44" s="3"/>
      <c r="G44" s="39"/>
      <c r="H44" s="43"/>
      <c r="I44" s="3"/>
      <c r="S44" s="8"/>
      <c r="T44" s="10"/>
    </row>
    <row r="45" spans="3:20">
      <c r="C45" s="3"/>
      <c r="G45" s="39"/>
      <c r="H45" s="43"/>
      <c r="I45" s="3"/>
      <c r="S45" s="8"/>
      <c r="T45" s="10"/>
    </row>
    <row r="46" spans="3:20">
      <c r="C46" s="3"/>
      <c r="G46" s="39"/>
      <c r="H46" s="43"/>
      <c r="I46" s="3"/>
      <c r="S46" s="8"/>
      <c r="T46" s="10"/>
    </row>
    <row r="47" spans="3:20">
      <c r="C47" s="3"/>
      <c r="G47" s="39"/>
      <c r="H47" s="43"/>
      <c r="I47" s="3"/>
      <c r="S47" s="8"/>
      <c r="T47" s="10"/>
    </row>
    <row r="48" spans="3:20">
      <c r="C48" s="3"/>
      <c r="G48" s="41"/>
      <c r="H48" s="43"/>
      <c r="I48" s="3"/>
      <c r="S48" s="8"/>
      <c r="T48" s="10"/>
    </row>
    <row r="49" spans="3:20">
      <c r="C49" s="3"/>
      <c r="G49" s="41"/>
      <c r="H49" s="43"/>
      <c r="I49" s="3"/>
      <c r="S49" s="8"/>
      <c r="T49" s="10"/>
    </row>
    <row r="50" spans="3:20">
      <c r="C50" s="3"/>
      <c r="G50" s="42"/>
      <c r="H50" s="43"/>
      <c r="I50" s="3"/>
      <c r="S50" s="8"/>
      <c r="T50" s="10"/>
    </row>
    <row r="51" spans="3:20">
      <c r="C51" s="3"/>
      <c r="G51" s="40"/>
      <c r="H51" s="43"/>
      <c r="I51" s="3"/>
      <c r="S51" s="8"/>
      <c r="T51" s="10"/>
    </row>
    <row r="52" spans="3:20">
      <c r="C52" s="3"/>
      <c r="G52" s="40"/>
      <c r="H52" s="43"/>
      <c r="I52" s="3"/>
      <c r="S52" s="8"/>
      <c r="T52" s="10"/>
    </row>
    <row r="53" spans="3:20">
      <c r="C53" s="3"/>
      <c r="G53" s="40"/>
      <c r="H53" s="43"/>
      <c r="I53" s="3"/>
      <c r="S53" s="8"/>
      <c r="T53" s="10"/>
    </row>
    <row r="54" spans="3:20">
      <c r="C54" s="3"/>
      <c r="G54" s="40"/>
      <c r="H54" s="43"/>
      <c r="I54" s="3"/>
      <c r="S54" s="8"/>
      <c r="T54" s="10"/>
    </row>
    <row r="55" spans="3:20">
      <c r="C55" s="3"/>
      <c r="G55" s="40"/>
      <c r="H55" s="43"/>
      <c r="I55" s="3"/>
      <c r="S55" s="8"/>
      <c r="T55" s="10"/>
    </row>
    <row r="56" spans="3:20">
      <c r="C56" s="3"/>
      <c r="D56" s="1"/>
      <c r="G56" s="40"/>
      <c r="H56" s="43"/>
      <c r="I56" s="3"/>
      <c r="S56" s="8"/>
      <c r="T56" s="10"/>
    </row>
    <row r="57" spans="3:20">
      <c r="C57" s="3"/>
      <c r="G57" s="40"/>
      <c r="H57" s="43"/>
      <c r="I57" s="3"/>
      <c r="S57" s="8"/>
      <c r="T57" s="10"/>
    </row>
    <row r="58" spans="3:20">
      <c r="C58" s="3"/>
      <c r="G58" s="40"/>
      <c r="H58" s="43"/>
      <c r="I58" s="3"/>
      <c r="S58" s="8"/>
      <c r="T58" s="10"/>
    </row>
    <row r="59" spans="3:20">
      <c r="C59" s="3"/>
      <c r="G59" s="40"/>
      <c r="H59" s="43"/>
      <c r="I59" s="3"/>
      <c r="S59" s="8"/>
      <c r="T59" s="10"/>
    </row>
    <row r="60" spans="3:20">
      <c r="C60" s="3"/>
      <c r="G60" s="40"/>
      <c r="H60" s="43"/>
      <c r="I60" s="3"/>
      <c r="S60" s="8"/>
      <c r="T60" s="10"/>
    </row>
    <row r="61" spans="3:20">
      <c r="C61" s="3"/>
      <c r="G61" s="40"/>
      <c r="H61" s="43"/>
      <c r="I61" s="3"/>
      <c r="S61" s="8"/>
      <c r="T61" s="10"/>
    </row>
    <row r="62" spans="3:20">
      <c r="C62" s="3"/>
      <c r="G62" s="40"/>
      <c r="H62" s="43"/>
      <c r="I62" s="3"/>
      <c r="S62" s="8"/>
      <c r="T62" s="10"/>
    </row>
    <row r="63" spans="3:20">
      <c r="C63" s="3"/>
      <c r="G63" s="40"/>
      <c r="H63" s="43"/>
      <c r="I63" s="3"/>
      <c r="S63" s="8"/>
      <c r="T63" s="10"/>
    </row>
    <row r="64" spans="3:20">
      <c r="C64" s="3"/>
      <c r="G64" s="40"/>
      <c r="H64" s="43"/>
      <c r="I64" s="3"/>
      <c r="S64" s="8"/>
      <c r="T64" s="10"/>
    </row>
    <row r="65" spans="3:20">
      <c r="C65" s="3"/>
      <c r="G65" s="40"/>
      <c r="H65" s="43"/>
      <c r="I65" s="3"/>
      <c r="S65" s="8"/>
      <c r="T65" s="10"/>
    </row>
    <row r="66" spans="3:20">
      <c r="C66" s="3"/>
      <c r="G66" s="40"/>
      <c r="H66" s="43"/>
      <c r="I66" s="3"/>
      <c r="S66" s="8"/>
      <c r="T66" s="10"/>
    </row>
    <row r="67" spans="3:20">
      <c r="C67" s="3"/>
      <c r="G67" s="40"/>
      <c r="H67" s="43"/>
      <c r="I67" s="3"/>
      <c r="S67" s="8"/>
      <c r="T67" s="10"/>
    </row>
    <row r="68" spans="3:20">
      <c r="C68" s="3"/>
      <c r="G68" s="40"/>
      <c r="H68" s="43"/>
      <c r="I68" s="3"/>
      <c r="S68" s="8"/>
      <c r="T68" s="10"/>
    </row>
    <row r="69" spans="3:20">
      <c r="C69" s="3"/>
      <c r="G69" s="40"/>
      <c r="H69" s="43"/>
      <c r="I69" s="3"/>
      <c r="S69" s="8"/>
      <c r="T69" s="10"/>
    </row>
    <row r="70" spans="3:20">
      <c r="C70" s="3"/>
      <c r="G70" s="40"/>
      <c r="H70" s="43"/>
      <c r="I70" s="3"/>
      <c r="S70" s="8"/>
      <c r="T70" s="10"/>
    </row>
    <row r="71" spans="3:20">
      <c r="C71" s="3"/>
      <c r="G71" s="40"/>
      <c r="H71" s="43"/>
      <c r="I71" s="3"/>
      <c r="S71" s="8"/>
      <c r="T71" s="10"/>
    </row>
    <row r="72" spans="3:20">
      <c r="C72" s="3"/>
      <c r="G72" s="40"/>
      <c r="H72" s="43"/>
      <c r="I72" s="3"/>
      <c r="S72" s="8"/>
      <c r="T72" s="10"/>
    </row>
    <row r="73" spans="3:20">
      <c r="C73" s="3"/>
      <c r="G73" s="40"/>
      <c r="H73" s="43"/>
      <c r="I73" s="3"/>
      <c r="S73" s="8"/>
      <c r="T73" s="10"/>
    </row>
    <row r="74" spans="3:20">
      <c r="C74" s="3"/>
      <c r="G74" s="40"/>
      <c r="H74" s="43"/>
      <c r="I74" s="3"/>
      <c r="S74" s="8"/>
      <c r="T74" s="10"/>
    </row>
    <row r="75" spans="3:20">
      <c r="C75" s="3"/>
      <c r="G75" s="40"/>
      <c r="H75" s="43"/>
      <c r="I75" s="3"/>
      <c r="S75" s="8"/>
      <c r="T75" s="10"/>
    </row>
    <row r="76" spans="3:20">
      <c r="C76" s="3"/>
      <c r="G76" s="40"/>
      <c r="H76" s="43"/>
      <c r="I76" s="3"/>
      <c r="S76" s="8"/>
      <c r="T76" s="10"/>
    </row>
    <row r="77" spans="3:20">
      <c r="C77" s="3"/>
      <c r="G77" s="40"/>
      <c r="H77" s="43"/>
      <c r="I77" s="3"/>
      <c r="S77" s="8"/>
      <c r="T77" s="10"/>
    </row>
    <row r="78" spans="3:20">
      <c r="C78" s="3"/>
      <c r="G78" s="39"/>
      <c r="H78" s="43"/>
      <c r="I78" s="3"/>
      <c r="S78" s="8"/>
      <c r="T78" s="10"/>
    </row>
    <row r="79" spans="3:20">
      <c r="C79" s="3"/>
      <c r="G79" s="40"/>
      <c r="H79" s="43"/>
      <c r="I79" s="3"/>
      <c r="S79" s="8"/>
      <c r="T79" s="10"/>
    </row>
    <row r="80" spans="3:20">
      <c r="C80" s="3"/>
      <c r="G80" s="39"/>
      <c r="H80" s="43"/>
      <c r="I80" s="3"/>
      <c r="S80" s="8"/>
      <c r="T80" s="10"/>
    </row>
    <row r="81" spans="3:20">
      <c r="C81" s="3"/>
      <c r="G81" s="40"/>
      <c r="H81" s="43"/>
      <c r="I81" s="3"/>
      <c r="S81" s="8"/>
      <c r="T81" s="10"/>
    </row>
    <row r="82" spans="3:20">
      <c r="C82" s="3"/>
      <c r="D82" s="1"/>
      <c r="G82" s="39"/>
      <c r="H82" s="43"/>
      <c r="I82" s="3"/>
      <c r="S82" s="8"/>
      <c r="T82" s="10"/>
    </row>
    <row r="83" spans="3:20">
      <c r="C83" s="3"/>
      <c r="G83" s="40"/>
      <c r="H83" s="43"/>
      <c r="I83" s="3"/>
      <c r="S83" s="8"/>
      <c r="T83" s="10"/>
    </row>
    <row r="84" spans="3:20">
      <c r="C84" s="3"/>
      <c r="G84" s="39"/>
      <c r="H84" s="43"/>
      <c r="I84" s="3"/>
      <c r="S84" s="8"/>
      <c r="T84" s="10"/>
    </row>
    <row r="85" spans="3:20">
      <c r="C85" s="3"/>
      <c r="G85" s="39"/>
      <c r="H85" s="43"/>
      <c r="I85" s="3"/>
      <c r="S85" s="8"/>
      <c r="T85" s="10"/>
    </row>
    <row r="86" spans="3:20">
      <c r="C86" s="3"/>
      <c r="G86" s="40"/>
      <c r="H86" s="43"/>
      <c r="I86" s="3"/>
      <c r="S86" s="8"/>
    </row>
    <row r="87" spans="3:20">
      <c r="C87" s="3"/>
      <c r="G87" s="40"/>
      <c r="H87" s="43"/>
      <c r="I87" s="3"/>
      <c r="S87" s="8"/>
      <c r="T87" s="10"/>
    </row>
    <row r="88" spans="3:20">
      <c r="C88" s="3"/>
      <c r="G88" s="40"/>
      <c r="H88" s="43"/>
      <c r="I88" s="3"/>
      <c r="S88" s="8"/>
      <c r="T88" s="10"/>
    </row>
    <row r="89" spans="3:20">
      <c r="C89" s="3"/>
      <c r="G89" s="40"/>
      <c r="H89" s="43"/>
      <c r="I89" s="3"/>
      <c r="S89" s="8"/>
      <c r="T89" s="10"/>
    </row>
    <row r="90" spans="3:20">
      <c r="C90" s="3"/>
      <c r="G90" s="40"/>
      <c r="H90" s="43"/>
      <c r="I90" s="3"/>
      <c r="S90" s="8"/>
      <c r="T90" s="10"/>
    </row>
    <row r="91" spans="3:20">
      <c r="C91" s="3"/>
      <c r="G91" s="40"/>
      <c r="H91" s="43"/>
      <c r="I91" s="3"/>
      <c r="S91" s="8"/>
      <c r="T91" s="10"/>
    </row>
    <row r="92" spans="3:20">
      <c r="C92" s="3"/>
      <c r="G92" s="39"/>
      <c r="H92" s="43"/>
      <c r="I92" s="3"/>
      <c r="S92" s="8"/>
      <c r="T92" s="10"/>
    </row>
    <row r="93" spans="3:20">
      <c r="C93" s="3"/>
      <c r="G93" s="40"/>
      <c r="H93" s="43"/>
      <c r="I93" s="3"/>
      <c r="S93" s="8"/>
      <c r="T93" s="10"/>
    </row>
    <row r="94" spans="3:20">
      <c r="C94" s="3"/>
      <c r="G94" s="40"/>
      <c r="H94" s="43"/>
      <c r="I94" s="3"/>
      <c r="S94" s="8"/>
      <c r="T94" s="10"/>
    </row>
    <row r="95" spans="3:20">
      <c r="C95" s="3"/>
      <c r="G95" s="40"/>
      <c r="H95" s="43"/>
      <c r="I95" s="3"/>
      <c r="S95" s="8"/>
      <c r="T95" s="10"/>
    </row>
    <row r="96" spans="3:20">
      <c r="C96" s="3"/>
      <c r="G96" s="40"/>
      <c r="H96" s="43"/>
      <c r="I96" s="3"/>
      <c r="S96" s="8"/>
      <c r="T96" s="10"/>
    </row>
    <row r="97" spans="3:20">
      <c r="C97" s="3"/>
      <c r="G97" s="39"/>
      <c r="H97" s="43"/>
      <c r="I97" s="3"/>
      <c r="S97" s="8"/>
      <c r="T97" s="10"/>
    </row>
    <row r="98" spans="3:20">
      <c r="C98" s="3"/>
      <c r="G98" s="40"/>
      <c r="H98" s="43"/>
      <c r="I98" s="3"/>
      <c r="S98" s="8"/>
      <c r="T98" s="10"/>
    </row>
    <row r="99" spans="3:20">
      <c r="C99" s="3"/>
      <c r="G99" s="40"/>
      <c r="H99" s="43"/>
      <c r="I99" s="3"/>
      <c r="S99" s="8"/>
      <c r="T99" s="10"/>
    </row>
    <row r="100" spans="3:20">
      <c r="C100" s="3"/>
      <c r="G100" s="40"/>
      <c r="H100" s="43"/>
      <c r="I100" s="3"/>
      <c r="S100" s="8"/>
      <c r="T100" s="10"/>
    </row>
    <row r="101" spans="3:20">
      <c r="C101" s="3"/>
      <c r="G101" s="39"/>
      <c r="H101" s="43"/>
      <c r="I101" s="3"/>
      <c r="S101" s="8"/>
      <c r="T101" s="10"/>
    </row>
    <row r="102" spans="3:20">
      <c r="C102" s="3"/>
      <c r="G102" s="40"/>
      <c r="H102" s="43"/>
      <c r="I102" s="3"/>
      <c r="S102" s="8"/>
      <c r="T102" s="10"/>
    </row>
    <row r="103" spans="3:20">
      <c r="C103" s="3"/>
      <c r="G103" s="40"/>
      <c r="H103" s="43"/>
      <c r="I103" s="3"/>
      <c r="S103" s="8"/>
      <c r="T103" s="10"/>
    </row>
    <row r="104" spans="3:20">
      <c r="C104" s="3"/>
      <c r="G104" s="39"/>
      <c r="H104" s="43"/>
      <c r="I104" s="3"/>
      <c r="S104" s="8"/>
      <c r="T104" s="10"/>
    </row>
    <row r="105" spans="3:20">
      <c r="C105" s="3"/>
      <c r="G105" s="40"/>
      <c r="H105" s="43"/>
      <c r="I105" s="3"/>
      <c r="S105" s="8"/>
      <c r="T105" s="10"/>
    </row>
    <row r="106" spans="3:20">
      <c r="C106" s="3"/>
      <c r="G106" s="40"/>
      <c r="H106" s="43"/>
      <c r="I106" s="3"/>
      <c r="S106" s="8"/>
      <c r="T106" s="10"/>
    </row>
    <row r="107" spans="3:20">
      <c r="C107" s="3"/>
      <c r="G107" s="39"/>
      <c r="H107" s="43"/>
      <c r="I107" s="3"/>
      <c r="S107" s="8"/>
      <c r="T107" s="10"/>
    </row>
    <row r="108" spans="3:20">
      <c r="C108" s="3"/>
      <c r="G108" s="39"/>
      <c r="H108" s="43"/>
      <c r="I108" s="3"/>
      <c r="S108" s="8"/>
      <c r="T108" s="10"/>
    </row>
    <row r="109" spans="3:20">
      <c r="C109" s="3"/>
      <c r="G109" s="40"/>
      <c r="H109" s="43"/>
      <c r="I109" s="3"/>
      <c r="S109" s="8"/>
      <c r="T109" s="10"/>
    </row>
    <row r="110" spans="3:20">
      <c r="C110" s="3"/>
      <c r="G110" s="39"/>
      <c r="H110" s="43"/>
      <c r="I110" s="3"/>
      <c r="S110" s="8"/>
      <c r="T110" s="10"/>
    </row>
    <row r="111" spans="3:20">
      <c r="C111" s="3"/>
      <c r="G111" s="40"/>
      <c r="H111" s="43"/>
      <c r="I111" s="3"/>
      <c r="S111" s="8"/>
      <c r="T111" s="10"/>
    </row>
    <row r="112" spans="3:20">
      <c r="C112" s="3"/>
      <c r="G112" s="39"/>
      <c r="H112" s="43"/>
      <c r="I112" s="3"/>
      <c r="S112" s="8"/>
      <c r="T112" s="10"/>
    </row>
    <row r="113" spans="3:20">
      <c r="C113" s="3"/>
      <c r="G113" s="39"/>
      <c r="H113" s="43"/>
      <c r="I113" s="3"/>
      <c r="S113" s="8"/>
      <c r="T113" s="10"/>
    </row>
    <row r="114" spans="3:20">
      <c r="C114" s="3"/>
      <c r="G114" s="40"/>
      <c r="H114" s="43"/>
      <c r="I114" s="3"/>
      <c r="S114" s="8"/>
      <c r="T114" s="10"/>
    </row>
    <row r="115" spans="3:20">
      <c r="C115" s="3"/>
      <c r="G115" s="40"/>
      <c r="H115" s="43"/>
      <c r="I115" s="3"/>
      <c r="S115" s="8"/>
      <c r="T115" s="10"/>
    </row>
    <row r="116" spans="3:20">
      <c r="C116" s="3"/>
      <c r="G116" s="39"/>
      <c r="H116" s="43"/>
      <c r="I116" s="3"/>
      <c r="S116" s="8"/>
      <c r="T116" s="10"/>
    </row>
    <row r="117" spans="3:20">
      <c r="C117" s="3"/>
      <c r="G117" s="40"/>
      <c r="H117" s="43"/>
      <c r="I117" s="3"/>
      <c r="S117" s="8"/>
      <c r="T117" s="10"/>
    </row>
    <row r="118" spans="3:20">
      <c r="C118" s="3"/>
      <c r="G118" s="40"/>
      <c r="H118" s="43"/>
      <c r="I118" s="3"/>
      <c r="S118" s="8"/>
      <c r="T118" s="10"/>
    </row>
    <row r="119" spans="3:20">
      <c r="C119" s="3"/>
      <c r="G119" s="39"/>
      <c r="H119" s="43"/>
      <c r="I119" s="3"/>
      <c r="S119" s="8"/>
      <c r="T119" s="10"/>
    </row>
    <row r="120" spans="3:20">
      <c r="C120" s="3"/>
      <c r="G120" s="39"/>
      <c r="H120" s="43"/>
      <c r="I120" s="3"/>
      <c r="S120" s="8"/>
      <c r="T120" s="10"/>
    </row>
    <row r="121" spans="3:20">
      <c r="C121" s="3"/>
      <c r="G121" s="40"/>
      <c r="H121" s="43"/>
      <c r="I121" s="3"/>
      <c r="S121" s="8"/>
      <c r="T121" s="10"/>
    </row>
    <row r="122" spans="3:20">
      <c r="C122" s="3"/>
      <c r="G122" s="39"/>
      <c r="H122" s="43"/>
      <c r="I122" s="3"/>
      <c r="S122" s="8"/>
      <c r="T122" s="10"/>
    </row>
    <row r="123" spans="3:20">
      <c r="C123" s="3"/>
      <c r="G123" s="40"/>
      <c r="H123" s="43"/>
      <c r="I123" s="3"/>
      <c r="S123" s="8"/>
      <c r="T123" s="10"/>
    </row>
    <row r="124" spans="3:20">
      <c r="C124" s="3"/>
      <c r="G124" s="39"/>
      <c r="H124" s="43"/>
      <c r="I124" s="3"/>
      <c r="S124" s="8"/>
      <c r="T124" s="10"/>
    </row>
    <row r="125" spans="3:20">
      <c r="C125" s="3"/>
      <c r="G125" s="42"/>
      <c r="H125" s="43"/>
      <c r="I125" s="3"/>
      <c r="S125" s="8"/>
      <c r="T125" s="10"/>
    </row>
    <row r="126" spans="3:20">
      <c r="C126" s="3"/>
      <c r="G126" s="42"/>
      <c r="H126" s="43"/>
      <c r="I126" s="3"/>
      <c r="S126" s="8"/>
      <c r="T126" s="10"/>
    </row>
    <row r="127" spans="3:20">
      <c r="C127" s="3"/>
      <c r="G127" s="41"/>
      <c r="H127" s="43"/>
      <c r="I127" s="3"/>
      <c r="S127" s="8"/>
      <c r="T127" s="10"/>
    </row>
    <row r="128" spans="3:20">
      <c r="C128" s="3"/>
      <c r="G128" s="40"/>
      <c r="H128" s="43"/>
      <c r="I128" s="3"/>
      <c r="S128" s="8"/>
      <c r="T128" s="10"/>
    </row>
    <row r="129" spans="3:20">
      <c r="C129" s="3"/>
      <c r="G129" s="40"/>
      <c r="H129" s="43"/>
      <c r="I129" s="3"/>
      <c r="S129" s="8"/>
      <c r="T129" s="10"/>
    </row>
    <row r="130" spans="3:20">
      <c r="C130" s="3"/>
      <c r="G130" s="39"/>
      <c r="H130" s="43"/>
      <c r="I130" s="3"/>
      <c r="S130" s="8"/>
      <c r="T130" s="10"/>
    </row>
    <row r="131" spans="3:20">
      <c r="C131" s="3"/>
      <c r="G131" s="40"/>
      <c r="H131" s="43"/>
      <c r="I131" s="3"/>
      <c r="S131" s="8"/>
      <c r="T131" s="10"/>
    </row>
    <row r="132" spans="3:20">
      <c r="C132" s="3"/>
      <c r="G132" s="40"/>
      <c r="H132" s="43"/>
      <c r="I132" s="3"/>
      <c r="S132" s="8"/>
      <c r="T132" s="10"/>
    </row>
    <row r="133" spans="3:20">
      <c r="C133" s="3"/>
      <c r="G133" s="40"/>
      <c r="H133" s="43"/>
      <c r="I133" s="3"/>
      <c r="S133" s="8"/>
      <c r="T133" s="10"/>
    </row>
    <row r="134" spans="3:20">
      <c r="C134" s="3"/>
      <c r="G134" s="40"/>
      <c r="H134" s="43"/>
      <c r="I134" s="3"/>
      <c r="S134" s="8"/>
      <c r="T134" s="10"/>
    </row>
    <row r="135" spans="3:20">
      <c r="C135" s="3"/>
      <c r="G135" s="40"/>
      <c r="H135" s="43"/>
      <c r="I135" s="3"/>
      <c r="S135" s="8"/>
      <c r="T135" s="10"/>
    </row>
    <row r="136" spans="3:20">
      <c r="C136" s="3"/>
      <c r="G136" s="39"/>
      <c r="H136" s="43"/>
      <c r="I136" s="3"/>
      <c r="S136" s="8"/>
      <c r="T136" s="10"/>
    </row>
    <row r="137" spans="3:20">
      <c r="C137" s="3"/>
      <c r="G137" s="40"/>
      <c r="H137" s="43"/>
      <c r="I137" s="3"/>
      <c r="S137" s="8"/>
      <c r="T137" s="10"/>
    </row>
    <row r="138" spans="3:20">
      <c r="C138" s="3"/>
      <c r="G138" s="39"/>
      <c r="H138" s="43"/>
      <c r="I138" s="3"/>
      <c r="S138" s="8"/>
      <c r="T138" s="10"/>
    </row>
    <row r="139" spans="3:20">
      <c r="C139" s="3"/>
      <c r="G139" s="39"/>
      <c r="H139" s="43"/>
      <c r="I139" s="3"/>
      <c r="S139" s="8"/>
      <c r="T139" s="10"/>
    </row>
    <row r="140" spans="3:20">
      <c r="C140" s="3"/>
      <c r="G140" s="40"/>
      <c r="H140" s="43"/>
      <c r="I140" s="3"/>
      <c r="S140" s="8"/>
      <c r="T140" s="10"/>
    </row>
    <row r="141" spans="3:20">
      <c r="C141" s="3"/>
      <c r="G141" s="40"/>
      <c r="H141" s="43"/>
      <c r="I141" s="3"/>
      <c r="S141" s="8"/>
      <c r="T141" s="10"/>
    </row>
    <row r="142" spans="3:20">
      <c r="C142" s="3"/>
      <c r="G142" s="40"/>
      <c r="H142" s="43"/>
      <c r="I142" s="3"/>
      <c r="S142" s="8"/>
      <c r="T142" s="10"/>
    </row>
    <row r="143" spans="3:20">
      <c r="C143" s="3"/>
      <c r="G143" s="40"/>
      <c r="H143" s="43"/>
      <c r="I143" s="3"/>
      <c r="S143" s="8"/>
      <c r="T143" s="10"/>
    </row>
    <row r="144" spans="3:20">
      <c r="C144" s="3"/>
      <c r="D144" s="1"/>
      <c r="G144" s="40"/>
      <c r="H144" s="43"/>
      <c r="I144" s="3"/>
      <c r="S144" s="8"/>
      <c r="T144" s="10"/>
    </row>
    <row r="145" spans="3:20">
      <c r="C145" s="3"/>
      <c r="G145" s="40"/>
      <c r="H145" s="43"/>
      <c r="I145" s="3"/>
      <c r="S145" s="8"/>
      <c r="T145" s="10"/>
    </row>
    <row r="146" spans="3:20">
      <c r="C146" s="3"/>
      <c r="G146" s="40"/>
      <c r="H146" s="43"/>
      <c r="I146" s="3"/>
      <c r="S146" s="8"/>
      <c r="T146" s="10"/>
    </row>
    <row r="147" spans="3:20">
      <c r="C147" s="3"/>
      <c r="G147" s="40"/>
      <c r="H147" s="43"/>
      <c r="I147" s="3"/>
      <c r="S147" s="8"/>
      <c r="T147" s="10"/>
    </row>
    <row r="148" spans="3:20">
      <c r="C148" s="3"/>
      <c r="G148" s="39"/>
      <c r="H148" s="43"/>
      <c r="I148" s="3"/>
      <c r="S148" s="8"/>
      <c r="T148" s="10"/>
    </row>
    <row r="149" spans="3:20">
      <c r="C149" s="3"/>
      <c r="G149" s="40"/>
      <c r="H149" s="43"/>
      <c r="I149" s="3"/>
      <c r="S149" s="8"/>
      <c r="T149" s="10"/>
    </row>
    <row r="150" spans="3:20">
      <c r="C150" s="3"/>
      <c r="G150" s="39"/>
      <c r="H150" s="43"/>
      <c r="I150" s="3"/>
      <c r="S150" s="8"/>
      <c r="T150" s="10"/>
    </row>
    <row r="151" spans="3:20">
      <c r="C151" s="3"/>
      <c r="G151" s="40"/>
      <c r="H151" s="43"/>
      <c r="I151" s="3"/>
      <c r="S151" s="8"/>
      <c r="T151" s="10"/>
    </row>
    <row r="152" spans="3:20">
      <c r="C152" s="3"/>
      <c r="G152" s="39"/>
      <c r="H152" s="43"/>
      <c r="I152" s="3"/>
      <c r="S152" s="8"/>
      <c r="T152" s="10"/>
    </row>
    <row r="153" spans="3:20">
      <c r="C153" s="3"/>
      <c r="G153" s="39"/>
      <c r="H153" s="43"/>
      <c r="I153" s="3"/>
      <c r="S153" s="8"/>
      <c r="T153" s="10"/>
    </row>
    <row r="154" spans="3:20">
      <c r="C154" s="3"/>
      <c r="G154" s="40"/>
      <c r="H154" s="43"/>
      <c r="I154" s="3"/>
      <c r="S154" s="8"/>
      <c r="T154" s="10"/>
    </row>
    <row r="155" spans="3:20">
      <c r="C155" s="3"/>
      <c r="G155" s="40"/>
      <c r="H155" s="43"/>
      <c r="I155" s="3"/>
      <c r="S155" s="8"/>
      <c r="T155" s="10"/>
    </row>
    <row r="156" spans="3:20">
      <c r="C156" s="3"/>
      <c r="G156" s="39"/>
      <c r="H156" s="43"/>
      <c r="I156" s="3"/>
      <c r="S156" s="8"/>
      <c r="T156" s="10"/>
    </row>
    <row r="157" spans="3:20">
      <c r="C157" s="3"/>
      <c r="G157" s="39"/>
      <c r="H157" s="43"/>
      <c r="I157" s="3"/>
      <c r="S157" s="8"/>
      <c r="T157" s="10"/>
    </row>
    <row r="158" spans="3:20">
      <c r="C158" s="3"/>
      <c r="G158" s="39"/>
      <c r="H158" s="43"/>
      <c r="I158" s="3"/>
      <c r="S158" s="8"/>
      <c r="T158" s="10"/>
    </row>
    <row r="159" spans="3:20">
      <c r="C159" s="3"/>
      <c r="G159" s="40"/>
      <c r="H159" s="43"/>
      <c r="I159" s="3"/>
      <c r="S159" s="8"/>
      <c r="T159" s="10"/>
    </row>
    <row r="160" spans="3:20">
      <c r="C160" s="3"/>
      <c r="G160" s="39"/>
      <c r="H160" s="43"/>
      <c r="I160" s="3"/>
      <c r="S160" s="8"/>
      <c r="T160" s="10"/>
    </row>
    <row r="161" spans="3:20">
      <c r="C161" s="3"/>
      <c r="G161" s="40"/>
      <c r="H161" s="43"/>
      <c r="I161" s="3"/>
      <c r="S161" s="8"/>
      <c r="T161" s="10"/>
    </row>
    <row r="162" spans="3:20">
      <c r="C162" s="3"/>
      <c r="G162" s="40"/>
      <c r="H162" s="43"/>
      <c r="I162" s="3"/>
      <c r="S162" s="8"/>
      <c r="T162" s="10"/>
    </row>
    <row r="163" spans="3:20">
      <c r="C163" s="3"/>
      <c r="G163" s="39"/>
      <c r="H163" s="43"/>
      <c r="I163" s="3"/>
      <c r="S163" s="8"/>
      <c r="T163" s="10"/>
    </row>
    <row r="164" spans="3:20">
      <c r="C164" s="3"/>
      <c r="G164" s="39"/>
      <c r="H164" s="43"/>
      <c r="I164" s="3"/>
      <c r="S164" s="8"/>
      <c r="T164" s="10"/>
    </row>
    <row r="165" spans="3:20">
      <c r="C165" s="3"/>
      <c r="G165" s="41"/>
      <c r="H165" s="43"/>
      <c r="I165" s="3"/>
      <c r="S165" s="8"/>
      <c r="T165" s="10"/>
    </row>
    <row r="166" spans="3:20">
      <c r="C166" s="3"/>
      <c r="G166" s="39"/>
      <c r="H166" s="43"/>
      <c r="I166" s="3"/>
      <c r="S166" s="8"/>
      <c r="T166" s="10"/>
    </row>
    <row r="167" spans="3:20">
      <c r="C167" s="3"/>
      <c r="G167" s="39"/>
      <c r="H167" s="43"/>
      <c r="I167" s="3"/>
      <c r="S167" s="8"/>
      <c r="T167" s="10"/>
    </row>
    <row r="168" spans="3:20">
      <c r="C168" s="3"/>
      <c r="G168" s="41"/>
      <c r="H168" s="43"/>
      <c r="I168" s="3"/>
      <c r="S168" s="8"/>
      <c r="T168" s="10"/>
    </row>
    <row r="169" spans="3:20">
      <c r="C169" s="3"/>
      <c r="G169" s="40"/>
      <c r="H169" s="43"/>
      <c r="I169" s="3"/>
      <c r="S169" s="8"/>
      <c r="T169" s="10"/>
    </row>
    <row r="170" spans="3:20">
      <c r="C170" s="3"/>
      <c r="G170" s="40"/>
      <c r="H170" s="43"/>
      <c r="I170" s="3"/>
      <c r="S170" s="8"/>
      <c r="T170" s="10"/>
    </row>
    <row r="171" spans="3:20">
      <c r="C171" s="3"/>
      <c r="G171" s="40"/>
      <c r="H171" s="43"/>
      <c r="I171" s="3"/>
      <c r="S171" s="8"/>
      <c r="T171" s="10"/>
    </row>
    <row r="172" spans="3:20">
      <c r="C172" s="3"/>
      <c r="G172" s="39"/>
      <c r="H172" s="43"/>
      <c r="I172" s="3"/>
      <c r="S172" s="8"/>
      <c r="T172" s="10"/>
    </row>
    <row r="173" spans="3:20">
      <c r="C173" s="3"/>
      <c r="G173" s="39"/>
      <c r="H173" s="43"/>
      <c r="I173" s="3"/>
      <c r="S173" s="8"/>
      <c r="T173" s="10"/>
    </row>
    <row r="174" spans="3:20">
      <c r="C174" s="3"/>
      <c r="G174" s="40"/>
      <c r="H174" s="43"/>
      <c r="I174" s="3"/>
      <c r="S174" s="8"/>
      <c r="T174" s="10"/>
    </row>
    <row r="175" spans="3:20">
      <c r="C175" s="3"/>
      <c r="G175" s="39"/>
      <c r="H175" s="43"/>
      <c r="I175" s="3"/>
      <c r="S175" s="8"/>
      <c r="T175" s="10"/>
    </row>
    <row r="176" spans="3:20">
      <c r="C176" s="3"/>
      <c r="G176" s="39"/>
      <c r="H176" s="43"/>
      <c r="I176" s="3"/>
      <c r="S176" s="8"/>
      <c r="T176" s="10"/>
    </row>
    <row r="177" spans="3:20">
      <c r="C177" s="3"/>
      <c r="G177" s="40"/>
      <c r="H177" s="43"/>
      <c r="I177" s="3"/>
      <c r="S177" s="8"/>
      <c r="T177" s="10"/>
    </row>
    <row r="178" spans="3:20">
      <c r="C178" s="3"/>
      <c r="G178" s="40"/>
      <c r="H178" s="43"/>
      <c r="I178" s="3"/>
      <c r="S178" s="8"/>
      <c r="T178" s="10"/>
    </row>
    <row r="179" spans="3:20">
      <c r="C179" s="3"/>
      <c r="G179" s="40"/>
      <c r="H179" s="43"/>
      <c r="I179" s="3"/>
      <c r="S179" s="8"/>
      <c r="T179" s="10"/>
    </row>
    <row r="180" spans="3:20">
      <c r="C180" s="3"/>
      <c r="G180" s="40"/>
      <c r="H180" s="43"/>
      <c r="I180" s="3"/>
      <c r="S180" s="8"/>
      <c r="T180" s="10"/>
    </row>
    <row r="181" spans="3:20">
      <c r="C181" s="3"/>
      <c r="G181" s="39"/>
      <c r="H181" s="43"/>
      <c r="I181" s="3"/>
      <c r="S181" s="8"/>
      <c r="T181" s="10"/>
    </row>
    <row r="182" spans="3:20">
      <c r="C182" s="3"/>
      <c r="G182" s="39"/>
      <c r="H182" s="43"/>
      <c r="I182" s="3"/>
      <c r="S182" s="8"/>
      <c r="T182" s="10"/>
    </row>
    <row r="183" spans="3:20">
      <c r="C183" s="3"/>
      <c r="G183" s="39"/>
      <c r="H183" s="43"/>
      <c r="I183" s="3"/>
      <c r="S183" s="8"/>
      <c r="T183" s="10"/>
    </row>
    <row r="184" spans="3:20">
      <c r="C184" s="3"/>
      <c r="G184" s="40"/>
      <c r="H184" s="43"/>
      <c r="I184" s="3"/>
      <c r="S184" s="8"/>
      <c r="T184" s="10"/>
    </row>
    <row r="185" spans="3:20">
      <c r="C185" s="3"/>
      <c r="G185" s="40"/>
      <c r="H185" s="43"/>
      <c r="I185" s="3"/>
      <c r="S185" s="8"/>
      <c r="T185" s="10"/>
    </row>
    <row r="186" spans="3:20">
      <c r="C186" s="3"/>
      <c r="G186" s="40"/>
      <c r="H186" s="43"/>
      <c r="I186" s="3"/>
      <c r="S186" s="8"/>
      <c r="T186" s="10"/>
    </row>
    <row r="187" spans="3:20">
      <c r="C187" s="3"/>
      <c r="G187" s="40"/>
      <c r="H187" s="43"/>
      <c r="I187" s="3"/>
      <c r="S187" s="8"/>
      <c r="T187" s="10"/>
    </row>
    <row r="188" spans="3:20">
      <c r="C188" s="3"/>
      <c r="G188" s="39"/>
      <c r="H188" s="43"/>
      <c r="I188" s="3"/>
      <c r="S188" s="8"/>
      <c r="T188" s="10"/>
    </row>
    <row r="189" spans="3:20">
      <c r="C189" s="3"/>
      <c r="G189" s="39"/>
      <c r="H189" s="43"/>
      <c r="I189" s="3"/>
      <c r="S189" s="8"/>
      <c r="T189" s="10"/>
    </row>
    <row r="190" spans="3:20">
      <c r="C190" s="3"/>
      <c r="G190" s="42"/>
      <c r="H190" s="43"/>
      <c r="I190" s="3"/>
      <c r="S190" s="8"/>
      <c r="T190" s="10"/>
    </row>
    <row r="191" spans="3:20">
      <c r="C191" s="3"/>
      <c r="G191" s="44"/>
      <c r="H191" s="43"/>
      <c r="I191" s="3"/>
      <c r="S191" s="8"/>
      <c r="T191" s="10"/>
    </row>
    <row r="192" spans="3:20">
      <c r="C192" s="3"/>
      <c r="G192" s="44"/>
      <c r="H192" s="43"/>
      <c r="I192" s="3"/>
      <c r="S192" s="8"/>
      <c r="T192" s="10"/>
    </row>
    <row r="193" spans="3:20">
      <c r="C193" s="3"/>
      <c r="G193" s="44"/>
      <c r="H193" s="43"/>
      <c r="I193" s="3"/>
      <c r="S193" s="8"/>
      <c r="T193" s="10"/>
    </row>
    <row r="194" spans="3:20">
      <c r="C194" s="3"/>
      <c r="G194" s="8"/>
      <c r="H194" s="7"/>
      <c r="I194" s="3"/>
      <c r="S194" s="8"/>
      <c r="T194" s="10"/>
    </row>
    <row r="195" spans="3:20">
      <c r="C195" s="3"/>
      <c r="G195" s="8"/>
      <c r="H195" s="7"/>
      <c r="I195" s="3"/>
      <c r="S195" s="8"/>
      <c r="T195" s="10"/>
    </row>
    <row r="196" spans="3:20">
      <c r="C196" s="3"/>
      <c r="G196" s="8"/>
      <c r="H196" s="7"/>
      <c r="I196" s="3"/>
    </row>
    <row r="197" spans="3:20">
      <c r="C197" s="3"/>
      <c r="G197" s="8"/>
      <c r="H197" s="7"/>
      <c r="I197" s="3"/>
    </row>
    <row r="198" spans="3:20">
      <c r="C198" s="3"/>
      <c r="G198" s="8"/>
      <c r="H198" s="7"/>
      <c r="I198" s="3"/>
    </row>
    <row r="199" spans="3:20">
      <c r="C199" s="3"/>
      <c r="G199" s="8"/>
      <c r="H199" s="7"/>
      <c r="I199" s="3"/>
    </row>
    <row r="200" spans="3:20">
      <c r="C200" s="3"/>
      <c r="G200" s="8"/>
      <c r="H200" s="7"/>
      <c r="I200" s="3"/>
    </row>
    <row r="201" spans="3:20">
      <c r="C201" s="3"/>
      <c r="G201" s="8"/>
      <c r="H201" s="7"/>
      <c r="I201" s="3"/>
    </row>
    <row r="202" spans="3:20">
      <c r="G202" s="8"/>
      <c r="H202" s="7"/>
      <c r="I202" s="3"/>
    </row>
    <row r="203" spans="3:20">
      <c r="G203" s="8"/>
      <c r="H203" s="7"/>
      <c r="I203" s="3"/>
    </row>
    <row r="204" spans="3:20">
      <c r="G204" s="8"/>
      <c r="H204" s="7"/>
      <c r="I204" s="3"/>
    </row>
    <row r="205" spans="3:20">
      <c r="G205" s="8"/>
      <c r="H205" s="7"/>
      <c r="I205" s="3"/>
    </row>
    <row r="206" spans="3:20">
      <c r="G206" s="8"/>
      <c r="H206" s="7"/>
      <c r="I206" s="3"/>
    </row>
    <row r="207" spans="3:20">
      <c r="G207" s="8"/>
      <c r="H207" s="7"/>
      <c r="I207" s="3"/>
    </row>
    <row r="208" spans="3:20">
      <c r="G208" s="8"/>
      <c r="H208" s="7"/>
      <c r="I208" s="3"/>
    </row>
    <row r="209" spans="7:9">
      <c r="G209" s="8"/>
      <c r="H209" s="7"/>
      <c r="I209" s="3"/>
    </row>
    <row r="210" spans="7:9">
      <c r="G210" s="8"/>
      <c r="H210" s="7"/>
      <c r="I210" s="3"/>
    </row>
    <row r="211" spans="7:9">
      <c r="G211" s="8"/>
      <c r="H211" s="7"/>
      <c r="I211" s="3"/>
    </row>
    <row r="212" spans="7:9">
      <c r="G212" s="8"/>
      <c r="H212" s="7"/>
      <c r="I212" s="3"/>
    </row>
    <row r="213" spans="7:9">
      <c r="G213" s="8"/>
      <c r="H213" s="7"/>
      <c r="I213" s="3"/>
    </row>
    <row r="214" spans="7:9">
      <c r="G214" s="8"/>
      <c r="H214" s="7"/>
      <c r="I214" s="3"/>
    </row>
    <row r="215" spans="7:9">
      <c r="G215" s="8"/>
      <c r="H215" s="7"/>
      <c r="I215" s="3"/>
    </row>
    <row r="216" spans="7:9">
      <c r="G216" s="8"/>
      <c r="H216" s="7"/>
      <c r="I216" s="3"/>
    </row>
    <row r="217" spans="7:9">
      <c r="G217" s="8"/>
      <c r="H217" s="7"/>
      <c r="I217" s="3"/>
    </row>
    <row r="218" spans="7:9">
      <c r="G218" s="8"/>
      <c r="H218" s="7"/>
      <c r="I218" s="3"/>
    </row>
    <row r="219" spans="7:9">
      <c r="G219" s="8"/>
      <c r="H219" s="7"/>
      <c r="I219" s="3"/>
    </row>
    <row r="220" spans="7:9">
      <c r="G220" s="8"/>
      <c r="H220" s="7"/>
      <c r="I220" s="3"/>
    </row>
    <row r="221" spans="7:9">
      <c r="G221" s="8"/>
      <c r="H221" s="7"/>
      <c r="I221" s="3"/>
    </row>
    <row r="222" spans="7:9">
      <c r="G222" s="8"/>
      <c r="H222" s="7"/>
      <c r="I222" s="3"/>
    </row>
    <row r="223" spans="7:9">
      <c r="G223" s="8"/>
      <c r="H223" s="7"/>
      <c r="I223" s="3"/>
    </row>
    <row r="224" spans="7:9">
      <c r="G224" s="8"/>
      <c r="H224" s="7"/>
      <c r="I224" s="3"/>
    </row>
    <row r="225" spans="7:9">
      <c r="G225" s="8"/>
      <c r="H225" s="7"/>
      <c r="I225" s="3"/>
    </row>
    <row r="226" spans="7:9">
      <c r="G226" s="8"/>
      <c r="H226" s="7"/>
      <c r="I226" s="3"/>
    </row>
    <row r="227" spans="7:9">
      <c r="G227" s="8"/>
      <c r="H227" s="7"/>
      <c r="I227" s="3"/>
    </row>
    <row r="228" spans="7:9">
      <c r="G228" s="8"/>
      <c r="H228" s="7"/>
      <c r="I228" s="3"/>
    </row>
    <row r="229" spans="7:9">
      <c r="G229" s="8"/>
      <c r="H229" s="7"/>
      <c r="I229" s="3"/>
    </row>
    <row r="230" spans="7:9">
      <c r="G230" s="8"/>
      <c r="H230" s="7"/>
      <c r="I230" s="3"/>
    </row>
    <row r="231" spans="7:9">
      <c r="G231" s="8"/>
      <c r="H231" s="7"/>
      <c r="I231" s="3"/>
    </row>
    <row r="232" spans="7:9">
      <c r="G232" s="8"/>
      <c r="H232" s="7"/>
      <c r="I232" s="3"/>
    </row>
    <row r="233" spans="7:9">
      <c r="G233" s="8"/>
      <c r="H233" s="7"/>
      <c r="I233" s="3"/>
    </row>
    <row r="234" spans="7:9">
      <c r="G234" s="8"/>
      <c r="H234" s="7"/>
      <c r="I234" s="3"/>
    </row>
    <row r="235" spans="7:9">
      <c r="G235" s="8"/>
      <c r="H235" s="7"/>
      <c r="I235" s="3"/>
    </row>
    <row r="236" spans="7:9">
      <c r="G236" s="8"/>
      <c r="H236" s="7"/>
      <c r="I236" s="3"/>
    </row>
    <row r="237" spans="7:9">
      <c r="G237" s="8"/>
      <c r="H237" s="7"/>
      <c r="I237" s="3"/>
    </row>
    <row r="238" spans="7:9">
      <c r="G238" s="8"/>
      <c r="H238" s="7"/>
      <c r="I238" s="3"/>
    </row>
    <row r="239" spans="7:9">
      <c r="G239" s="8"/>
      <c r="H239" s="7"/>
      <c r="I239" s="3"/>
    </row>
    <row r="240" spans="7:9">
      <c r="G240" s="8"/>
      <c r="H240" s="7"/>
      <c r="I240" s="3"/>
    </row>
    <row r="241" spans="7:9">
      <c r="G241" s="8"/>
      <c r="H241" s="7"/>
      <c r="I241" s="3"/>
    </row>
    <row r="242" spans="7:9">
      <c r="G242" s="8"/>
      <c r="H242" s="7"/>
      <c r="I242" s="3"/>
    </row>
    <row r="243" spans="7:9">
      <c r="G243" s="8"/>
      <c r="H243" s="7"/>
      <c r="I243" s="3"/>
    </row>
    <row r="244" spans="7:9">
      <c r="G244" s="8"/>
      <c r="H244" s="7"/>
      <c r="I244" s="3"/>
    </row>
    <row r="245" spans="7:9">
      <c r="G245" s="8"/>
      <c r="H245" s="7"/>
      <c r="I245" s="3"/>
    </row>
    <row r="246" spans="7:9">
      <c r="G246" s="8"/>
      <c r="H246" s="7"/>
      <c r="I246" s="3"/>
    </row>
    <row r="247" spans="7:9">
      <c r="G247" s="8"/>
      <c r="H247" s="7"/>
      <c r="I247" s="3"/>
    </row>
    <row r="248" spans="7:9">
      <c r="G248" s="8"/>
      <c r="H248" s="7"/>
      <c r="I248" s="3"/>
    </row>
    <row r="249" spans="7:9">
      <c r="G249" s="8"/>
      <c r="H249" s="7"/>
      <c r="I249" s="3"/>
    </row>
    <row r="250" spans="7:9">
      <c r="G250" s="8"/>
      <c r="H250" s="7"/>
      <c r="I250" s="3"/>
    </row>
    <row r="251" spans="7:9">
      <c r="G251" s="8"/>
      <c r="H251" s="7"/>
      <c r="I251" s="3"/>
    </row>
    <row r="252" spans="7:9">
      <c r="G252" s="8"/>
      <c r="H252" s="7"/>
      <c r="I252" s="3"/>
    </row>
    <row r="253" spans="7:9">
      <c r="G253" s="8"/>
      <c r="H253" s="7"/>
      <c r="I253" s="3"/>
    </row>
    <row r="254" spans="7:9">
      <c r="G254" s="8"/>
      <c r="H254" s="7"/>
      <c r="I254" s="3"/>
    </row>
    <row r="255" spans="7:9">
      <c r="G255" s="8"/>
      <c r="H255" s="7"/>
      <c r="I255" s="3"/>
    </row>
    <row r="256" spans="7:9">
      <c r="G256" s="8"/>
      <c r="H256" s="7"/>
      <c r="I256" s="3"/>
    </row>
    <row r="257" spans="7:12">
      <c r="G257" s="8"/>
      <c r="H257" s="7"/>
      <c r="I257" s="3"/>
    </row>
    <row r="258" spans="7:12">
      <c r="G258" s="8"/>
      <c r="H258" s="7"/>
      <c r="I258" s="3"/>
    </row>
    <row r="259" spans="7:12">
      <c r="G259" s="8"/>
      <c r="H259" s="7"/>
      <c r="I259" s="3"/>
    </row>
    <row r="260" spans="7:12">
      <c r="G260" s="8"/>
      <c r="H260" s="7"/>
      <c r="I260" s="3"/>
    </row>
    <row r="261" spans="7:12">
      <c r="G261" s="8"/>
      <c r="H261" s="7"/>
      <c r="I261" s="3"/>
    </row>
    <row r="262" spans="7:12">
      <c r="G262" s="8"/>
      <c r="H262" s="7"/>
      <c r="I262" s="3"/>
    </row>
    <row r="263" spans="7:12">
      <c r="G263" s="8"/>
      <c r="H263" s="7"/>
      <c r="I263" s="3"/>
    </row>
    <row r="264" spans="7:12">
      <c r="G264" s="8"/>
      <c r="H264" s="7"/>
      <c r="I264" s="3"/>
    </row>
    <row r="265" spans="7:12">
      <c r="G265" s="8"/>
      <c r="H265" s="7"/>
      <c r="I265" s="3"/>
    </row>
    <row r="266" spans="7:12">
      <c r="G266" s="8"/>
      <c r="H266" s="7"/>
      <c r="I266" s="3"/>
    </row>
    <row r="267" spans="7:12">
      <c r="G267" s="8"/>
      <c r="H267" s="7"/>
      <c r="I267" s="3"/>
    </row>
    <row r="268" spans="7:12">
      <c r="G268" s="8"/>
      <c r="H268" s="7"/>
      <c r="I268" s="3"/>
    </row>
    <row r="269" spans="7:12">
      <c r="G269" s="8"/>
      <c r="H269" s="7"/>
      <c r="I269" s="3"/>
    </row>
    <row r="270" spans="7:12">
      <c r="G270" s="8"/>
      <c r="H270" s="7"/>
      <c r="I270" s="3"/>
    </row>
    <row r="271" spans="7:12">
      <c r="G271" s="3"/>
      <c r="L271" s="16"/>
    </row>
    <row r="272" spans="7:12">
      <c r="G272" s="3"/>
    </row>
    <row r="273" spans="7:7">
      <c r="G273"/>
    </row>
    <row r="274" spans="7:7">
      <c r="G274" s="3"/>
    </row>
    <row r="275" spans="7:7">
      <c r="G275" s="3"/>
    </row>
    <row r="276" spans="7:7">
      <c r="G276" s="3"/>
    </row>
    <row r="277" spans="7:7">
      <c r="G277"/>
    </row>
    <row r="278" spans="7:7">
      <c r="G278" s="3"/>
    </row>
    <row r="279" spans="7:7">
      <c r="G279" s="3"/>
    </row>
    <row r="280" spans="7:7">
      <c r="G280"/>
    </row>
    <row r="281" spans="7:7">
      <c r="G281" s="3"/>
    </row>
    <row r="282" spans="7:7">
      <c r="G282"/>
    </row>
    <row r="283" spans="7:7">
      <c r="G283"/>
    </row>
    <row r="284" spans="7:7">
      <c r="G284" s="3"/>
    </row>
    <row r="285" spans="7:7">
      <c r="G285"/>
    </row>
    <row r="286" spans="7:7">
      <c r="G286"/>
    </row>
    <row r="287" spans="7:7">
      <c r="G287"/>
    </row>
    <row r="288" spans="7:7">
      <c r="G288"/>
    </row>
    <row r="289" spans="7:7">
      <c r="G289" s="3"/>
    </row>
    <row r="290" spans="7:7">
      <c r="G290" s="3"/>
    </row>
    <row r="291" spans="7:7">
      <c r="G291"/>
    </row>
    <row r="292" spans="7:7">
      <c r="G292" s="3"/>
    </row>
    <row r="293" spans="7:7">
      <c r="G293"/>
    </row>
    <row r="294" spans="7:7">
      <c r="G294" s="3"/>
    </row>
    <row r="295" spans="7:7">
      <c r="G295" s="3"/>
    </row>
    <row r="296" spans="7:7">
      <c r="G296"/>
    </row>
    <row r="297" spans="7:7">
      <c r="G297" s="3"/>
    </row>
    <row r="298" spans="7:7">
      <c r="G298"/>
    </row>
    <row r="299" spans="7:7">
      <c r="G299" s="3"/>
    </row>
    <row r="300" spans="7:7">
      <c r="G300"/>
    </row>
    <row r="301" spans="7:7">
      <c r="G301"/>
    </row>
    <row r="302" spans="7:7">
      <c r="G302"/>
    </row>
    <row r="303" spans="7:7">
      <c r="G303" s="3"/>
    </row>
    <row r="304" spans="7:7">
      <c r="G304"/>
    </row>
    <row r="305" spans="7:7">
      <c r="G305"/>
    </row>
    <row r="306" spans="7:7">
      <c r="G306" s="3"/>
    </row>
    <row r="307" spans="7:7">
      <c r="G307" s="3"/>
    </row>
    <row r="308" spans="7:7">
      <c r="G308"/>
    </row>
    <row r="309" spans="7:7">
      <c r="G309" s="3"/>
    </row>
    <row r="310" spans="7:7">
      <c r="G310" s="3"/>
    </row>
    <row r="311" spans="7:7">
      <c r="G311"/>
    </row>
    <row r="312" spans="7:7">
      <c r="G312" s="3"/>
    </row>
    <row r="313" spans="7:7">
      <c r="G313" s="3"/>
    </row>
    <row r="314" spans="7:7">
      <c r="G314"/>
    </row>
    <row r="315" spans="7:7">
      <c r="G315" s="3"/>
    </row>
    <row r="316" spans="7:7">
      <c r="G316"/>
    </row>
    <row r="317" spans="7:7">
      <c r="G317" s="3"/>
    </row>
    <row r="318" spans="7:7">
      <c r="G318" s="3"/>
    </row>
    <row r="319" spans="7:7">
      <c r="G319" s="3"/>
    </row>
    <row r="320" spans="7:7">
      <c r="G320" s="3"/>
    </row>
    <row r="321" spans="7:7">
      <c r="G321" s="3"/>
    </row>
    <row r="322" spans="7:7">
      <c r="G322"/>
    </row>
    <row r="323" spans="7:7">
      <c r="G323"/>
    </row>
    <row r="324" spans="7:7">
      <c r="G324"/>
    </row>
    <row r="325" spans="7:7">
      <c r="G325" s="3"/>
    </row>
    <row r="326" spans="7:7">
      <c r="G326" s="3"/>
    </row>
    <row r="327" spans="7:7">
      <c r="G327" s="3"/>
    </row>
    <row r="328" spans="7:7">
      <c r="G328" s="3"/>
    </row>
    <row r="329" spans="7:7">
      <c r="G329" s="3"/>
    </row>
    <row r="330" spans="7:7">
      <c r="G330" s="3"/>
    </row>
    <row r="331" spans="7:7">
      <c r="G331"/>
    </row>
    <row r="332" spans="7:7">
      <c r="G332"/>
    </row>
    <row r="333" spans="7:7">
      <c r="G333" s="3"/>
    </row>
    <row r="334" spans="7:7">
      <c r="G334"/>
    </row>
    <row r="335" spans="7:7">
      <c r="G335" s="3"/>
    </row>
    <row r="336" spans="7:7">
      <c r="G336"/>
    </row>
    <row r="337" spans="7:7">
      <c r="G337"/>
    </row>
    <row r="338" spans="7:7">
      <c r="G338" s="3"/>
    </row>
    <row r="339" spans="7:7">
      <c r="G339"/>
    </row>
    <row r="340" spans="7:7">
      <c r="G340" s="3"/>
    </row>
    <row r="341" spans="7:7">
      <c r="G341" s="3"/>
    </row>
    <row r="342" spans="7:7">
      <c r="G342"/>
    </row>
    <row r="343" spans="7:7">
      <c r="G343"/>
    </row>
    <row r="344" spans="7:7">
      <c r="G344" s="3"/>
    </row>
    <row r="345" spans="7:7">
      <c r="G345"/>
    </row>
    <row r="346" spans="7:7">
      <c r="G346"/>
    </row>
    <row r="347" spans="7:7">
      <c r="G347"/>
    </row>
    <row r="348" spans="7:7">
      <c r="G348" s="2"/>
    </row>
    <row r="349" spans="7:7">
      <c r="G349" s="3"/>
    </row>
    <row r="350" spans="7:7">
      <c r="G350" s="3"/>
    </row>
    <row r="351" spans="7:7">
      <c r="G351"/>
    </row>
    <row r="352" spans="7:7">
      <c r="G352" s="3"/>
    </row>
    <row r="353" spans="7:7">
      <c r="G353" s="3"/>
    </row>
    <row r="354" spans="7:7">
      <c r="G354"/>
    </row>
    <row r="355" spans="7:7">
      <c r="G355"/>
    </row>
    <row r="356" spans="7:7">
      <c r="G356"/>
    </row>
    <row r="357" spans="7:7">
      <c r="G357"/>
    </row>
    <row r="358" spans="7:7">
      <c r="G358" s="3"/>
    </row>
    <row r="359" spans="7:7">
      <c r="G359" s="3"/>
    </row>
    <row r="360" spans="7:7">
      <c r="G360" s="3"/>
    </row>
    <row r="361" spans="7:7">
      <c r="G361" s="3"/>
    </row>
    <row r="362" spans="7:7">
      <c r="G362"/>
    </row>
    <row r="363" spans="7:7">
      <c r="G363" s="3"/>
    </row>
    <row r="364" spans="7:7">
      <c r="G364" s="3"/>
    </row>
    <row r="365" spans="7:7">
      <c r="G365" s="3"/>
    </row>
    <row r="366" spans="7:7">
      <c r="G366"/>
    </row>
    <row r="367" spans="7:7">
      <c r="G367"/>
    </row>
    <row r="368" spans="7:7">
      <c r="G368"/>
    </row>
    <row r="369" spans="7:7">
      <c r="G369"/>
    </row>
    <row r="370" spans="7:7">
      <c r="G370"/>
    </row>
    <row r="371" spans="7:7">
      <c r="G371"/>
    </row>
    <row r="372" spans="7:7">
      <c r="G372"/>
    </row>
    <row r="373" spans="7:7">
      <c r="G373"/>
    </row>
    <row r="374" spans="7:7">
      <c r="G374"/>
    </row>
    <row r="375" spans="7:7">
      <c r="G375"/>
    </row>
    <row r="376" spans="7:7">
      <c r="G376"/>
    </row>
    <row r="377" spans="7:7">
      <c r="G377" s="3"/>
    </row>
    <row r="378" spans="7:7">
      <c r="G378"/>
    </row>
    <row r="379" spans="7:7">
      <c r="G379" s="3"/>
    </row>
    <row r="380" spans="7:7">
      <c r="G380" s="3"/>
    </row>
    <row r="381" spans="7:7">
      <c r="G381" s="3"/>
    </row>
    <row r="382" spans="7:7">
      <c r="G382"/>
    </row>
    <row r="383" spans="7:7">
      <c r="G383"/>
    </row>
    <row r="384" spans="7:7">
      <c r="G384"/>
    </row>
    <row r="385" spans="7:10">
      <c r="G385" s="3"/>
    </row>
    <row r="386" spans="7:10">
      <c r="G386" s="3"/>
    </row>
    <row r="387" spans="7:10">
      <c r="G387"/>
    </row>
    <row r="388" spans="7:10">
      <c r="G388" s="3"/>
    </row>
    <row r="389" spans="7:10">
      <c r="G389" s="3"/>
    </row>
    <row r="390" spans="7:10">
      <c r="G390"/>
    </row>
    <row r="391" spans="7:10">
      <c r="G391" s="3"/>
    </row>
    <row r="392" spans="7:10">
      <c r="G392"/>
      <c r="H392"/>
      <c r="I392"/>
      <c r="J392"/>
    </row>
    <row r="393" spans="7:10">
      <c r="G393"/>
      <c r="H393"/>
      <c r="I393"/>
      <c r="J393"/>
    </row>
    <row r="394" spans="7:10">
      <c r="G394"/>
      <c r="H394"/>
      <c r="I394"/>
      <c r="J394"/>
    </row>
    <row r="395" spans="7:10">
      <c r="G395"/>
      <c r="H395"/>
      <c r="I395"/>
      <c r="J395"/>
    </row>
    <row r="396" spans="7:10">
      <c r="G396"/>
      <c r="H396"/>
      <c r="I396"/>
      <c r="J396"/>
    </row>
  </sheetData>
  <sortState ref="F2:M31">
    <sortCondition ref="H2:H31"/>
    <sortCondition ref="M2:M31"/>
  </sortState>
  <dataConsolidate/>
  <conditionalFormatting sqref="D2:D101">
    <cfRule type="duplicateValues" dxfId="263" priority="17"/>
  </conditionalFormatting>
  <conditionalFormatting sqref="D102:D201">
    <cfRule type="duplicateValues" dxfId="262" priority="16"/>
  </conditionalFormatting>
  <conditionalFormatting sqref="J298:J391">
    <cfRule type="cellIs" dxfId="261" priority="15" operator="lessThan">
      <formula>0</formula>
    </cfRule>
  </conditionalFormatting>
  <conditionalFormatting sqref="J271:J391">
    <cfRule type="duplicateValues" dxfId="260" priority="18"/>
  </conditionalFormatting>
  <conditionalFormatting sqref="S102:S195">
    <cfRule type="cellIs" dxfId="259" priority="13" operator="lessThan">
      <formula>0</formula>
    </cfRule>
  </conditionalFormatting>
  <conditionalFormatting sqref="S2:S11 S13:S195">
    <cfRule type="duplicateValues" dxfId="258" priority="14"/>
  </conditionalFormatting>
  <conditionalFormatting sqref="S12">
    <cfRule type="duplicateValues" dxfId="257" priority="12"/>
  </conditionalFormatting>
  <conditionalFormatting sqref="I191:I270">
    <cfRule type="duplicateValues" dxfId="256" priority="11"/>
  </conditionalFormatting>
  <conditionalFormatting sqref="I32:I190">
    <cfRule type="duplicateValues" dxfId="255" priority="9"/>
  </conditionalFormatting>
  <conditionalFormatting sqref="J33:J190">
    <cfRule type="duplicateValues" dxfId="254" priority="8"/>
  </conditionalFormatting>
  <conditionalFormatting sqref="I19:I31">
    <cfRule type="cellIs" dxfId="253" priority="1" operator="between">
      <formula>$X$10</formula>
      <formula>$Y$10</formula>
    </cfRule>
    <cfRule type="cellIs" dxfId="252" priority="2" operator="between">
      <formula>$X$9</formula>
      <formula>$Y$9</formula>
    </cfRule>
    <cfRule type="cellIs" dxfId="251" priority="3" operator="between">
      <formula>$X$6</formula>
      <formula>$Y$6</formula>
    </cfRule>
    <cfRule type="cellIs" dxfId="250" priority="4" operator="between">
      <formula>$X$5</formula>
      <formula>$Y$5</formula>
    </cfRule>
  </conditionalFormatting>
  <conditionalFormatting sqref="I2:J15 I17:J31 J16">
    <cfRule type="duplicateValues" dxfId="249" priority="5"/>
  </conditionalFormatting>
  <conditionalFormatting sqref="J192:J270 J32">
    <cfRule type="duplicateValues" dxfId="248" priority="250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C1:X396"/>
  <sheetViews>
    <sheetView topLeftCell="C1" zoomScale="80" zoomScaleNormal="80" zoomScalePageLayoutView="80" workbookViewId="0">
      <selection activeCell="N2" sqref="N2:N9"/>
    </sheetView>
  </sheetViews>
  <sheetFormatPr baseColWidth="10" defaultColWidth="11" defaultRowHeight="15" x14ac:dyDescent="0"/>
  <cols>
    <col min="3" max="3" width="16.1640625" bestFit="1" customWidth="1"/>
    <col min="5" max="5" width="7.5" customWidth="1"/>
    <col min="6" max="6" width="11" style="12"/>
    <col min="7" max="7" width="18.1640625" style="4" bestFit="1" customWidth="1"/>
    <col min="8" max="8" width="8.6640625" style="4" customWidth="1"/>
    <col min="9" max="9" width="18.5" style="9" bestFit="1" customWidth="1"/>
    <col min="10" max="10" width="11" style="8"/>
    <col min="11" max="11" width="8.5" style="4" bestFit="1" customWidth="1"/>
    <col min="12" max="12" width="4.5" style="4" customWidth="1"/>
    <col min="13" max="13" width="13.33203125" style="4" customWidth="1"/>
    <col min="14" max="14" width="18.1640625" bestFit="1" customWidth="1"/>
    <col min="19" max="19" width="16.5" style="2" customWidth="1"/>
    <col min="20" max="20" width="17.5" bestFit="1" customWidth="1"/>
    <col min="21" max="22" width="5.6640625" customWidth="1"/>
    <col min="23" max="23" width="16.1640625" bestFit="1" customWidth="1"/>
  </cols>
  <sheetData>
    <row r="1" spans="3:21" s="18" customFormat="1" ht="20">
      <c r="G1" s="19" t="s">
        <v>329</v>
      </c>
      <c r="H1" s="19" t="s">
        <v>334</v>
      </c>
      <c r="I1" s="20" t="s">
        <v>333</v>
      </c>
      <c r="J1" s="21" t="s">
        <v>332</v>
      </c>
      <c r="K1" s="19" t="s">
        <v>331</v>
      </c>
      <c r="L1" s="19" t="s">
        <v>1867</v>
      </c>
      <c r="M1" s="19" t="s">
        <v>1863</v>
      </c>
      <c r="N1" s="18" t="s">
        <v>329</v>
      </c>
      <c r="O1" s="18" t="s">
        <v>330</v>
      </c>
      <c r="S1" s="22"/>
    </row>
    <row r="2" spans="3:21">
      <c r="C2" s="3"/>
      <c r="G2" s="51" t="s">
        <v>288</v>
      </c>
      <c r="H2" s="7">
        <f t="shared" ref="H2:H31" si="0">LOOKUP(G2,$N$2:$N$9,$O$2:$O$9)</f>
        <v>2</v>
      </c>
      <c r="I2" s="3">
        <v>40629.981099537035</v>
      </c>
      <c r="J2" s="8" t="s">
        <v>476</v>
      </c>
      <c r="K2" s="4">
        <f t="shared" ref="K2:K31" si="1">IF(Q2&gt;Q1,1,K1+1)</f>
        <v>1</v>
      </c>
      <c r="L2" s="4">
        <v>15</v>
      </c>
      <c r="M2" s="4">
        <v>1</v>
      </c>
      <c r="N2" s="24" t="s">
        <v>288</v>
      </c>
      <c r="O2">
        <v>1</v>
      </c>
      <c r="Q2">
        <v>1</v>
      </c>
      <c r="S2" s="8"/>
      <c r="T2" s="10"/>
    </row>
    <row r="3" spans="3:21">
      <c r="C3" s="3"/>
      <c r="G3" s="51" t="s">
        <v>336</v>
      </c>
      <c r="H3" s="7">
        <f t="shared" si="0"/>
        <v>2</v>
      </c>
      <c r="I3" s="3">
        <v>40633.069467592592</v>
      </c>
      <c r="J3" s="8" t="s">
        <v>1424</v>
      </c>
      <c r="K3" s="4">
        <f t="shared" si="1"/>
        <v>2</v>
      </c>
      <c r="L3" s="4">
        <v>3</v>
      </c>
      <c r="M3" s="4">
        <v>2</v>
      </c>
      <c r="N3" s="24" t="s">
        <v>336</v>
      </c>
      <c r="O3">
        <v>2</v>
      </c>
      <c r="Q3">
        <v>1</v>
      </c>
      <c r="S3" s="8"/>
      <c r="T3" s="10"/>
    </row>
    <row r="4" spans="3:21">
      <c r="C4" s="3"/>
      <c r="G4" s="51" t="s">
        <v>288</v>
      </c>
      <c r="H4" s="7">
        <f t="shared" si="0"/>
        <v>2</v>
      </c>
      <c r="I4" s="3">
        <v>40630.592453703706</v>
      </c>
      <c r="J4" s="8" t="s">
        <v>1385</v>
      </c>
      <c r="K4" s="4">
        <f t="shared" si="1"/>
        <v>1</v>
      </c>
      <c r="L4" s="4">
        <v>10</v>
      </c>
      <c r="M4" s="4">
        <v>1</v>
      </c>
      <c r="N4" s="63" t="s">
        <v>438</v>
      </c>
      <c r="O4">
        <v>3</v>
      </c>
      <c r="Q4">
        <v>2</v>
      </c>
      <c r="S4" s="8"/>
      <c r="T4" s="10"/>
    </row>
    <row r="5" spans="3:21">
      <c r="C5" s="3"/>
      <c r="G5" s="59" t="s">
        <v>438</v>
      </c>
      <c r="H5" s="7">
        <f t="shared" si="0"/>
        <v>8</v>
      </c>
      <c r="I5" s="3">
        <v>40631.432581018518</v>
      </c>
      <c r="J5" s="8" t="s">
        <v>1187</v>
      </c>
      <c r="K5" s="4">
        <f t="shared" si="1"/>
        <v>2</v>
      </c>
      <c r="L5" s="4">
        <v>4</v>
      </c>
      <c r="M5" s="4">
        <v>2</v>
      </c>
      <c r="N5" s="24" t="s">
        <v>299</v>
      </c>
      <c r="O5">
        <v>4</v>
      </c>
      <c r="Q5">
        <v>2</v>
      </c>
      <c r="S5" s="8"/>
      <c r="T5" s="10"/>
    </row>
    <row r="6" spans="3:21">
      <c r="C6" s="3"/>
      <c r="G6" s="51" t="s">
        <v>288</v>
      </c>
      <c r="H6" s="7">
        <f t="shared" si="0"/>
        <v>2</v>
      </c>
      <c r="I6" s="3">
        <v>40632.423449074071</v>
      </c>
      <c r="J6" s="8" t="s">
        <v>571</v>
      </c>
      <c r="K6" s="4">
        <f t="shared" si="1"/>
        <v>3</v>
      </c>
      <c r="L6" s="4">
        <v>2</v>
      </c>
      <c r="M6" s="4">
        <v>3</v>
      </c>
      <c r="N6" s="24" t="s">
        <v>294</v>
      </c>
      <c r="O6">
        <v>5</v>
      </c>
      <c r="Q6">
        <v>2</v>
      </c>
      <c r="S6" s="8"/>
      <c r="T6" s="10"/>
    </row>
    <row r="7" spans="3:21">
      <c r="C7" s="3"/>
      <c r="G7" s="51" t="s">
        <v>336</v>
      </c>
      <c r="H7" s="7">
        <f t="shared" si="0"/>
        <v>2</v>
      </c>
      <c r="I7" s="3">
        <v>40633.790567129632</v>
      </c>
      <c r="J7" s="8" t="s">
        <v>1333</v>
      </c>
      <c r="K7" s="4">
        <f t="shared" si="1"/>
        <v>4</v>
      </c>
      <c r="L7" s="4">
        <v>2</v>
      </c>
      <c r="M7" s="4">
        <v>4</v>
      </c>
      <c r="N7" s="63" t="s">
        <v>1581</v>
      </c>
      <c r="O7">
        <v>6</v>
      </c>
      <c r="Q7">
        <v>2</v>
      </c>
      <c r="S7" s="8"/>
      <c r="T7" s="10"/>
    </row>
    <row r="8" spans="3:21">
      <c r="C8" s="3"/>
      <c r="G8" s="51" t="s">
        <v>299</v>
      </c>
      <c r="H8" s="7">
        <f t="shared" si="0"/>
        <v>4</v>
      </c>
      <c r="I8" s="3">
        <v>40633.793113425927</v>
      </c>
      <c r="J8" s="8" t="s">
        <v>1156</v>
      </c>
      <c r="K8" s="4">
        <f t="shared" si="1"/>
        <v>5</v>
      </c>
      <c r="L8" s="4">
        <v>2</v>
      </c>
      <c r="M8" s="4">
        <v>5</v>
      </c>
      <c r="N8" s="63" t="s">
        <v>300</v>
      </c>
      <c r="O8">
        <v>7</v>
      </c>
      <c r="Q8">
        <v>2</v>
      </c>
      <c r="S8" s="8"/>
      <c r="T8" s="10"/>
    </row>
    <row r="9" spans="3:21">
      <c r="C9" s="3"/>
      <c r="G9" s="59" t="s">
        <v>288</v>
      </c>
      <c r="H9" s="7">
        <f t="shared" si="0"/>
        <v>2</v>
      </c>
      <c r="I9" s="3">
        <v>40634.634675925925</v>
      </c>
      <c r="J9" s="8" t="s">
        <v>433</v>
      </c>
      <c r="K9" s="4">
        <f t="shared" si="1"/>
        <v>6</v>
      </c>
      <c r="L9" s="4">
        <v>2</v>
      </c>
      <c r="M9" s="4">
        <v>6</v>
      </c>
      <c r="N9" s="23" t="s">
        <v>289</v>
      </c>
      <c r="O9">
        <v>8</v>
      </c>
      <c r="Q9">
        <v>2</v>
      </c>
      <c r="S9" s="8"/>
      <c r="T9" s="10"/>
    </row>
    <row r="10" spans="3:21">
      <c r="C10" s="3"/>
      <c r="D10" s="1"/>
      <c r="G10" s="51" t="s">
        <v>336</v>
      </c>
      <c r="H10" s="7">
        <f t="shared" si="0"/>
        <v>2</v>
      </c>
      <c r="I10" s="3">
        <v>40628.903831018521</v>
      </c>
      <c r="J10" s="8" t="s">
        <v>1384</v>
      </c>
      <c r="K10" s="4">
        <f t="shared" si="1"/>
        <v>1</v>
      </c>
      <c r="L10" s="4">
        <v>2</v>
      </c>
      <c r="M10" s="4">
        <v>1</v>
      </c>
      <c r="Q10">
        <v>3</v>
      </c>
      <c r="S10" s="8"/>
      <c r="T10" s="10"/>
    </row>
    <row r="11" spans="3:21">
      <c r="C11" s="3"/>
      <c r="G11" s="51" t="s">
        <v>294</v>
      </c>
      <c r="H11" s="7" t="e">
        <f t="shared" si="0"/>
        <v>#N/A</v>
      </c>
      <c r="I11" s="3">
        <v>40630.592569444445</v>
      </c>
      <c r="J11" s="8" t="s">
        <v>670</v>
      </c>
      <c r="K11" s="4">
        <f t="shared" si="1"/>
        <v>2</v>
      </c>
      <c r="L11" s="4">
        <v>10</v>
      </c>
      <c r="M11" s="4">
        <v>2</v>
      </c>
      <c r="Q11">
        <v>3</v>
      </c>
      <c r="S11" s="8"/>
      <c r="T11" t="s">
        <v>1872</v>
      </c>
    </row>
    <row r="12" spans="3:21">
      <c r="C12" s="3"/>
      <c r="G12" s="51" t="s">
        <v>288</v>
      </c>
      <c r="H12" s="7">
        <f t="shared" si="0"/>
        <v>2</v>
      </c>
      <c r="I12" s="3">
        <v>40631.375208333331</v>
      </c>
      <c r="J12" s="8" t="s">
        <v>1186</v>
      </c>
      <c r="K12" s="4">
        <f t="shared" si="1"/>
        <v>3</v>
      </c>
      <c r="L12" s="4">
        <v>2</v>
      </c>
      <c r="M12" s="4">
        <v>3</v>
      </c>
      <c r="Q12">
        <v>3</v>
      </c>
      <c r="S12" s="8"/>
      <c r="T12" t="s">
        <v>1870</v>
      </c>
      <c r="U12" t="s">
        <v>1869</v>
      </c>
    </row>
    <row r="13" spans="3:21">
      <c r="C13" s="3"/>
      <c r="G13" s="51" t="s">
        <v>299</v>
      </c>
      <c r="H13" s="7">
        <f t="shared" si="0"/>
        <v>4</v>
      </c>
      <c r="I13" s="3">
        <v>40632.41678240741</v>
      </c>
      <c r="J13" s="8" t="s">
        <v>570</v>
      </c>
      <c r="K13" s="4">
        <f t="shared" si="1"/>
        <v>4</v>
      </c>
      <c r="L13" s="4">
        <v>7</v>
      </c>
      <c r="M13" s="4">
        <v>4</v>
      </c>
      <c r="Q13">
        <v>3</v>
      </c>
      <c r="S13" s="8"/>
      <c r="T13" s="26" t="s">
        <v>294</v>
      </c>
      <c r="U13" s="4">
        <v>2</v>
      </c>
    </row>
    <row r="14" spans="3:21">
      <c r="C14" s="3"/>
      <c r="D14" s="1"/>
      <c r="G14" s="59" t="s">
        <v>1581</v>
      </c>
      <c r="H14" s="7">
        <f t="shared" si="0"/>
        <v>2</v>
      </c>
      <c r="I14" s="3">
        <v>40632.606296296297</v>
      </c>
      <c r="J14" s="8" t="s">
        <v>477</v>
      </c>
      <c r="K14" s="4">
        <f t="shared" si="1"/>
        <v>5</v>
      </c>
      <c r="L14" s="4">
        <v>3</v>
      </c>
      <c r="M14" s="4">
        <v>5</v>
      </c>
      <c r="Q14">
        <v>3</v>
      </c>
      <c r="S14" s="8"/>
      <c r="T14" s="26" t="s">
        <v>336</v>
      </c>
      <c r="U14" s="4">
        <v>6</v>
      </c>
    </row>
    <row r="15" spans="3:21">
      <c r="C15" s="3"/>
      <c r="G15" s="59" t="s">
        <v>299</v>
      </c>
      <c r="H15" s="7">
        <f t="shared" si="0"/>
        <v>4</v>
      </c>
      <c r="I15" s="3">
        <v>40632.423449074071</v>
      </c>
      <c r="J15" s="8" t="s">
        <v>676</v>
      </c>
      <c r="K15" s="4">
        <f t="shared" si="1"/>
        <v>6</v>
      </c>
      <c r="L15" s="4">
        <v>2</v>
      </c>
      <c r="M15" s="4">
        <v>6</v>
      </c>
      <c r="Q15">
        <v>3</v>
      </c>
      <c r="S15" s="8"/>
      <c r="T15" s="26" t="s">
        <v>288</v>
      </c>
      <c r="U15" s="4">
        <v>11</v>
      </c>
    </row>
    <row r="16" spans="3:21">
      <c r="C16" s="3"/>
      <c r="G16" s="59" t="s">
        <v>299</v>
      </c>
      <c r="H16" s="7">
        <f t="shared" si="0"/>
        <v>4</v>
      </c>
      <c r="I16" s="3">
        <v>40632.901886574073</v>
      </c>
      <c r="J16" s="8" t="s">
        <v>665</v>
      </c>
      <c r="K16" s="4">
        <f t="shared" si="1"/>
        <v>7</v>
      </c>
      <c r="L16" s="4">
        <v>2</v>
      </c>
      <c r="M16" s="4">
        <v>7</v>
      </c>
      <c r="Q16">
        <v>3</v>
      </c>
      <c r="S16" s="8"/>
      <c r="T16" s="26" t="s">
        <v>300</v>
      </c>
      <c r="U16" s="4">
        <v>1</v>
      </c>
    </row>
    <row r="17" spans="3:24">
      <c r="C17" s="3"/>
      <c r="G17" s="51" t="s">
        <v>288</v>
      </c>
      <c r="H17" s="7">
        <f t="shared" si="0"/>
        <v>2</v>
      </c>
      <c r="I17" s="3">
        <v>40633.791666666664</v>
      </c>
      <c r="J17" s="8" t="s">
        <v>586</v>
      </c>
      <c r="K17" s="4">
        <f t="shared" si="1"/>
        <v>8</v>
      </c>
      <c r="L17" s="4">
        <v>2</v>
      </c>
      <c r="M17" s="4">
        <v>8</v>
      </c>
      <c r="Q17">
        <v>3</v>
      </c>
      <c r="S17" s="8"/>
      <c r="T17" s="26" t="s">
        <v>289</v>
      </c>
      <c r="U17" s="4">
        <v>2</v>
      </c>
    </row>
    <row r="18" spans="3:24">
      <c r="C18" s="3"/>
      <c r="G18" s="59" t="s">
        <v>299</v>
      </c>
      <c r="H18" s="7">
        <f t="shared" si="0"/>
        <v>4</v>
      </c>
      <c r="I18" s="3">
        <v>40633.763344907406</v>
      </c>
      <c r="J18" s="8" t="s">
        <v>1155</v>
      </c>
      <c r="K18" s="4">
        <f t="shared" si="1"/>
        <v>9</v>
      </c>
      <c r="L18" s="4">
        <v>3</v>
      </c>
      <c r="M18" s="4">
        <v>9</v>
      </c>
      <c r="Q18">
        <v>3</v>
      </c>
      <c r="S18" s="8"/>
      <c r="T18" s="26" t="s">
        <v>1581</v>
      </c>
      <c r="U18" s="4">
        <v>1</v>
      </c>
    </row>
    <row r="19" spans="3:24">
      <c r="C19" s="3"/>
      <c r="D19" s="1"/>
      <c r="G19" s="51" t="s">
        <v>336</v>
      </c>
      <c r="H19" s="7">
        <f t="shared" si="0"/>
        <v>2</v>
      </c>
      <c r="I19" s="3">
        <v>40634.62972222222</v>
      </c>
      <c r="J19" s="8" t="s">
        <v>579</v>
      </c>
      <c r="K19" s="4">
        <f t="shared" si="1"/>
        <v>10</v>
      </c>
      <c r="L19" s="4">
        <v>2</v>
      </c>
      <c r="M19" s="4">
        <v>10</v>
      </c>
      <c r="Q19">
        <v>3</v>
      </c>
      <c r="S19" s="8"/>
      <c r="T19" s="26" t="s">
        <v>299</v>
      </c>
      <c r="U19" s="4">
        <v>6</v>
      </c>
      <c r="W19" s="12">
        <f>U21/8</f>
        <v>3.75</v>
      </c>
      <c r="X19" t="s">
        <v>1865</v>
      </c>
    </row>
    <row r="20" spans="3:24">
      <c r="C20" s="3"/>
      <c r="G20" s="51" t="s">
        <v>299</v>
      </c>
      <c r="H20" s="7">
        <f t="shared" si="0"/>
        <v>4</v>
      </c>
      <c r="I20" s="3">
        <v>40634.601226851853</v>
      </c>
      <c r="J20" s="8" t="s">
        <v>1108</v>
      </c>
      <c r="K20" s="4">
        <f t="shared" si="1"/>
        <v>11</v>
      </c>
      <c r="L20" s="4">
        <v>6</v>
      </c>
      <c r="M20" s="4">
        <v>11</v>
      </c>
      <c r="Q20">
        <v>3</v>
      </c>
      <c r="S20" s="8"/>
      <c r="T20" s="26" t="s">
        <v>438</v>
      </c>
      <c r="U20" s="4">
        <v>1</v>
      </c>
    </row>
    <row r="21" spans="3:24">
      <c r="C21" s="3"/>
      <c r="G21" s="59" t="s">
        <v>288</v>
      </c>
      <c r="H21" s="7">
        <f t="shared" si="0"/>
        <v>2</v>
      </c>
      <c r="I21" s="3">
        <v>40633.951550925929</v>
      </c>
      <c r="J21" s="8" t="s">
        <v>712</v>
      </c>
      <c r="K21" s="4">
        <f t="shared" si="1"/>
        <v>1</v>
      </c>
      <c r="L21" s="4">
        <v>2</v>
      </c>
      <c r="M21" s="4">
        <v>1</v>
      </c>
      <c r="Q21">
        <v>4</v>
      </c>
      <c r="S21" s="8"/>
      <c r="T21" s="26" t="s">
        <v>1871</v>
      </c>
      <c r="U21" s="4">
        <v>30</v>
      </c>
    </row>
    <row r="22" spans="3:24">
      <c r="C22" s="3"/>
      <c r="G22" s="51" t="s">
        <v>288</v>
      </c>
      <c r="H22" s="7">
        <f t="shared" si="0"/>
        <v>2</v>
      </c>
      <c r="I22" s="3">
        <v>40635.272743055553</v>
      </c>
      <c r="J22" s="8" t="s">
        <v>1109</v>
      </c>
      <c r="K22" s="4">
        <f t="shared" si="1"/>
        <v>1</v>
      </c>
      <c r="L22" s="4">
        <v>2</v>
      </c>
      <c r="M22" s="4">
        <v>1</v>
      </c>
      <c r="Q22">
        <v>5</v>
      </c>
      <c r="S22" s="8"/>
    </row>
    <row r="23" spans="3:24">
      <c r="C23" s="3"/>
      <c r="G23" s="51" t="s">
        <v>336</v>
      </c>
      <c r="H23" s="7">
        <f t="shared" si="0"/>
        <v>2</v>
      </c>
      <c r="I23" s="3">
        <v>40635.34306712963</v>
      </c>
      <c r="J23" s="8" t="s">
        <v>434</v>
      </c>
      <c r="K23" s="4">
        <f t="shared" si="1"/>
        <v>2</v>
      </c>
      <c r="L23" s="4">
        <v>2</v>
      </c>
      <c r="M23" s="4">
        <v>2</v>
      </c>
      <c r="Q23">
        <v>5</v>
      </c>
      <c r="S23" s="8"/>
    </row>
    <row r="24" spans="3:24">
      <c r="C24" s="3"/>
      <c r="G24" s="51" t="s">
        <v>288</v>
      </c>
      <c r="H24" s="7">
        <f t="shared" si="0"/>
        <v>2</v>
      </c>
      <c r="I24" s="3">
        <v>40632.723993055559</v>
      </c>
      <c r="J24" s="8" t="s">
        <v>1455</v>
      </c>
      <c r="K24" s="4">
        <f t="shared" si="1"/>
        <v>1</v>
      </c>
      <c r="L24" s="4">
        <v>4</v>
      </c>
      <c r="M24" s="4">
        <v>1</v>
      </c>
      <c r="Q24">
        <v>6</v>
      </c>
      <c r="S24" s="8"/>
    </row>
    <row r="25" spans="3:24">
      <c r="C25" s="3"/>
      <c r="G25" s="51" t="s">
        <v>294</v>
      </c>
      <c r="H25" s="7" t="e">
        <f t="shared" si="0"/>
        <v>#N/A</v>
      </c>
      <c r="I25" s="3">
        <v>40625.667847222219</v>
      </c>
      <c r="J25" s="8" t="s">
        <v>1239</v>
      </c>
      <c r="K25" s="4">
        <f t="shared" si="1"/>
        <v>1</v>
      </c>
      <c r="L25" s="4">
        <v>5</v>
      </c>
      <c r="M25" s="4">
        <v>1</v>
      </c>
      <c r="Q25">
        <v>7</v>
      </c>
      <c r="S25" s="8"/>
      <c r="T25" s="10"/>
    </row>
    <row r="26" spans="3:24">
      <c r="C26" s="3"/>
      <c r="G26" s="59" t="s">
        <v>300</v>
      </c>
      <c r="H26" s="7">
        <f t="shared" si="0"/>
        <v>2</v>
      </c>
      <c r="I26" s="3">
        <v>40632.50582175926</v>
      </c>
      <c r="J26" s="8" t="s">
        <v>1454</v>
      </c>
      <c r="K26" s="4">
        <f t="shared" si="1"/>
        <v>2</v>
      </c>
      <c r="L26" s="4">
        <v>6</v>
      </c>
      <c r="M26" s="4">
        <v>2</v>
      </c>
      <c r="Q26">
        <v>7</v>
      </c>
      <c r="S26" s="8"/>
      <c r="T26" s="10"/>
    </row>
    <row r="27" spans="3:24">
      <c r="C27" s="3"/>
      <c r="G27" s="51" t="s">
        <v>288</v>
      </c>
      <c r="H27" s="7">
        <f t="shared" si="0"/>
        <v>2</v>
      </c>
      <c r="I27" s="3">
        <v>40632.724247685182</v>
      </c>
      <c r="J27" s="8" t="s">
        <v>1057</v>
      </c>
      <c r="K27" s="4">
        <f t="shared" si="1"/>
        <v>3</v>
      </c>
      <c r="L27" s="4">
        <v>4</v>
      </c>
      <c r="M27" s="4">
        <v>3</v>
      </c>
      <c r="Q27">
        <v>7</v>
      </c>
      <c r="S27" s="8"/>
      <c r="T27" s="10"/>
    </row>
    <row r="28" spans="3:24">
      <c r="C28" s="3"/>
      <c r="G28" s="51" t="s">
        <v>288</v>
      </c>
      <c r="H28" s="7">
        <f t="shared" si="0"/>
        <v>2</v>
      </c>
      <c r="I28" s="3">
        <v>40633.414953703701</v>
      </c>
      <c r="J28" s="8" t="s">
        <v>677</v>
      </c>
      <c r="K28" s="4">
        <f t="shared" si="1"/>
        <v>4</v>
      </c>
      <c r="L28" s="4">
        <v>7</v>
      </c>
      <c r="M28" s="4">
        <v>4</v>
      </c>
      <c r="Q28">
        <v>7</v>
      </c>
      <c r="S28" s="8"/>
      <c r="T28" s="10"/>
    </row>
    <row r="29" spans="3:24">
      <c r="C29" s="3"/>
      <c r="G29" s="59" t="s">
        <v>289</v>
      </c>
      <c r="H29" s="7">
        <f t="shared" si="0"/>
        <v>2</v>
      </c>
      <c r="I29" s="3">
        <v>40633.691030092596</v>
      </c>
      <c r="J29" s="8" t="s">
        <v>1460</v>
      </c>
      <c r="K29" s="4">
        <f t="shared" si="1"/>
        <v>5</v>
      </c>
      <c r="L29" s="4">
        <v>2</v>
      </c>
      <c r="M29" s="4">
        <v>5</v>
      </c>
      <c r="Q29">
        <v>7</v>
      </c>
      <c r="S29" s="8"/>
      <c r="T29" s="10"/>
    </row>
    <row r="30" spans="3:24">
      <c r="C30" s="3"/>
      <c r="G30" s="51" t="s">
        <v>288</v>
      </c>
      <c r="H30" s="7">
        <f t="shared" si="0"/>
        <v>2</v>
      </c>
      <c r="I30" s="3">
        <v>40633.416678240741</v>
      </c>
      <c r="J30" s="8" t="s">
        <v>585</v>
      </c>
      <c r="K30" s="4">
        <f t="shared" si="1"/>
        <v>6</v>
      </c>
      <c r="L30" s="4">
        <v>2</v>
      </c>
      <c r="M30" s="4">
        <v>6</v>
      </c>
      <c r="Q30">
        <v>7</v>
      </c>
      <c r="S30" s="8"/>
      <c r="T30" s="10"/>
    </row>
    <row r="31" spans="3:24">
      <c r="C31" s="3"/>
      <c r="G31" s="51" t="s">
        <v>289</v>
      </c>
      <c r="H31" s="7">
        <f t="shared" si="0"/>
        <v>2</v>
      </c>
      <c r="I31" s="3">
        <v>40630.606134259258</v>
      </c>
      <c r="J31" s="8" t="s">
        <v>671</v>
      </c>
      <c r="K31" s="4">
        <f t="shared" si="1"/>
        <v>1</v>
      </c>
      <c r="L31" s="4">
        <v>3</v>
      </c>
      <c r="M31" s="4">
        <v>1</v>
      </c>
      <c r="Q31">
        <v>8</v>
      </c>
      <c r="S31" s="8"/>
      <c r="T31" s="10"/>
    </row>
    <row r="32" spans="3:24">
      <c r="C32" s="3"/>
      <c r="G32" s="51" t="s">
        <v>289</v>
      </c>
      <c r="H32" s="43"/>
      <c r="I32" s="3"/>
      <c r="J32" s="8" t="s">
        <v>1874</v>
      </c>
      <c r="L32" s="16">
        <f>AVERAGE(L2:L31)</f>
        <v>4</v>
      </c>
      <c r="S32" s="8"/>
      <c r="T32" s="10"/>
    </row>
    <row r="33" spans="3:20">
      <c r="C33" s="3"/>
      <c r="G33" s="59" t="s">
        <v>288</v>
      </c>
      <c r="H33" s="43"/>
      <c r="I33" s="3"/>
      <c r="S33" s="8"/>
      <c r="T33" s="10"/>
    </row>
    <row r="34" spans="3:20">
      <c r="C34" s="3"/>
      <c r="G34" s="40"/>
      <c r="H34" s="43"/>
      <c r="I34" s="3"/>
      <c r="N34" s="39"/>
      <c r="S34" s="8"/>
      <c r="T34" s="10"/>
    </row>
    <row r="35" spans="3:20">
      <c r="C35" s="3"/>
      <c r="G35" s="40"/>
      <c r="H35" s="43"/>
      <c r="I35" s="3"/>
      <c r="N35" s="40"/>
      <c r="S35" s="8"/>
      <c r="T35" s="10"/>
    </row>
    <row r="36" spans="3:20">
      <c r="C36" s="3"/>
      <c r="G36" s="40"/>
      <c r="H36" s="43"/>
      <c r="I36" s="3"/>
      <c r="N36" s="41"/>
      <c r="S36" s="8"/>
      <c r="T36" s="10"/>
    </row>
    <row r="37" spans="3:20">
      <c r="C37" s="3"/>
      <c r="G37" s="40"/>
      <c r="H37" s="43"/>
      <c r="I37" s="3"/>
      <c r="N37" s="39"/>
      <c r="S37" s="8"/>
      <c r="T37" s="10"/>
    </row>
    <row r="38" spans="3:20">
      <c r="C38" s="3"/>
      <c r="G38" s="41"/>
      <c r="H38" s="43"/>
      <c r="I38" s="3"/>
      <c r="N38" s="41"/>
      <c r="S38" s="8"/>
      <c r="T38" s="10"/>
    </row>
    <row r="39" spans="3:20">
      <c r="C39" s="3"/>
      <c r="G39" s="42"/>
      <c r="H39" s="43"/>
      <c r="I39" s="3"/>
      <c r="N39" s="40"/>
      <c r="S39" s="8"/>
      <c r="T39" s="10"/>
    </row>
    <row r="40" spans="3:20">
      <c r="C40" s="3"/>
      <c r="G40" s="39"/>
      <c r="H40" s="43"/>
      <c r="I40" s="3"/>
      <c r="N40" s="40"/>
      <c r="S40" s="8"/>
      <c r="T40" s="10"/>
    </row>
    <row r="41" spans="3:20">
      <c r="C41" s="3"/>
      <c r="G41" s="40"/>
      <c r="H41" s="43"/>
      <c r="I41" s="3"/>
      <c r="N41" s="40"/>
      <c r="S41" s="8"/>
      <c r="T41" s="10"/>
    </row>
    <row r="42" spans="3:20">
      <c r="C42" s="3"/>
      <c r="G42" s="40"/>
      <c r="H42" s="43"/>
      <c r="I42" s="3"/>
      <c r="N42" s="40"/>
      <c r="S42" s="8"/>
      <c r="T42" s="10"/>
    </row>
    <row r="43" spans="3:20">
      <c r="C43" s="3"/>
      <c r="G43" s="40"/>
      <c r="H43" s="43"/>
      <c r="I43" s="3"/>
      <c r="N43" s="42"/>
      <c r="S43" s="8"/>
      <c r="T43" s="10"/>
    </row>
    <row r="44" spans="3:20">
      <c r="C44" s="3"/>
      <c r="G44" s="39"/>
      <c r="H44" s="43"/>
      <c r="I44" s="3"/>
      <c r="S44" s="8"/>
      <c r="T44" s="10"/>
    </row>
    <row r="45" spans="3:20">
      <c r="C45" s="3"/>
      <c r="G45" s="39"/>
      <c r="H45" s="43"/>
      <c r="I45" s="3"/>
      <c r="S45" s="8"/>
      <c r="T45" s="10"/>
    </row>
    <row r="46" spans="3:20">
      <c r="C46" s="3"/>
      <c r="G46" s="39"/>
      <c r="H46" s="43"/>
      <c r="I46" s="3"/>
      <c r="S46" s="8"/>
      <c r="T46" s="10"/>
    </row>
    <row r="47" spans="3:20">
      <c r="C47" s="3"/>
      <c r="G47" s="39"/>
      <c r="H47" s="43"/>
      <c r="I47" s="3"/>
      <c r="S47" s="8"/>
      <c r="T47" s="10"/>
    </row>
    <row r="48" spans="3:20">
      <c r="C48" s="3"/>
      <c r="G48" s="41"/>
      <c r="H48" s="43"/>
      <c r="I48" s="3"/>
      <c r="S48" s="8"/>
      <c r="T48" s="10"/>
    </row>
    <row r="49" spans="3:20">
      <c r="C49" s="3"/>
      <c r="G49" s="41"/>
      <c r="H49" s="43"/>
      <c r="I49" s="3"/>
      <c r="S49" s="8"/>
      <c r="T49" s="10"/>
    </row>
    <row r="50" spans="3:20">
      <c r="C50" s="3"/>
      <c r="G50" s="42"/>
      <c r="H50" s="43"/>
      <c r="I50" s="3"/>
      <c r="S50" s="8"/>
      <c r="T50" s="10"/>
    </row>
    <row r="51" spans="3:20">
      <c r="C51" s="3"/>
      <c r="G51" s="40"/>
      <c r="H51" s="43"/>
      <c r="I51" s="3"/>
      <c r="S51" s="8"/>
      <c r="T51" s="10"/>
    </row>
    <row r="52" spans="3:20">
      <c r="C52" s="3"/>
      <c r="G52" s="40"/>
      <c r="H52" s="43"/>
      <c r="I52" s="3"/>
      <c r="S52" s="8"/>
      <c r="T52" s="10"/>
    </row>
    <row r="53" spans="3:20">
      <c r="C53" s="3"/>
      <c r="G53" s="40"/>
      <c r="H53" s="43"/>
      <c r="I53" s="3"/>
      <c r="S53" s="8"/>
      <c r="T53" s="10"/>
    </row>
    <row r="54" spans="3:20">
      <c r="C54" s="3"/>
      <c r="G54" s="40"/>
      <c r="H54" s="43"/>
      <c r="I54" s="3"/>
      <c r="S54" s="8"/>
      <c r="T54" s="10"/>
    </row>
    <row r="55" spans="3:20">
      <c r="C55" s="3"/>
      <c r="G55" s="40"/>
      <c r="H55" s="43"/>
      <c r="I55" s="3"/>
      <c r="S55" s="8"/>
      <c r="T55" s="10"/>
    </row>
    <row r="56" spans="3:20">
      <c r="C56" s="3"/>
      <c r="D56" s="1"/>
      <c r="G56" s="40"/>
      <c r="H56" s="43"/>
      <c r="I56" s="3"/>
      <c r="S56" s="8"/>
      <c r="T56" s="10"/>
    </row>
    <row r="57" spans="3:20">
      <c r="C57" s="3"/>
      <c r="G57" s="40"/>
      <c r="H57" s="43"/>
      <c r="I57" s="3"/>
      <c r="S57" s="8"/>
      <c r="T57" s="10"/>
    </row>
    <row r="58" spans="3:20">
      <c r="C58" s="3"/>
      <c r="G58" s="40"/>
      <c r="H58" s="43"/>
      <c r="I58" s="3"/>
      <c r="S58" s="8"/>
      <c r="T58" s="10"/>
    </row>
    <row r="59" spans="3:20">
      <c r="C59" s="3"/>
      <c r="G59" s="40"/>
      <c r="H59" s="43"/>
      <c r="I59" s="3"/>
      <c r="S59" s="8"/>
      <c r="T59" s="10"/>
    </row>
    <row r="60" spans="3:20">
      <c r="C60" s="3"/>
      <c r="G60" s="40"/>
      <c r="H60" s="43"/>
      <c r="I60" s="3"/>
      <c r="S60" s="8"/>
      <c r="T60" s="10"/>
    </row>
    <row r="61" spans="3:20">
      <c r="C61" s="3"/>
      <c r="G61" s="40"/>
      <c r="H61" s="43"/>
      <c r="I61" s="3"/>
      <c r="S61" s="8"/>
      <c r="T61" s="10"/>
    </row>
    <row r="62" spans="3:20">
      <c r="C62" s="3"/>
      <c r="G62" s="40"/>
      <c r="H62" s="43"/>
      <c r="I62" s="3"/>
      <c r="S62" s="8"/>
      <c r="T62" s="10"/>
    </row>
    <row r="63" spans="3:20">
      <c r="C63" s="3"/>
      <c r="G63" s="40"/>
      <c r="H63" s="43"/>
      <c r="I63" s="3"/>
      <c r="S63" s="8"/>
      <c r="T63" s="10"/>
    </row>
    <row r="64" spans="3:20">
      <c r="C64" s="3"/>
      <c r="G64" s="40"/>
      <c r="H64" s="43"/>
      <c r="I64" s="3"/>
      <c r="S64" s="8"/>
      <c r="T64" s="10"/>
    </row>
    <row r="65" spans="3:20">
      <c r="C65" s="3"/>
      <c r="G65" s="40"/>
      <c r="H65" s="43"/>
      <c r="I65" s="3"/>
      <c r="S65" s="8"/>
      <c r="T65" s="10"/>
    </row>
    <row r="66" spans="3:20">
      <c r="C66" s="3"/>
      <c r="G66" s="40"/>
      <c r="H66" s="43"/>
      <c r="I66" s="3"/>
      <c r="S66" s="8"/>
      <c r="T66" s="10"/>
    </row>
    <row r="67" spans="3:20">
      <c r="C67" s="3"/>
      <c r="G67" s="40"/>
      <c r="H67" s="43"/>
      <c r="I67" s="3"/>
      <c r="S67" s="8"/>
      <c r="T67" s="10"/>
    </row>
    <row r="68" spans="3:20">
      <c r="C68" s="3"/>
      <c r="G68" s="40"/>
      <c r="H68" s="43"/>
      <c r="I68" s="3"/>
      <c r="S68" s="8"/>
      <c r="T68" s="10"/>
    </row>
    <row r="69" spans="3:20">
      <c r="C69" s="3"/>
      <c r="G69" s="40"/>
      <c r="H69" s="43"/>
      <c r="I69" s="3"/>
      <c r="S69" s="8"/>
      <c r="T69" s="10"/>
    </row>
    <row r="70" spans="3:20">
      <c r="C70" s="3"/>
      <c r="G70" s="40"/>
      <c r="H70" s="43"/>
      <c r="I70" s="3"/>
      <c r="S70" s="8"/>
      <c r="T70" s="10"/>
    </row>
    <row r="71" spans="3:20">
      <c r="C71" s="3"/>
      <c r="G71" s="40"/>
      <c r="H71" s="43"/>
      <c r="I71" s="3"/>
      <c r="S71" s="8"/>
      <c r="T71" s="10"/>
    </row>
    <row r="72" spans="3:20">
      <c r="C72" s="3"/>
      <c r="G72" s="40"/>
      <c r="H72" s="43"/>
      <c r="I72" s="3"/>
      <c r="S72" s="8"/>
      <c r="T72" s="10"/>
    </row>
    <row r="73" spans="3:20">
      <c r="C73" s="3"/>
      <c r="G73" s="40"/>
      <c r="H73" s="43"/>
      <c r="I73" s="3"/>
      <c r="S73" s="8"/>
      <c r="T73" s="10"/>
    </row>
    <row r="74" spans="3:20">
      <c r="C74" s="3"/>
      <c r="G74" s="40"/>
      <c r="H74" s="43"/>
      <c r="I74" s="3"/>
      <c r="S74" s="8"/>
      <c r="T74" s="10"/>
    </row>
    <row r="75" spans="3:20">
      <c r="C75" s="3"/>
      <c r="G75" s="40"/>
      <c r="H75" s="43"/>
      <c r="I75" s="3"/>
      <c r="S75" s="8"/>
      <c r="T75" s="10"/>
    </row>
    <row r="76" spans="3:20">
      <c r="C76" s="3"/>
      <c r="G76" s="40"/>
      <c r="H76" s="43"/>
      <c r="I76" s="3"/>
      <c r="S76" s="8"/>
      <c r="T76" s="10"/>
    </row>
    <row r="77" spans="3:20">
      <c r="C77" s="3"/>
      <c r="G77" s="40"/>
      <c r="H77" s="43"/>
      <c r="I77" s="3"/>
      <c r="S77" s="8"/>
      <c r="T77" s="10"/>
    </row>
    <row r="78" spans="3:20">
      <c r="C78" s="3"/>
      <c r="G78" s="39"/>
      <c r="H78" s="43"/>
      <c r="I78" s="3"/>
      <c r="S78" s="8"/>
      <c r="T78" s="10"/>
    </row>
    <row r="79" spans="3:20">
      <c r="C79" s="3"/>
      <c r="G79" s="40"/>
      <c r="H79" s="43"/>
      <c r="I79" s="3"/>
      <c r="S79" s="8"/>
      <c r="T79" s="10"/>
    </row>
    <row r="80" spans="3:20">
      <c r="C80" s="3"/>
      <c r="G80" s="39"/>
      <c r="H80" s="43"/>
      <c r="I80" s="3"/>
      <c r="S80" s="8"/>
      <c r="T80" s="10"/>
    </row>
    <row r="81" spans="3:20">
      <c r="C81" s="3"/>
      <c r="G81" s="40"/>
      <c r="H81" s="43"/>
      <c r="I81" s="3"/>
      <c r="S81" s="8"/>
      <c r="T81" s="10"/>
    </row>
    <row r="82" spans="3:20">
      <c r="C82" s="3"/>
      <c r="D82" s="1"/>
      <c r="G82" s="39"/>
      <c r="H82" s="43"/>
      <c r="I82" s="3"/>
      <c r="S82" s="8"/>
      <c r="T82" s="10"/>
    </row>
    <row r="83" spans="3:20">
      <c r="C83" s="3"/>
      <c r="G83" s="40"/>
      <c r="H83" s="43"/>
      <c r="I83" s="3"/>
      <c r="S83" s="8"/>
      <c r="T83" s="10"/>
    </row>
    <row r="84" spans="3:20">
      <c r="C84" s="3"/>
      <c r="G84" s="39"/>
      <c r="H84" s="43"/>
      <c r="I84" s="3"/>
      <c r="S84" s="8"/>
      <c r="T84" s="10"/>
    </row>
    <row r="85" spans="3:20">
      <c r="C85" s="3"/>
      <c r="G85" s="39"/>
      <c r="H85" s="43"/>
      <c r="I85" s="3"/>
      <c r="S85" s="8"/>
      <c r="T85" s="10"/>
    </row>
    <row r="86" spans="3:20">
      <c r="C86" s="3"/>
      <c r="G86" s="40"/>
      <c r="H86" s="43"/>
      <c r="I86" s="3"/>
      <c r="S86" s="8"/>
    </row>
    <row r="87" spans="3:20">
      <c r="C87" s="3"/>
      <c r="G87" s="40"/>
      <c r="H87" s="43"/>
      <c r="I87" s="3"/>
      <c r="S87" s="8"/>
      <c r="T87" s="10"/>
    </row>
    <row r="88" spans="3:20">
      <c r="C88" s="3"/>
      <c r="G88" s="40"/>
      <c r="H88" s="43"/>
      <c r="I88" s="3"/>
      <c r="S88" s="8"/>
      <c r="T88" s="10"/>
    </row>
    <row r="89" spans="3:20">
      <c r="C89" s="3"/>
      <c r="G89" s="40"/>
      <c r="H89" s="43"/>
      <c r="I89" s="3"/>
      <c r="S89" s="8"/>
      <c r="T89" s="10"/>
    </row>
    <row r="90" spans="3:20">
      <c r="C90" s="3"/>
      <c r="G90" s="40"/>
      <c r="H90" s="43"/>
      <c r="I90" s="3"/>
      <c r="S90" s="8"/>
      <c r="T90" s="10"/>
    </row>
    <row r="91" spans="3:20">
      <c r="C91" s="3"/>
      <c r="G91" s="40"/>
      <c r="H91" s="43"/>
      <c r="I91" s="3"/>
      <c r="S91" s="8"/>
      <c r="T91" s="10"/>
    </row>
    <row r="92" spans="3:20">
      <c r="C92" s="3"/>
      <c r="G92" s="39"/>
      <c r="H92" s="43"/>
      <c r="I92" s="3"/>
      <c r="S92" s="8"/>
      <c r="T92" s="10"/>
    </row>
    <row r="93" spans="3:20">
      <c r="C93" s="3"/>
      <c r="G93" s="40"/>
      <c r="H93" s="43"/>
      <c r="I93" s="3"/>
      <c r="S93" s="8"/>
      <c r="T93" s="10"/>
    </row>
    <row r="94" spans="3:20">
      <c r="C94" s="3"/>
      <c r="G94" s="40"/>
      <c r="H94" s="43"/>
      <c r="I94" s="3"/>
      <c r="S94" s="8"/>
      <c r="T94" s="10"/>
    </row>
    <row r="95" spans="3:20">
      <c r="C95" s="3"/>
      <c r="G95" s="40"/>
      <c r="H95" s="43"/>
      <c r="I95" s="3"/>
      <c r="S95" s="8"/>
      <c r="T95" s="10"/>
    </row>
    <row r="96" spans="3:20">
      <c r="C96" s="3"/>
      <c r="G96" s="40"/>
      <c r="H96" s="43"/>
      <c r="I96" s="3"/>
      <c r="S96" s="8"/>
      <c r="T96" s="10"/>
    </row>
    <row r="97" spans="3:20">
      <c r="C97" s="3"/>
      <c r="G97" s="39"/>
      <c r="H97" s="43"/>
      <c r="I97" s="3"/>
      <c r="S97" s="8"/>
      <c r="T97" s="10"/>
    </row>
    <row r="98" spans="3:20">
      <c r="C98" s="3"/>
      <c r="G98" s="40"/>
      <c r="H98" s="43"/>
      <c r="I98" s="3"/>
      <c r="S98" s="8"/>
      <c r="T98" s="10"/>
    </row>
    <row r="99" spans="3:20">
      <c r="C99" s="3"/>
      <c r="G99" s="40"/>
      <c r="H99" s="43"/>
      <c r="I99" s="3"/>
      <c r="S99" s="8"/>
      <c r="T99" s="10"/>
    </row>
    <row r="100" spans="3:20">
      <c r="C100" s="3"/>
      <c r="G100" s="40"/>
      <c r="H100" s="43"/>
      <c r="I100" s="3"/>
      <c r="S100" s="8"/>
      <c r="T100" s="10"/>
    </row>
    <row r="101" spans="3:20">
      <c r="C101" s="3"/>
      <c r="G101" s="39"/>
      <c r="H101" s="43"/>
      <c r="I101" s="3"/>
      <c r="S101" s="8"/>
      <c r="T101" s="10"/>
    </row>
    <row r="102" spans="3:20">
      <c r="C102" s="3"/>
      <c r="G102" s="40"/>
      <c r="H102" s="43"/>
      <c r="I102" s="3"/>
      <c r="S102" s="8"/>
      <c r="T102" s="10"/>
    </row>
    <row r="103" spans="3:20">
      <c r="C103" s="3"/>
      <c r="G103" s="40"/>
      <c r="H103" s="43"/>
      <c r="I103" s="3"/>
      <c r="S103" s="8"/>
      <c r="T103" s="10"/>
    </row>
    <row r="104" spans="3:20">
      <c r="C104" s="3"/>
      <c r="G104" s="39"/>
      <c r="H104" s="43"/>
      <c r="I104" s="3"/>
      <c r="S104" s="8"/>
      <c r="T104" s="10"/>
    </row>
    <row r="105" spans="3:20">
      <c r="C105" s="3"/>
      <c r="G105" s="40"/>
      <c r="H105" s="43"/>
      <c r="I105" s="3"/>
      <c r="S105" s="8"/>
      <c r="T105" s="10"/>
    </row>
    <row r="106" spans="3:20">
      <c r="C106" s="3"/>
      <c r="G106" s="40"/>
      <c r="H106" s="43"/>
      <c r="I106" s="3"/>
      <c r="S106" s="8"/>
      <c r="T106" s="10"/>
    </row>
    <row r="107" spans="3:20">
      <c r="C107" s="3"/>
      <c r="G107" s="39"/>
      <c r="H107" s="43"/>
      <c r="I107" s="3"/>
      <c r="S107" s="8"/>
      <c r="T107" s="10"/>
    </row>
    <row r="108" spans="3:20">
      <c r="C108" s="3"/>
      <c r="G108" s="39"/>
      <c r="H108" s="43"/>
      <c r="I108" s="3"/>
      <c r="S108" s="8"/>
      <c r="T108" s="10"/>
    </row>
    <row r="109" spans="3:20">
      <c r="C109" s="3"/>
      <c r="G109" s="40"/>
      <c r="H109" s="43"/>
      <c r="I109" s="3"/>
      <c r="S109" s="8"/>
      <c r="T109" s="10"/>
    </row>
    <row r="110" spans="3:20">
      <c r="C110" s="3"/>
      <c r="G110" s="39"/>
      <c r="H110" s="43"/>
      <c r="I110" s="3"/>
      <c r="S110" s="8"/>
      <c r="T110" s="10"/>
    </row>
    <row r="111" spans="3:20">
      <c r="C111" s="3"/>
      <c r="G111" s="40"/>
      <c r="H111" s="43"/>
      <c r="I111" s="3"/>
      <c r="S111" s="8"/>
      <c r="T111" s="10"/>
    </row>
    <row r="112" spans="3:20">
      <c r="C112" s="3"/>
      <c r="G112" s="39"/>
      <c r="H112" s="43"/>
      <c r="I112" s="3"/>
      <c r="S112" s="8"/>
      <c r="T112" s="10"/>
    </row>
    <row r="113" spans="3:20">
      <c r="C113" s="3"/>
      <c r="G113" s="39"/>
      <c r="H113" s="43"/>
      <c r="I113" s="3"/>
      <c r="S113" s="8"/>
      <c r="T113" s="10"/>
    </row>
    <row r="114" spans="3:20">
      <c r="C114" s="3"/>
      <c r="G114" s="40"/>
      <c r="H114" s="43"/>
      <c r="I114" s="3"/>
      <c r="S114" s="8"/>
      <c r="T114" s="10"/>
    </row>
    <row r="115" spans="3:20">
      <c r="C115" s="3"/>
      <c r="G115" s="40"/>
      <c r="H115" s="43"/>
      <c r="I115" s="3"/>
      <c r="S115" s="8"/>
      <c r="T115" s="10"/>
    </row>
    <row r="116" spans="3:20">
      <c r="C116" s="3"/>
      <c r="G116" s="39"/>
      <c r="H116" s="43"/>
      <c r="I116" s="3"/>
      <c r="S116" s="8"/>
      <c r="T116" s="10"/>
    </row>
    <row r="117" spans="3:20">
      <c r="C117" s="3"/>
      <c r="G117" s="40"/>
      <c r="H117" s="43"/>
      <c r="I117" s="3"/>
      <c r="S117" s="8"/>
      <c r="T117" s="10"/>
    </row>
    <row r="118" spans="3:20">
      <c r="C118" s="3"/>
      <c r="G118" s="40"/>
      <c r="H118" s="43"/>
      <c r="I118" s="3"/>
      <c r="S118" s="8"/>
      <c r="T118" s="10"/>
    </row>
    <row r="119" spans="3:20">
      <c r="C119" s="3"/>
      <c r="G119" s="39"/>
      <c r="H119" s="43"/>
      <c r="I119" s="3"/>
      <c r="S119" s="8"/>
      <c r="T119" s="10"/>
    </row>
    <row r="120" spans="3:20">
      <c r="C120" s="3"/>
      <c r="G120" s="39"/>
      <c r="H120" s="43"/>
      <c r="I120" s="3"/>
      <c r="S120" s="8"/>
      <c r="T120" s="10"/>
    </row>
    <row r="121" spans="3:20">
      <c r="C121" s="3"/>
      <c r="G121" s="40"/>
      <c r="H121" s="43"/>
      <c r="I121" s="3"/>
      <c r="S121" s="8"/>
      <c r="T121" s="10"/>
    </row>
    <row r="122" spans="3:20">
      <c r="C122" s="3"/>
      <c r="G122" s="39"/>
      <c r="H122" s="43"/>
      <c r="I122" s="3"/>
      <c r="S122" s="8"/>
      <c r="T122" s="10"/>
    </row>
    <row r="123" spans="3:20">
      <c r="C123" s="3"/>
      <c r="G123" s="40"/>
      <c r="H123" s="43"/>
      <c r="I123" s="3"/>
      <c r="S123" s="8"/>
      <c r="T123" s="10"/>
    </row>
    <row r="124" spans="3:20">
      <c r="C124" s="3"/>
      <c r="G124" s="39"/>
      <c r="H124" s="43"/>
      <c r="I124" s="3"/>
      <c r="S124" s="8"/>
      <c r="T124" s="10"/>
    </row>
    <row r="125" spans="3:20">
      <c r="C125" s="3"/>
      <c r="G125" s="42"/>
      <c r="H125" s="43"/>
      <c r="I125" s="3"/>
      <c r="S125" s="8"/>
      <c r="T125" s="10"/>
    </row>
    <row r="126" spans="3:20">
      <c r="C126" s="3"/>
      <c r="G126" s="42"/>
      <c r="H126" s="43"/>
      <c r="I126" s="3"/>
      <c r="S126" s="8"/>
      <c r="T126" s="10"/>
    </row>
    <row r="127" spans="3:20">
      <c r="C127" s="3"/>
      <c r="G127" s="41"/>
      <c r="H127" s="43"/>
      <c r="I127" s="3"/>
      <c r="S127" s="8"/>
      <c r="T127" s="10"/>
    </row>
    <row r="128" spans="3:20">
      <c r="C128" s="3"/>
      <c r="G128" s="40"/>
      <c r="H128" s="43"/>
      <c r="I128" s="3"/>
      <c r="S128" s="8"/>
      <c r="T128" s="10"/>
    </row>
    <row r="129" spans="3:20">
      <c r="C129" s="3"/>
      <c r="G129" s="40"/>
      <c r="H129" s="43"/>
      <c r="I129" s="3"/>
      <c r="S129" s="8"/>
      <c r="T129" s="10"/>
    </row>
    <row r="130" spans="3:20">
      <c r="C130" s="3"/>
      <c r="G130" s="39"/>
      <c r="H130" s="43"/>
      <c r="I130" s="3"/>
      <c r="S130" s="8"/>
      <c r="T130" s="10"/>
    </row>
    <row r="131" spans="3:20">
      <c r="C131" s="3"/>
      <c r="G131" s="40"/>
      <c r="H131" s="43"/>
      <c r="I131" s="3"/>
      <c r="S131" s="8"/>
      <c r="T131" s="10"/>
    </row>
    <row r="132" spans="3:20">
      <c r="C132" s="3"/>
      <c r="G132" s="40"/>
      <c r="H132" s="43"/>
      <c r="I132" s="3"/>
      <c r="S132" s="8"/>
      <c r="T132" s="10"/>
    </row>
    <row r="133" spans="3:20">
      <c r="C133" s="3"/>
      <c r="G133" s="40"/>
      <c r="H133" s="43"/>
      <c r="I133" s="3"/>
      <c r="S133" s="8"/>
      <c r="T133" s="10"/>
    </row>
    <row r="134" spans="3:20">
      <c r="C134" s="3"/>
      <c r="G134" s="40"/>
      <c r="H134" s="43"/>
      <c r="I134" s="3"/>
      <c r="S134" s="8"/>
      <c r="T134" s="10"/>
    </row>
    <row r="135" spans="3:20">
      <c r="C135" s="3"/>
      <c r="G135" s="40"/>
      <c r="H135" s="43"/>
      <c r="I135" s="3"/>
      <c r="S135" s="8"/>
      <c r="T135" s="10"/>
    </row>
    <row r="136" spans="3:20">
      <c r="C136" s="3"/>
      <c r="G136" s="39"/>
      <c r="H136" s="43"/>
      <c r="I136" s="3"/>
      <c r="S136" s="8"/>
      <c r="T136" s="10"/>
    </row>
    <row r="137" spans="3:20">
      <c r="C137" s="3"/>
      <c r="G137" s="40"/>
      <c r="H137" s="43"/>
      <c r="I137" s="3"/>
      <c r="S137" s="8"/>
      <c r="T137" s="10"/>
    </row>
    <row r="138" spans="3:20">
      <c r="C138" s="3"/>
      <c r="G138" s="39"/>
      <c r="H138" s="43"/>
      <c r="I138" s="3"/>
      <c r="S138" s="8"/>
      <c r="T138" s="10"/>
    </row>
    <row r="139" spans="3:20">
      <c r="C139" s="3"/>
      <c r="G139" s="39"/>
      <c r="H139" s="43"/>
      <c r="I139" s="3"/>
      <c r="S139" s="8"/>
      <c r="T139" s="10"/>
    </row>
    <row r="140" spans="3:20">
      <c r="C140" s="3"/>
      <c r="G140" s="40"/>
      <c r="H140" s="43"/>
      <c r="I140" s="3"/>
      <c r="S140" s="8"/>
      <c r="T140" s="10"/>
    </row>
    <row r="141" spans="3:20">
      <c r="C141" s="3"/>
      <c r="G141" s="40"/>
      <c r="H141" s="43"/>
      <c r="I141" s="3"/>
      <c r="S141" s="8"/>
      <c r="T141" s="10"/>
    </row>
    <row r="142" spans="3:20">
      <c r="C142" s="3"/>
      <c r="G142" s="40"/>
      <c r="H142" s="43"/>
      <c r="I142" s="3"/>
      <c r="S142" s="8"/>
      <c r="T142" s="10"/>
    </row>
    <row r="143" spans="3:20">
      <c r="C143" s="3"/>
      <c r="G143" s="40"/>
      <c r="H143" s="43"/>
      <c r="I143" s="3"/>
      <c r="S143" s="8"/>
      <c r="T143" s="10"/>
    </row>
    <row r="144" spans="3:20">
      <c r="C144" s="3"/>
      <c r="D144" s="1"/>
      <c r="G144" s="40"/>
      <c r="H144" s="43"/>
      <c r="I144" s="3"/>
      <c r="S144" s="8"/>
      <c r="T144" s="10"/>
    </row>
    <row r="145" spans="3:20">
      <c r="C145" s="3"/>
      <c r="G145" s="40"/>
      <c r="H145" s="43"/>
      <c r="I145" s="3"/>
      <c r="S145" s="8"/>
      <c r="T145" s="10"/>
    </row>
    <row r="146" spans="3:20">
      <c r="C146" s="3"/>
      <c r="G146" s="40"/>
      <c r="H146" s="43"/>
      <c r="I146" s="3"/>
      <c r="S146" s="8"/>
      <c r="T146" s="10"/>
    </row>
    <row r="147" spans="3:20">
      <c r="C147" s="3"/>
      <c r="G147" s="40"/>
      <c r="H147" s="43"/>
      <c r="I147" s="3"/>
      <c r="S147" s="8"/>
      <c r="T147" s="10"/>
    </row>
    <row r="148" spans="3:20">
      <c r="C148" s="3"/>
      <c r="G148" s="39"/>
      <c r="H148" s="43"/>
      <c r="I148" s="3"/>
      <c r="S148" s="8"/>
      <c r="T148" s="10"/>
    </row>
    <row r="149" spans="3:20">
      <c r="C149" s="3"/>
      <c r="G149" s="40"/>
      <c r="H149" s="43"/>
      <c r="I149" s="3"/>
      <c r="S149" s="8"/>
      <c r="T149" s="10"/>
    </row>
    <row r="150" spans="3:20">
      <c r="C150" s="3"/>
      <c r="G150" s="39"/>
      <c r="H150" s="43"/>
      <c r="I150" s="3"/>
      <c r="S150" s="8"/>
      <c r="T150" s="10"/>
    </row>
    <row r="151" spans="3:20">
      <c r="C151" s="3"/>
      <c r="G151" s="40"/>
      <c r="H151" s="43"/>
      <c r="I151" s="3"/>
      <c r="S151" s="8"/>
      <c r="T151" s="10"/>
    </row>
    <row r="152" spans="3:20">
      <c r="C152" s="3"/>
      <c r="G152" s="39"/>
      <c r="H152" s="43"/>
      <c r="I152" s="3"/>
      <c r="S152" s="8"/>
      <c r="T152" s="10"/>
    </row>
    <row r="153" spans="3:20">
      <c r="C153" s="3"/>
      <c r="G153" s="39"/>
      <c r="H153" s="43"/>
      <c r="I153" s="3"/>
      <c r="S153" s="8"/>
      <c r="T153" s="10"/>
    </row>
    <row r="154" spans="3:20">
      <c r="C154" s="3"/>
      <c r="G154" s="40"/>
      <c r="H154" s="43"/>
      <c r="I154" s="3"/>
      <c r="S154" s="8"/>
      <c r="T154" s="10"/>
    </row>
    <row r="155" spans="3:20">
      <c r="C155" s="3"/>
      <c r="G155" s="40"/>
      <c r="H155" s="43"/>
      <c r="I155" s="3"/>
      <c r="S155" s="8"/>
      <c r="T155" s="10"/>
    </row>
    <row r="156" spans="3:20">
      <c r="C156" s="3"/>
      <c r="G156" s="39"/>
      <c r="H156" s="43"/>
      <c r="I156" s="3"/>
      <c r="S156" s="8"/>
      <c r="T156" s="10"/>
    </row>
    <row r="157" spans="3:20">
      <c r="C157" s="3"/>
      <c r="G157" s="39"/>
      <c r="H157" s="43"/>
      <c r="I157" s="3"/>
      <c r="S157" s="8"/>
      <c r="T157" s="10"/>
    </row>
    <row r="158" spans="3:20">
      <c r="C158" s="3"/>
      <c r="G158" s="39"/>
      <c r="H158" s="43"/>
      <c r="I158" s="3"/>
      <c r="S158" s="8"/>
      <c r="T158" s="10"/>
    </row>
    <row r="159" spans="3:20">
      <c r="C159" s="3"/>
      <c r="G159" s="40"/>
      <c r="H159" s="43"/>
      <c r="I159" s="3"/>
      <c r="S159" s="8"/>
      <c r="T159" s="10"/>
    </row>
    <row r="160" spans="3:20">
      <c r="C160" s="3"/>
      <c r="G160" s="39"/>
      <c r="H160" s="43"/>
      <c r="I160" s="3"/>
      <c r="S160" s="8"/>
      <c r="T160" s="10"/>
    </row>
    <row r="161" spans="3:20">
      <c r="C161" s="3"/>
      <c r="G161" s="40"/>
      <c r="H161" s="43"/>
      <c r="I161" s="3"/>
      <c r="S161" s="8"/>
      <c r="T161" s="10"/>
    </row>
    <row r="162" spans="3:20">
      <c r="C162" s="3"/>
      <c r="G162" s="40"/>
      <c r="H162" s="43"/>
      <c r="I162" s="3"/>
      <c r="S162" s="8"/>
      <c r="T162" s="10"/>
    </row>
    <row r="163" spans="3:20">
      <c r="C163" s="3"/>
      <c r="G163" s="39"/>
      <c r="H163" s="43"/>
      <c r="I163" s="3"/>
      <c r="S163" s="8"/>
      <c r="T163" s="10"/>
    </row>
    <row r="164" spans="3:20">
      <c r="C164" s="3"/>
      <c r="G164" s="39"/>
      <c r="H164" s="43"/>
      <c r="I164" s="3"/>
      <c r="S164" s="8"/>
      <c r="T164" s="10"/>
    </row>
    <row r="165" spans="3:20">
      <c r="C165" s="3"/>
      <c r="G165" s="41"/>
      <c r="H165" s="43"/>
      <c r="I165" s="3"/>
      <c r="S165" s="8"/>
      <c r="T165" s="10"/>
    </row>
    <row r="166" spans="3:20">
      <c r="C166" s="3"/>
      <c r="G166" s="39"/>
      <c r="H166" s="43"/>
      <c r="I166" s="3"/>
      <c r="S166" s="8"/>
      <c r="T166" s="10"/>
    </row>
    <row r="167" spans="3:20">
      <c r="C167" s="3"/>
      <c r="G167" s="39"/>
      <c r="H167" s="43"/>
      <c r="I167" s="3"/>
      <c r="S167" s="8"/>
      <c r="T167" s="10"/>
    </row>
    <row r="168" spans="3:20">
      <c r="C168" s="3"/>
      <c r="G168" s="41"/>
      <c r="H168" s="43"/>
      <c r="I168" s="3"/>
      <c r="S168" s="8"/>
      <c r="T168" s="10"/>
    </row>
    <row r="169" spans="3:20">
      <c r="C169" s="3"/>
      <c r="G169" s="40"/>
      <c r="H169" s="43"/>
      <c r="I169" s="3"/>
      <c r="S169" s="8"/>
      <c r="T169" s="10"/>
    </row>
    <row r="170" spans="3:20">
      <c r="C170" s="3"/>
      <c r="G170" s="40"/>
      <c r="H170" s="43"/>
      <c r="I170" s="3"/>
      <c r="S170" s="8"/>
      <c r="T170" s="10"/>
    </row>
    <row r="171" spans="3:20">
      <c r="C171" s="3"/>
      <c r="G171" s="40"/>
      <c r="H171" s="43"/>
      <c r="I171" s="3"/>
      <c r="S171" s="8"/>
      <c r="T171" s="10"/>
    </row>
    <row r="172" spans="3:20">
      <c r="C172" s="3"/>
      <c r="G172" s="39"/>
      <c r="H172" s="43"/>
      <c r="I172" s="3"/>
      <c r="S172" s="8"/>
      <c r="T172" s="10"/>
    </row>
    <row r="173" spans="3:20">
      <c r="C173" s="3"/>
      <c r="G173" s="39"/>
      <c r="H173" s="43"/>
      <c r="I173" s="3"/>
      <c r="S173" s="8"/>
      <c r="T173" s="10"/>
    </row>
    <row r="174" spans="3:20">
      <c r="C174" s="3"/>
      <c r="G174" s="40"/>
      <c r="H174" s="43"/>
      <c r="I174" s="3"/>
      <c r="S174" s="8"/>
      <c r="T174" s="10"/>
    </row>
    <row r="175" spans="3:20">
      <c r="C175" s="3"/>
      <c r="G175" s="39"/>
      <c r="H175" s="43"/>
      <c r="I175" s="3"/>
      <c r="S175" s="8"/>
      <c r="T175" s="10"/>
    </row>
    <row r="176" spans="3:20">
      <c r="C176" s="3"/>
      <c r="G176" s="39"/>
      <c r="H176" s="43"/>
      <c r="I176" s="3"/>
      <c r="S176" s="8"/>
      <c r="T176" s="10"/>
    </row>
    <row r="177" spans="3:20">
      <c r="C177" s="3"/>
      <c r="G177" s="40"/>
      <c r="H177" s="43"/>
      <c r="I177" s="3"/>
      <c r="S177" s="8"/>
      <c r="T177" s="10"/>
    </row>
    <row r="178" spans="3:20">
      <c r="C178" s="3"/>
      <c r="G178" s="40"/>
      <c r="H178" s="43"/>
      <c r="I178" s="3"/>
      <c r="S178" s="8"/>
      <c r="T178" s="10"/>
    </row>
    <row r="179" spans="3:20">
      <c r="C179" s="3"/>
      <c r="G179" s="40"/>
      <c r="H179" s="43"/>
      <c r="I179" s="3"/>
      <c r="S179" s="8"/>
      <c r="T179" s="10"/>
    </row>
    <row r="180" spans="3:20">
      <c r="C180" s="3"/>
      <c r="G180" s="40"/>
      <c r="H180" s="43"/>
      <c r="I180" s="3"/>
      <c r="S180" s="8"/>
      <c r="T180" s="10"/>
    </row>
    <row r="181" spans="3:20">
      <c r="C181" s="3"/>
      <c r="G181" s="39"/>
      <c r="H181" s="43"/>
      <c r="I181" s="3"/>
      <c r="S181" s="8"/>
      <c r="T181" s="10"/>
    </row>
    <row r="182" spans="3:20">
      <c r="C182" s="3"/>
      <c r="G182" s="39"/>
      <c r="H182" s="43"/>
      <c r="I182" s="3"/>
      <c r="S182" s="8"/>
      <c r="T182" s="10"/>
    </row>
    <row r="183" spans="3:20">
      <c r="C183" s="3"/>
      <c r="G183" s="39"/>
      <c r="H183" s="43"/>
      <c r="I183" s="3"/>
      <c r="S183" s="8"/>
      <c r="T183" s="10"/>
    </row>
    <row r="184" spans="3:20">
      <c r="C184" s="3"/>
      <c r="G184" s="40"/>
      <c r="H184" s="43"/>
      <c r="I184" s="3"/>
      <c r="S184" s="8"/>
      <c r="T184" s="10"/>
    </row>
    <row r="185" spans="3:20">
      <c r="C185" s="3"/>
      <c r="G185" s="40"/>
      <c r="H185" s="43"/>
      <c r="I185" s="3"/>
      <c r="S185" s="8"/>
      <c r="T185" s="10"/>
    </row>
    <row r="186" spans="3:20">
      <c r="C186" s="3"/>
      <c r="G186" s="40"/>
      <c r="H186" s="43"/>
      <c r="I186" s="3"/>
      <c r="S186" s="8"/>
      <c r="T186" s="10"/>
    </row>
    <row r="187" spans="3:20">
      <c r="C187" s="3"/>
      <c r="G187" s="40"/>
      <c r="H187" s="43"/>
      <c r="I187" s="3"/>
      <c r="S187" s="8"/>
      <c r="T187" s="10"/>
    </row>
    <row r="188" spans="3:20">
      <c r="C188" s="3"/>
      <c r="G188" s="39"/>
      <c r="H188" s="43"/>
      <c r="I188" s="3"/>
      <c r="S188" s="8"/>
      <c r="T188" s="10"/>
    </row>
    <row r="189" spans="3:20">
      <c r="C189" s="3"/>
      <c r="G189" s="39"/>
      <c r="H189" s="43"/>
      <c r="I189" s="3"/>
      <c r="S189" s="8"/>
      <c r="T189" s="10"/>
    </row>
    <row r="190" spans="3:20">
      <c r="C190" s="3"/>
      <c r="G190" s="42"/>
      <c r="H190" s="43"/>
      <c r="I190" s="3"/>
      <c r="S190" s="8"/>
      <c r="T190" s="10"/>
    </row>
    <row r="191" spans="3:20">
      <c r="C191" s="3"/>
      <c r="G191" s="44"/>
      <c r="H191" s="43"/>
      <c r="I191" s="3"/>
      <c r="S191" s="8"/>
      <c r="T191" s="10"/>
    </row>
    <row r="192" spans="3:20">
      <c r="C192" s="3"/>
      <c r="G192" s="44"/>
      <c r="H192" s="43"/>
      <c r="I192" s="3"/>
      <c r="S192" s="8"/>
      <c r="T192" s="10"/>
    </row>
    <row r="193" spans="3:20">
      <c r="C193" s="3"/>
      <c r="G193" s="44"/>
      <c r="H193" s="43"/>
      <c r="I193" s="3"/>
      <c r="S193" s="8"/>
      <c r="T193" s="10"/>
    </row>
    <row r="194" spans="3:20">
      <c r="C194" s="3"/>
      <c r="G194" s="8"/>
      <c r="H194" s="7"/>
      <c r="I194" s="3"/>
      <c r="S194" s="8"/>
      <c r="T194" s="10"/>
    </row>
    <row r="195" spans="3:20">
      <c r="C195" s="3"/>
      <c r="G195" s="8"/>
      <c r="H195" s="7"/>
      <c r="I195" s="3"/>
      <c r="S195" s="8"/>
      <c r="T195" s="10"/>
    </row>
    <row r="196" spans="3:20">
      <c r="C196" s="3"/>
      <c r="G196" s="8"/>
      <c r="H196" s="7"/>
      <c r="I196" s="3"/>
    </row>
    <row r="197" spans="3:20">
      <c r="C197" s="3"/>
      <c r="G197" s="8"/>
      <c r="H197" s="7"/>
      <c r="I197" s="3"/>
    </row>
    <row r="198" spans="3:20">
      <c r="C198" s="3"/>
      <c r="G198" s="8"/>
      <c r="H198" s="7"/>
      <c r="I198" s="3"/>
    </row>
    <row r="199" spans="3:20">
      <c r="C199" s="3"/>
      <c r="G199" s="8"/>
      <c r="H199" s="7"/>
      <c r="I199" s="3"/>
    </row>
    <row r="200" spans="3:20">
      <c r="C200" s="3"/>
      <c r="G200" s="8"/>
      <c r="H200" s="7"/>
      <c r="I200" s="3"/>
    </row>
    <row r="201" spans="3:20">
      <c r="C201" s="3"/>
      <c r="G201" s="8"/>
      <c r="H201" s="7"/>
      <c r="I201" s="3"/>
    </row>
    <row r="202" spans="3:20">
      <c r="G202" s="8"/>
      <c r="H202" s="7"/>
      <c r="I202" s="3"/>
    </row>
    <row r="203" spans="3:20">
      <c r="G203" s="8"/>
      <c r="H203" s="7"/>
      <c r="I203" s="3"/>
    </row>
    <row r="204" spans="3:20">
      <c r="G204" s="8"/>
      <c r="H204" s="7"/>
      <c r="I204" s="3"/>
    </row>
    <row r="205" spans="3:20">
      <c r="G205" s="8"/>
      <c r="H205" s="7"/>
      <c r="I205" s="3"/>
    </row>
    <row r="206" spans="3:20">
      <c r="G206" s="8"/>
      <c r="H206" s="7"/>
      <c r="I206" s="3"/>
    </row>
    <row r="207" spans="3:20">
      <c r="G207" s="8"/>
      <c r="H207" s="7"/>
      <c r="I207" s="3"/>
    </row>
    <row r="208" spans="3:20">
      <c r="G208" s="8"/>
      <c r="H208" s="7"/>
      <c r="I208" s="3"/>
    </row>
    <row r="209" spans="7:9">
      <c r="G209" s="8"/>
      <c r="H209" s="7"/>
      <c r="I209" s="3"/>
    </row>
    <row r="210" spans="7:9">
      <c r="G210" s="8"/>
      <c r="H210" s="7"/>
      <c r="I210" s="3"/>
    </row>
    <row r="211" spans="7:9">
      <c r="G211" s="8"/>
      <c r="H211" s="7"/>
      <c r="I211" s="3"/>
    </row>
    <row r="212" spans="7:9">
      <c r="G212" s="8"/>
      <c r="H212" s="7"/>
      <c r="I212" s="3"/>
    </row>
    <row r="213" spans="7:9">
      <c r="G213" s="8"/>
      <c r="H213" s="7"/>
      <c r="I213" s="3"/>
    </row>
    <row r="214" spans="7:9">
      <c r="G214" s="8"/>
      <c r="H214" s="7"/>
      <c r="I214" s="3"/>
    </row>
    <row r="215" spans="7:9">
      <c r="G215" s="8"/>
      <c r="H215" s="7"/>
      <c r="I215" s="3"/>
    </row>
    <row r="216" spans="7:9">
      <c r="G216" s="8"/>
      <c r="H216" s="7"/>
      <c r="I216" s="3"/>
    </row>
    <row r="217" spans="7:9">
      <c r="G217" s="8"/>
      <c r="H217" s="7"/>
      <c r="I217" s="3"/>
    </row>
    <row r="218" spans="7:9">
      <c r="G218" s="8"/>
      <c r="H218" s="7"/>
      <c r="I218" s="3"/>
    </row>
    <row r="219" spans="7:9">
      <c r="G219" s="8"/>
      <c r="H219" s="7"/>
      <c r="I219" s="3"/>
    </row>
    <row r="220" spans="7:9">
      <c r="G220" s="8"/>
      <c r="H220" s="7"/>
      <c r="I220" s="3"/>
    </row>
    <row r="221" spans="7:9">
      <c r="G221" s="8"/>
      <c r="H221" s="7"/>
      <c r="I221" s="3"/>
    </row>
    <row r="222" spans="7:9">
      <c r="G222" s="8"/>
      <c r="H222" s="7"/>
      <c r="I222" s="3"/>
    </row>
    <row r="223" spans="7:9">
      <c r="G223" s="8"/>
      <c r="H223" s="7"/>
      <c r="I223" s="3"/>
    </row>
    <row r="224" spans="7:9">
      <c r="G224" s="8"/>
      <c r="H224" s="7"/>
      <c r="I224" s="3"/>
    </row>
    <row r="225" spans="7:9">
      <c r="G225" s="8"/>
      <c r="H225" s="7"/>
      <c r="I225" s="3"/>
    </row>
    <row r="226" spans="7:9">
      <c r="G226" s="8"/>
      <c r="H226" s="7"/>
      <c r="I226" s="3"/>
    </row>
    <row r="227" spans="7:9">
      <c r="G227" s="8"/>
      <c r="H227" s="7"/>
      <c r="I227" s="3"/>
    </row>
    <row r="228" spans="7:9">
      <c r="G228" s="8"/>
      <c r="H228" s="7"/>
      <c r="I228" s="3"/>
    </row>
    <row r="229" spans="7:9">
      <c r="G229" s="8"/>
      <c r="H229" s="7"/>
      <c r="I229" s="3"/>
    </row>
    <row r="230" spans="7:9">
      <c r="G230" s="8"/>
      <c r="H230" s="7"/>
      <c r="I230" s="3"/>
    </row>
    <row r="231" spans="7:9">
      <c r="G231" s="8"/>
      <c r="H231" s="7"/>
      <c r="I231" s="3"/>
    </row>
    <row r="232" spans="7:9">
      <c r="G232" s="8"/>
      <c r="H232" s="7"/>
      <c r="I232" s="3"/>
    </row>
    <row r="233" spans="7:9">
      <c r="G233" s="8"/>
      <c r="H233" s="7"/>
      <c r="I233" s="3"/>
    </row>
    <row r="234" spans="7:9">
      <c r="G234" s="8"/>
      <c r="H234" s="7"/>
      <c r="I234" s="3"/>
    </row>
    <row r="235" spans="7:9">
      <c r="G235" s="8"/>
      <c r="H235" s="7"/>
      <c r="I235" s="3"/>
    </row>
    <row r="236" spans="7:9">
      <c r="G236" s="8"/>
      <c r="H236" s="7"/>
      <c r="I236" s="3"/>
    </row>
    <row r="237" spans="7:9">
      <c r="G237" s="8"/>
      <c r="H237" s="7"/>
      <c r="I237" s="3"/>
    </row>
    <row r="238" spans="7:9">
      <c r="G238" s="8"/>
      <c r="H238" s="7"/>
      <c r="I238" s="3"/>
    </row>
    <row r="239" spans="7:9">
      <c r="G239" s="8"/>
      <c r="H239" s="7"/>
      <c r="I239" s="3"/>
    </row>
    <row r="240" spans="7:9">
      <c r="G240" s="8"/>
      <c r="H240" s="7"/>
      <c r="I240" s="3"/>
    </row>
    <row r="241" spans="7:9">
      <c r="G241" s="8"/>
      <c r="H241" s="7"/>
      <c r="I241" s="3"/>
    </row>
    <row r="242" spans="7:9">
      <c r="G242" s="8"/>
      <c r="H242" s="7"/>
      <c r="I242" s="3"/>
    </row>
    <row r="243" spans="7:9">
      <c r="G243" s="8"/>
      <c r="H243" s="7"/>
      <c r="I243" s="3"/>
    </row>
    <row r="244" spans="7:9">
      <c r="G244" s="8"/>
      <c r="H244" s="7"/>
      <c r="I244" s="3"/>
    </row>
    <row r="245" spans="7:9">
      <c r="G245" s="8"/>
      <c r="H245" s="7"/>
      <c r="I245" s="3"/>
    </row>
    <row r="246" spans="7:9">
      <c r="G246" s="8"/>
      <c r="H246" s="7"/>
      <c r="I246" s="3"/>
    </row>
    <row r="247" spans="7:9">
      <c r="G247" s="8"/>
      <c r="H247" s="7"/>
      <c r="I247" s="3"/>
    </row>
    <row r="248" spans="7:9">
      <c r="G248" s="8"/>
      <c r="H248" s="7"/>
      <c r="I248" s="3"/>
    </row>
    <row r="249" spans="7:9">
      <c r="G249" s="8"/>
      <c r="H249" s="7"/>
      <c r="I249" s="3"/>
    </row>
    <row r="250" spans="7:9">
      <c r="G250" s="8"/>
      <c r="H250" s="7"/>
      <c r="I250" s="3"/>
    </row>
    <row r="251" spans="7:9">
      <c r="G251" s="8"/>
      <c r="H251" s="7"/>
      <c r="I251" s="3"/>
    </row>
    <row r="252" spans="7:9">
      <c r="G252" s="8"/>
      <c r="H252" s="7"/>
      <c r="I252" s="3"/>
    </row>
    <row r="253" spans="7:9">
      <c r="G253" s="8"/>
      <c r="H253" s="7"/>
      <c r="I253" s="3"/>
    </row>
    <row r="254" spans="7:9">
      <c r="G254" s="8"/>
      <c r="H254" s="7"/>
      <c r="I254" s="3"/>
    </row>
    <row r="255" spans="7:9">
      <c r="G255" s="8"/>
      <c r="H255" s="7"/>
      <c r="I255" s="3"/>
    </row>
    <row r="256" spans="7:9">
      <c r="G256" s="8"/>
      <c r="H256" s="7"/>
      <c r="I256" s="3"/>
    </row>
    <row r="257" spans="7:12">
      <c r="G257" s="8"/>
      <c r="H257" s="7"/>
      <c r="I257" s="3"/>
    </row>
    <row r="258" spans="7:12">
      <c r="G258" s="8"/>
      <c r="H258" s="7"/>
      <c r="I258" s="3"/>
    </row>
    <row r="259" spans="7:12">
      <c r="G259" s="8"/>
      <c r="H259" s="7"/>
      <c r="I259" s="3"/>
    </row>
    <row r="260" spans="7:12">
      <c r="G260" s="8"/>
      <c r="H260" s="7"/>
      <c r="I260" s="3"/>
    </row>
    <row r="261" spans="7:12">
      <c r="G261" s="8"/>
      <c r="H261" s="7"/>
      <c r="I261" s="3"/>
    </row>
    <row r="262" spans="7:12">
      <c r="G262" s="8"/>
      <c r="H262" s="7"/>
      <c r="I262" s="3"/>
    </row>
    <row r="263" spans="7:12">
      <c r="G263" s="8"/>
      <c r="H263" s="7"/>
      <c r="I263" s="3"/>
    </row>
    <row r="264" spans="7:12">
      <c r="G264" s="8"/>
      <c r="H264" s="7"/>
      <c r="I264" s="3"/>
    </row>
    <row r="265" spans="7:12">
      <c r="G265" s="8"/>
      <c r="H265" s="7"/>
      <c r="I265" s="3"/>
    </row>
    <row r="266" spans="7:12">
      <c r="G266" s="8"/>
      <c r="H266" s="7"/>
      <c r="I266" s="3"/>
    </row>
    <row r="267" spans="7:12">
      <c r="G267" s="8"/>
      <c r="H267" s="7"/>
      <c r="I267" s="3"/>
    </row>
    <row r="268" spans="7:12">
      <c r="G268" s="8"/>
      <c r="H268" s="7"/>
      <c r="I268" s="3"/>
    </row>
    <row r="269" spans="7:12">
      <c r="G269" s="8"/>
      <c r="H269" s="7"/>
      <c r="I269" s="3"/>
    </row>
    <row r="270" spans="7:12">
      <c r="G270" s="8"/>
      <c r="H270" s="7"/>
      <c r="I270" s="3"/>
    </row>
    <row r="271" spans="7:12">
      <c r="G271" s="3"/>
      <c r="L271" s="16"/>
    </row>
    <row r="272" spans="7:12">
      <c r="G272" s="3"/>
    </row>
    <row r="273" spans="7:7">
      <c r="G273"/>
    </row>
    <row r="274" spans="7:7">
      <c r="G274" s="3"/>
    </row>
    <row r="275" spans="7:7">
      <c r="G275" s="3"/>
    </row>
    <row r="276" spans="7:7">
      <c r="G276" s="3"/>
    </row>
    <row r="277" spans="7:7">
      <c r="G277"/>
    </row>
    <row r="278" spans="7:7">
      <c r="G278" s="3"/>
    </row>
    <row r="279" spans="7:7">
      <c r="G279" s="3"/>
    </row>
    <row r="280" spans="7:7">
      <c r="G280"/>
    </row>
    <row r="281" spans="7:7">
      <c r="G281" s="3"/>
    </row>
    <row r="282" spans="7:7">
      <c r="G282"/>
    </row>
    <row r="283" spans="7:7">
      <c r="G283"/>
    </row>
    <row r="284" spans="7:7">
      <c r="G284" s="3"/>
    </row>
    <row r="285" spans="7:7">
      <c r="G285"/>
    </row>
    <row r="286" spans="7:7">
      <c r="G286"/>
    </row>
    <row r="287" spans="7:7">
      <c r="G287"/>
    </row>
    <row r="288" spans="7:7">
      <c r="G288"/>
    </row>
    <row r="289" spans="7:7">
      <c r="G289" s="3"/>
    </row>
    <row r="290" spans="7:7">
      <c r="G290" s="3"/>
    </row>
    <row r="291" spans="7:7">
      <c r="G291"/>
    </row>
    <row r="292" spans="7:7">
      <c r="G292" s="3"/>
    </row>
    <row r="293" spans="7:7">
      <c r="G293"/>
    </row>
    <row r="294" spans="7:7">
      <c r="G294" s="3"/>
    </row>
    <row r="295" spans="7:7">
      <c r="G295" s="3"/>
    </row>
    <row r="296" spans="7:7">
      <c r="G296"/>
    </row>
    <row r="297" spans="7:7">
      <c r="G297" s="3"/>
    </row>
    <row r="298" spans="7:7">
      <c r="G298"/>
    </row>
    <row r="299" spans="7:7">
      <c r="G299" s="3"/>
    </row>
    <row r="300" spans="7:7">
      <c r="G300"/>
    </row>
    <row r="301" spans="7:7">
      <c r="G301"/>
    </row>
    <row r="302" spans="7:7">
      <c r="G302"/>
    </row>
    <row r="303" spans="7:7">
      <c r="G303" s="3"/>
    </row>
    <row r="304" spans="7:7">
      <c r="G304"/>
    </row>
    <row r="305" spans="7:7">
      <c r="G305"/>
    </row>
    <row r="306" spans="7:7">
      <c r="G306" s="3"/>
    </row>
    <row r="307" spans="7:7">
      <c r="G307" s="3"/>
    </row>
    <row r="308" spans="7:7">
      <c r="G308"/>
    </row>
    <row r="309" spans="7:7">
      <c r="G309" s="3"/>
    </row>
    <row r="310" spans="7:7">
      <c r="G310" s="3"/>
    </row>
    <row r="311" spans="7:7">
      <c r="G311"/>
    </row>
    <row r="312" spans="7:7">
      <c r="G312" s="3"/>
    </row>
    <row r="313" spans="7:7">
      <c r="G313" s="3"/>
    </row>
    <row r="314" spans="7:7">
      <c r="G314"/>
    </row>
    <row r="315" spans="7:7">
      <c r="G315" s="3"/>
    </row>
    <row r="316" spans="7:7">
      <c r="G316"/>
    </row>
    <row r="317" spans="7:7">
      <c r="G317" s="3"/>
    </row>
    <row r="318" spans="7:7">
      <c r="G318" s="3"/>
    </row>
    <row r="319" spans="7:7">
      <c r="G319" s="3"/>
    </row>
    <row r="320" spans="7:7">
      <c r="G320" s="3"/>
    </row>
    <row r="321" spans="7:7">
      <c r="G321" s="3"/>
    </row>
    <row r="322" spans="7:7">
      <c r="G322"/>
    </row>
    <row r="323" spans="7:7">
      <c r="G323"/>
    </row>
    <row r="324" spans="7:7">
      <c r="G324"/>
    </row>
    <row r="325" spans="7:7">
      <c r="G325" s="3"/>
    </row>
    <row r="326" spans="7:7">
      <c r="G326" s="3"/>
    </row>
    <row r="327" spans="7:7">
      <c r="G327" s="3"/>
    </row>
    <row r="328" spans="7:7">
      <c r="G328" s="3"/>
    </row>
    <row r="329" spans="7:7">
      <c r="G329" s="3"/>
    </row>
    <row r="330" spans="7:7">
      <c r="G330" s="3"/>
    </row>
    <row r="331" spans="7:7">
      <c r="G331"/>
    </row>
    <row r="332" spans="7:7">
      <c r="G332"/>
    </row>
    <row r="333" spans="7:7">
      <c r="G333" s="3"/>
    </row>
    <row r="334" spans="7:7">
      <c r="G334"/>
    </row>
    <row r="335" spans="7:7">
      <c r="G335" s="3"/>
    </row>
    <row r="336" spans="7:7">
      <c r="G336"/>
    </row>
    <row r="337" spans="7:7">
      <c r="G337"/>
    </row>
    <row r="338" spans="7:7">
      <c r="G338" s="3"/>
    </row>
    <row r="339" spans="7:7">
      <c r="G339"/>
    </row>
    <row r="340" spans="7:7">
      <c r="G340" s="3"/>
    </row>
    <row r="341" spans="7:7">
      <c r="G341" s="3"/>
    </row>
    <row r="342" spans="7:7">
      <c r="G342"/>
    </row>
    <row r="343" spans="7:7">
      <c r="G343"/>
    </row>
    <row r="344" spans="7:7">
      <c r="G344" s="3"/>
    </row>
    <row r="345" spans="7:7">
      <c r="G345"/>
    </row>
    <row r="346" spans="7:7">
      <c r="G346"/>
    </row>
    <row r="347" spans="7:7">
      <c r="G347"/>
    </row>
    <row r="348" spans="7:7">
      <c r="G348" s="2"/>
    </row>
    <row r="349" spans="7:7">
      <c r="G349" s="3"/>
    </row>
    <row r="350" spans="7:7">
      <c r="G350" s="3"/>
    </row>
    <row r="351" spans="7:7">
      <c r="G351"/>
    </row>
    <row r="352" spans="7:7">
      <c r="G352" s="3"/>
    </row>
    <row r="353" spans="7:7">
      <c r="G353" s="3"/>
    </row>
    <row r="354" spans="7:7">
      <c r="G354"/>
    </row>
    <row r="355" spans="7:7">
      <c r="G355"/>
    </row>
    <row r="356" spans="7:7">
      <c r="G356"/>
    </row>
    <row r="357" spans="7:7">
      <c r="G357"/>
    </row>
    <row r="358" spans="7:7">
      <c r="G358" s="3"/>
    </row>
    <row r="359" spans="7:7">
      <c r="G359" s="3"/>
    </row>
    <row r="360" spans="7:7">
      <c r="G360" s="3"/>
    </row>
    <row r="361" spans="7:7">
      <c r="G361" s="3"/>
    </row>
    <row r="362" spans="7:7">
      <c r="G362"/>
    </row>
    <row r="363" spans="7:7">
      <c r="G363" s="3"/>
    </row>
    <row r="364" spans="7:7">
      <c r="G364" s="3"/>
    </row>
    <row r="365" spans="7:7">
      <c r="G365" s="3"/>
    </row>
    <row r="366" spans="7:7">
      <c r="G366"/>
    </row>
    <row r="367" spans="7:7">
      <c r="G367"/>
    </row>
    <row r="368" spans="7:7">
      <c r="G368"/>
    </row>
    <row r="369" spans="7:7">
      <c r="G369"/>
    </row>
    <row r="370" spans="7:7">
      <c r="G370"/>
    </row>
    <row r="371" spans="7:7">
      <c r="G371"/>
    </row>
    <row r="372" spans="7:7">
      <c r="G372"/>
    </row>
    <row r="373" spans="7:7">
      <c r="G373"/>
    </row>
    <row r="374" spans="7:7">
      <c r="G374"/>
    </row>
    <row r="375" spans="7:7">
      <c r="G375"/>
    </row>
    <row r="376" spans="7:7">
      <c r="G376"/>
    </row>
    <row r="377" spans="7:7">
      <c r="G377" s="3"/>
    </row>
    <row r="378" spans="7:7">
      <c r="G378"/>
    </row>
    <row r="379" spans="7:7">
      <c r="G379" s="3"/>
    </row>
    <row r="380" spans="7:7">
      <c r="G380" s="3"/>
    </row>
    <row r="381" spans="7:7">
      <c r="G381" s="3"/>
    </row>
    <row r="382" spans="7:7">
      <c r="G382"/>
    </row>
    <row r="383" spans="7:7">
      <c r="G383"/>
    </row>
    <row r="384" spans="7:7">
      <c r="G384"/>
    </row>
    <row r="385" spans="7:10">
      <c r="G385" s="3"/>
    </row>
    <row r="386" spans="7:10">
      <c r="G386" s="3"/>
    </row>
    <row r="387" spans="7:10">
      <c r="G387"/>
    </row>
    <row r="388" spans="7:10">
      <c r="G388" s="3"/>
    </row>
    <row r="389" spans="7:10">
      <c r="G389" s="3"/>
    </row>
    <row r="390" spans="7:10">
      <c r="G390"/>
    </row>
    <row r="391" spans="7:10">
      <c r="G391" s="3"/>
    </row>
    <row r="392" spans="7:10">
      <c r="G392"/>
      <c r="H392"/>
      <c r="I392"/>
      <c r="J392"/>
    </row>
    <row r="393" spans="7:10">
      <c r="G393"/>
      <c r="H393"/>
      <c r="I393"/>
      <c r="J393"/>
    </row>
    <row r="394" spans="7:10">
      <c r="G394"/>
      <c r="H394"/>
      <c r="I394"/>
      <c r="J394"/>
    </row>
    <row r="395" spans="7:10">
      <c r="G395"/>
      <c r="H395"/>
      <c r="I395"/>
      <c r="J395"/>
    </row>
    <row r="396" spans="7:10">
      <c r="G396"/>
      <c r="H396"/>
      <c r="I396"/>
      <c r="J396"/>
    </row>
  </sheetData>
  <dataConsolidate/>
  <conditionalFormatting sqref="D2:D101">
    <cfRule type="duplicateValues" dxfId="247" priority="15"/>
  </conditionalFormatting>
  <conditionalFormatting sqref="D102:D201">
    <cfRule type="duplicateValues" dxfId="246" priority="14"/>
  </conditionalFormatting>
  <conditionalFormatting sqref="J298:J391">
    <cfRule type="cellIs" dxfId="245" priority="13" operator="lessThan">
      <formula>0</formula>
    </cfRule>
  </conditionalFormatting>
  <conditionalFormatting sqref="J271:J391">
    <cfRule type="duplicateValues" dxfId="244" priority="16"/>
  </conditionalFormatting>
  <conditionalFormatting sqref="S102:S195">
    <cfRule type="cellIs" dxfId="243" priority="11" operator="lessThan">
      <formula>0</formula>
    </cfRule>
  </conditionalFormatting>
  <conditionalFormatting sqref="S2:S11 S13:S195">
    <cfRule type="duplicateValues" dxfId="242" priority="12"/>
  </conditionalFormatting>
  <conditionalFormatting sqref="S12">
    <cfRule type="duplicateValues" dxfId="241" priority="10"/>
  </conditionalFormatting>
  <conditionalFormatting sqref="I191:I270">
    <cfRule type="duplicateValues" dxfId="240" priority="9"/>
  </conditionalFormatting>
  <conditionalFormatting sqref="I32:I190">
    <cfRule type="duplicateValues" dxfId="239" priority="8"/>
  </conditionalFormatting>
  <conditionalFormatting sqref="J33:J190">
    <cfRule type="duplicateValues" dxfId="238" priority="7"/>
  </conditionalFormatting>
  <conditionalFormatting sqref="I19:I31">
    <cfRule type="cellIs" dxfId="237" priority="2" operator="between">
      <formula>$X$10</formula>
      <formula>$Y$10</formula>
    </cfRule>
    <cfRule type="cellIs" dxfId="236" priority="3" operator="between">
      <formula>$X$9</formula>
      <formula>$Y$9</formula>
    </cfRule>
    <cfRule type="cellIs" dxfId="235" priority="4" operator="between">
      <formula>$X$6</formula>
      <formula>$Y$6</formula>
    </cfRule>
    <cfRule type="cellIs" dxfId="234" priority="5" operator="between">
      <formula>$X$5</formula>
      <formula>$Y$5</formula>
    </cfRule>
  </conditionalFormatting>
  <conditionalFormatting sqref="I2:J15 I17:J31 J16">
    <cfRule type="duplicateValues" dxfId="233" priority="6"/>
  </conditionalFormatting>
  <conditionalFormatting sqref="J192:J270 J32">
    <cfRule type="duplicateValues" dxfId="232" priority="17"/>
  </conditionalFormatting>
  <conditionalFormatting sqref="G2:G33">
    <cfRule type="duplicateValues" dxfId="231" priority="1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C1:X396"/>
  <sheetViews>
    <sheetView topLeftCell="B1" zoomScale="80" zoomScaleNormal="80" zoomScalePageLayoutView="80" workbookViewId="0">
      <selection activeCell="M2" sqref="M2:M76"/>
    </sheetView>
  </sheetViews>
  <sheetFormatPr baseColWidth="10" defaultColWidth="11" defaultRowHeight="15" x14ac:dyDescent="0"/>
  <cols>
    <col min="3" max="3" width="16.1640625" bestFit="1" customWidth="1"/>
    <col min="5" max="5" width="7.5" customWidth="1"/>
    <col min="6" max="6" width="11" style="12"/>
    <col min="7" max="7" width="18.1640625" style="4" bestFit="1" customWidth="1"/>
    <col min="8" max="8" width="8.6640625" style="4" customWidth="1"/>
    <col min="9" max="9" width="18.5" style="9" bestFit="1" customWidth="1"/>
    <col min="10" max="10" width="11" style="8"/>
    <col min="11" max="11" width="8.5" style="4" bestFit="1" customWidth="1"/>
    <col min="12" max="12" width="4.5" style="4" customWidth="1"/>
    <col min="13" max="13" width="13.33203125" style="4" customWidth="1"/>
    <col min="14" max="14" width="18.1640625" bestFit="1" customWidth="1"/>
    <col min="19" max="19" width="16.5" style="2" customWidth="1"/>
    <col min="20" max="20" width="14" customWidth="1"/>
    <col min="21" max="22" width="5.6640625" customWidth="1"/>
    <col min="23" max="23" width="16.1640625" bestFit="1" customWidth="1"/>
  </cols>
  <sheetData>
    <row r="1" spans="3:20" s="18" customFormat="1" ht="20">
      <c r="G1" s="19" t="s">
        <v>329</v>
      </c>
      <c r="H1" s="19" t="s">
        <v>334</v>
      </c>
      <c r="I1" s="20" t="s">
        <v>333</v>
      </c>
      <c r="J1" s="21" t="s">
        <v>332</v>
      </c>
      <c r="K1" s="19" t="s">
        <v>331</v>
      </c>
      <c r="L1" s="19" t="s">
        <v>1867</v>
      </c>
      <c r="M1" s="19" t="s">
        <v>1863</v>
      </c>
      <c r="N1" s="18" t="s">
        <v>329</v>
      </c>
      <c r="O1" s="18" t="s">
        <v>330</v>
      </c>
      <c r="S1" s="22"/>
    </row>
    <row r="2" spans="3:20">
      <c r="C2" s="3"/>
      <c r="F2" s="12">
        <v>45</v>
      </c>
      <c r="G2" s="6" t="s">
        <v>295</v>
      </c>
      <c r="H2" s="7">
        <f t="shared" ref="H2:H33" si="0">LOOKUP(G2,$N$2:$N$25,$O$2:$O$25)</f>
        <v>1</v>
      </c>
      <c r="I2" s="50">
        <v>40708.739583333336</v>
      </c>
      <c r="J2" s="10" t="s">
        <v>1305</v>
      </c>
      <c r="K2" s="4">
        <f t="shared" ref="K2:K33" si="1">IF(Q2&gt;Q1,1,K1+1)</f>
        <v>1</v>
      </c>
      <c r="L2" s="4">
        <v>2</v>
      </c>
      <c r="M2" s="4">
        <v>1</v>
      </c>
      <c r="N2" s="6" t="s">
        <v>295</v>
      </c>
      <c r="O2">
        <v>1</v>
      </c>
      <c r="Q2">
        <v>1</v>
      </c>
      <c r="S2" s="8"/>
      <c r="T2" s="10"/>
    </row>
    <row r="3" spans="3:20">
      <c r="C3" s="3"/>
      <c r="F3" s="12">
        <v>35</v>
      </c>
      <c r="G3" s="6" t="s">
        <v>950</v>
      </c>
      <c r="H3" s="7">
        <f t="shared" si="0"/>
        <v>2</v>
      </c>
      <c r="I3" s="50">
        <v>40707.270833333336</v>
      </c>
      <c r="J3" s="10" t="s">
        <v>949</v>
      </c>
      <c r="K3" s="4">
        <f t="shared" si="1"/>
        <v>1</v>
      </c>
      <c r="L3" s="4">
        <v>2</v>
      </c>
      <c r="M3" s="4">
        <v>1</v>
      </c>
      <c r="N3" s="6" t="s">
        <v>950</v>
      </c>
      <c r="O3">
        <v>2</v>
      </c>
      <c r="Q3">
        <v>2</v>
      </c>
      <c r="S3" s="8"/>
      <c r="T3" s="10"/>
    </row>
    <row r="4" spans="3:20">
      <c r="C4" s="3"/>
      <c r="F4" s="12">
        <v>2</v>
      </c>
      <c r="G4" s="5" t="s">
        <v>385</v>
      </c>
      <c r="H4" s="7">
        <f t="shared" si="0"/>
        <v>3</v>
      </c>
      <c r="I4" s="50">
        <v>40695.972222222219</v>
      </c>
      <c r="J4" s="10" t="s">
        <v>1915</v>
      </c>
      <c r="K4" s="4">
        <f t="shared" si="1"/>
        <v>1</v>
      </c>
      <c r="L4" s="4">
        <v>2</v>
      </c>
      <c r="M4" s="4">
        <v>1</v>
      </c>
      <c r="N4" s="5" t="s">
        <v>385</v>
      </c>
      <c r="O4">
        <v>3</v>
      </c>
      <c r="Q4">
        <v>3</v>
      </c>
      <c r="S4" s="8"/>
      <c r="T4" s="10"/>
    </row>
    <row r="5" spans="3:20">
      <c r="C5" s="3"/>
      <c r="F5" s="12">
        <v>69</v>
      </c>
      <c r="G5" s="6" t="s">
        <v>385</v>
      </c>
      <c r="H5" s="7">
        <f t="shared" si="0"/>
        <v>3</v>
      </c>
      <c r="I5" s="50">
        <v>40717.464583333334</v>
      </c>
      <c r="J5" s="10" t="s">
        <v>940</v>
      </c>
      <c r="K5" s="4">
        <f t="shared" si="1"/>
        <v>2</v>
      </c>
      <c r="L5" s="4">
        <v>2</v>
      </c>
      <c r="M5" s="4">
        <v>2</v>
      </c>
      <c r="N5" s="5" t="s">
        <v>292</v>
      </c>
      <c r="O5">
        <v>4</v>
      </c>
      <c r="Q5">
        <v>3</v>
      </c>
      <c r="S5" s="8"/>
      <c r="T5" s="10"/>
    </row>
    <row r="6" spans="3:20">
      <c r="C6" s="3"/>
      <c r="F6" s="12">
        <v>4</v>
      </c>
      <c r="G6" s="5" t="s">
        <v>292</v>
      </c>
      <c r="H6" s="7">
        <f t="shared" si="0"/>
        <v>4</v>
      </c>
      <c r="I6" s="47">
        <v>40684.611805555556</v>
      </c>
      <c r="J6" s="10" t="s">
        <v>464</v>
      </c>
      <c r="K6" s="4">
        <f t="shared" si="1"/>
        <v>1</v>
      </c>
      <c r="L6" s="4">
        <v>3</v>
      </c>
      <c r="M6" s="4">
        <v>1</v>
      </c>
      <c r="N6" s="5" t="s">
        <v>293</v>
      </c>
      <c r="O6">
        <v>5</v>
      </c>
      <c r="Q6">
        <v>4</v>
      </c>
      <c r="S6" s="8"/>
      <c r="T6" s="10"/>
    </row>
    <row r="7" spans="3:20">
      <c r="C7" s="3"/>
      <c r="F7" s="12">
        <v>11</v>
      </c>
      <c r="G7" s="5" t="s">
        <v>292</v>
      </c>
      <c r="H7" s="7">
        <f t="shared" si="0"/>
        <v>4</v>
      </c>
      <c r="I7" s="47">
        <v>40697.852777777778</v>
      </c>
      <c r="J7" s="10" t="s">
        <v>897</v>
      </c>
      <c r="K7" s="4">
        <f t="shared" si="1"/>
        <v>2</v>
      </c>
      <c r="L7" s="4">
        <v>2</v>
      </c>
      <c r="M7" s="4">
        <v>2</v>
      </c>
      <c r="N7" s="5" t="s">
        <v>857</v>
      </c>
      <c r="O7">
        <v>6</v>
      </c>
      <c r="Q7">
        <v>4</v>
      </c>
      <c r="S7" s="8"/>
      <c r="T7" s="10"/>
    </row>
    <row r="8" spans="3:20">
      <c r="C8" s="3"/>
      <c r="F8" s="12">
        <v>3</v>
      </c>
      <c r="G8" s="5" t="s">
        <v>293</v>
      </c>
      <c r="H8" s="7">
        <f t="shared" si="0"/>
        <v>5</v>
      </c>
      <c r="I8" s="50">
        <v>40696.686111111114</v>
      </c>
      <c r="J8" s="10" t="s">
        <v>465</v>
      </c>
      <c r="K8" s="4">
        <f t="shared" si="1"/>
        <v>1</v>
      </c>
      <c r="L8" s="4">
        <v>4</v>
      </c>
      <c r="M8" s="4">
        <v>1</v>
      </c>
      <c r="N8" s="5" t="s">
        <v>887</v>
      </c>
      <c r="O8">
        <v>7</v>
      </c>
      <c r="Q8">
        <v>5</v>
      </c>
      <c r="S8" s="8"/>
      <c r="T8" s="10"/>
    </row>
    <row r="9" spans="3:20">
      <c r="C9" s="3"/>
      <c r="F9" s="12">
        <v>71</v>
      </c>
      <c r="G9" s="6" t="s">
        <v>293</v>
      </c>
      <c r="H9" s="7">
        <f t="shared" si="0"/>
        <v>5</v>
      </c>
      <c r="I9" s="50">
        <v>40718.918749999997</v>
      </c>
      <c r="J9" s="10" t="s">
        <v>814</v>
      </c>
      <c r="K9" s="4">
        <f t="shared" si="1"/>
        <v>2</v>
      </c>
      <c r="L9" s="4">
        <v>2</v>
      </c>
      <c r="M9" s="4">
        <v>2</v>
      </c>
      <c r="N9" s="5" t="s">
        <v>325</v>
      </c>
      <c r="O9">
        <v>8</v>
      </c>
      <c r="Q9">
        <v>5</v>
      </c>
      <c r="S9" s="8"/>
      <c r="T9" s="10"/>
    </row>
    <row r="10" spans="3:20">
      <c r="C10" s="3"/>
      <c r="D10" s="1"/>
      <c r="F10" s="12">
        <v>72</v>
      </c>
      <c r="G10" s="5" t="s">
        <v>857</v>
      </c>
      <c r="H10" s="7">
        <f t="shared" si="0"/>
        <v>6</v>
      </c>
      <c r="I10" s="47">
        <v>40716.208333333336</v>
      </c>
      <c r="J10" s="10" t="s">
        <v>858</v>
      </c>
      <c r="K10" s="4">
        <f t="shared" si="1"/>
        <v>1</v>
      </c>
      <c r="L10" s="4">
        <v>3</v>
      </c>
      <c r="M10" s="4">
        <v>1</v>
      </c>
      <c r="N10" s="5" t="s">
        <v>731</v>
      </c>
      <c r="O10">
        <v>9</v>
      </c>
      <c r="Q10">
        <v>6</v>
      </c>
      <c r="S10" s="8"/>
      <c r="T10" s="10"/>
    </row>
    <row r="11" spans="3:20">
      <c r="C11" s="3"/>
      <c r="F11" s="12">
        <v>15</v>
      </c>
      <c r="G11" s="5" t="s">
        <v>887</v>
      </c>
      <c r="H11" s="7">
        <f t="shared" si="0"/>
        <v>7</v>
      </c>
      <c r="I11" s="47">
        <v>40699.54791666667</v>
      </c>
      <c r="J11" s="10" t="s">
        <v>888</v>
      </c>
      <c r="K11" s="4">
        <f t="shared" si="1"/>
        <v>1</v>
      </c>
      <c r="L11" s="4">
        <v>2</v>
      </c>
      <c r="M11" s="4">
        <v>1</v>
      </c>
      <c r="N11" s="6" t="s">
        <v>1499</v>
      </c>
      <c r="O11">
        <v>10</v>
      </c>
      <c r="Q11">
        <v>7</v>
      </c>
      <c r="S11" s="8"/>
    </row>
    <row r="12" spans="3:20">
      <c r="C12" s="3"/>
      <c r="F12" s="12">
        <v>32</v>
      </c>
      <c r="G12" s="5" t="s">
        <v>325</v>
      </c>
      <c r="H12" s="7">
        <f t="shared" si="0"/>
        <v>8</v>
      </c>
      <c r="I12" s="47">
        <v>40703.654861111114</v>
      </c>
      <c r="J12" s="10" t="s">
        <v>1345</v>
      </c>
      <c r="K12" s="4">
        <f t="shared" si="1"/>
        <v>1</v>
      </c>
      <c r="L12" s="4">
        <v>2</v>
      </c>
      <c r="M12" s="4">
        <v>1</v>
      </c>
      <c r="N12" s="5" t="s">
        <v>336</v>
      </c>
      <c r="O12">
        <v>11</v>
      </c>
      <c r="Q12">
        <v>8</v>
      </c>
      <c r="S12" s="8"/>
    </row>
    <row r="13" spans="3:20">
      <c r="C13" s="3"/>
      <c r="F13" s="12">
        <v>40</v>
      </c>
      <c r="G13" s="5" t="s">
        <v>325</v>
      </c>
      <c r="H13" s="7">
        <f t="shared" si="0"/>
        <v>8</v>
      </c>
      <c r="I13" s="47">
        <v>40707.866666666669</v>
      </c>
      <c r="J13" s="10" t="s">
        <v>1512</v>
      </c>
      <c r="K13" s="4">
        <f t="shared" si="1"/>
        <v>2</v>
      </c>
      <c r="L13" s="4">
        <v>3</v>
      </c>
      <c r="M13" s="4">
        <v>2</v>
      </c>
      <c r="N13" s="6" t="s">
        <v>288</v>
      </c>
      <c r="O13">
        <v>12</v>
      </c>
      <c r="Q13">
        <v>8</v>
      </c>
      <c r="S13" s="8"/>
    </row>
    <row r="14" spans="3:20">
      <c r="C14" s="3"/>
      <c r="D14" s="1"/>
      <c r="F14" s="12">
        <v>57</v>
      </c>
      <c r="G14" s="5" t="s">
        <v>731</v>
      </c>
      <c r="H14" s="7">
        <f t="shared" si="0"/>
        <v>9</v>
      </c>
      <c r="I14" s="47">
        <v>40700.961805555555</v>
      </c>
      <c r="J14" s="10" t="s">
        <v>800</v>
      </c>
      <c r="K14" s="4">
        <f t="shared" si="1"/>
        <v>1</v>
      </c>
      <c r="L14" s="4">
        <v>2</v>
      </c>
      <c r="M14" s="4">
        <v>1</v>
      </c>
      <c r="N14" s="5" t="s">
        <v>543</v>
      </c>
      <c r="O14">
        <v>13</v>
      </c>
      <c r="Q14">
        <v>9</v>
      </c>
      <c r="S14" s="8"/>
      <c r="T14" s="10"/>
    </row>
    <row r="15" spans="3:20">
      <c r="C15" s="3"/>
      <c r="F15" s="12">
        <v>59</v>
      </c>
      <c r="G15" s="5" t="s">
        <v>731</v>
      </c>
      <c r="H15" s="7">
        <f t="shared" si="0"/>
        <v>9</v>
      </c>
      <c r="I15" s="47">
        <v>40714.54791666667</v>
      </c>
      <c r="J15" s="10" t="s">
        <v>732</v>
      </c>
      <c r="K15" s="4">
        <f t="shared" si="1"/>
        <v>2</v>
      </c>
      <c r="L15" s="4">
        <v>2</v>
      </c>
      <c r="M15" s="4">
        <v>2</v>
      </c>
      <c r="N15" s="6" t="s">
        <v>1578</v>
      </c>
      <c r="O15">
        <v>14</v>
      </c>
      <c r="Q15">
        <v>9</v>
      </c>
      <c r="S15" s="8"/>
      <c r="T15" s="10"/>
    </row>
    <row r="16" spans="3:20">
      <c r="C16" s="3"/>
      <c r="F16" s="12">
        <v>39</v>
      </c>
      <c r="G16" s="6" t="s">
        <v>1499</v>
      </c>
      <c r="H16" s="7">
        <f t="shared" si="0"/>
        <v>10</v>
      </c>
      <c r="I16" s="50">
        <v>40707.93472222222</v>
      </c>
      <c r="J16" s="10" t="s">
        <v>1498</v>
      </c>
      <c r="K16" s="4">
        <f t="shared" si="1"/>
        <v>1</v>
      </c>
      <c r="L16" s="4">
        <v>2</v>
      </c>
      <c r="M16" s="4">
        <v>1</v>
      </c>
      <c r="N16" s="5" t="s">
        <v>302</v>
      </c>
      <c r="O16">
        <v>15</v>
      </c>
      <c r="Q16">
        <v>10</v>
      </c>
      <c r="S16" s="8"/>
      <c r="T16" s="10"/>
    </row>
    <row r="17" spans="3:24">
      <c r="C17" s="3"/>
      <c r="F17" s="12">
        <v>14</v>
      </c>
      <c r="G17" s="5" t="s">
        <v>336</v>
      </c>
      <c r="H17" s="7">
        <f t="shared" si="0"/>
        <v>11</v>
      </c>
      <c r="I17" s="50">
        <v>40698.474999999999</v>
      </c>
      <c r="J17" s="10" t="s">
        <v>892</v>
      </c>
      <c r="K17" s="4">
        <f t="shared" si="1"/>
        <v>1</v>
      </c>
      <c r="L17" s="4">
        <v>10</v>
      </c>
      <c r="M17" s="4">
        <v>1</v>
      </c>
      <c r="N17" s="5" t="s">
        <v>423</v>
      </c>
      <c r="O17">
        <v>16</v>
      </c>
      <c r="Q17">
        <v>11</v>
      </c>
      <c r="S17" s="8"/>
      <c r="T17" s="10"/>
    </row>
    <row r="18" spans="3:24">
      <c r="C18" s="3"/>
      <c r="F18" s="12">
        <v>25</v>
      </c>
      <c r="G18" s="5" t="s">
        <v>336</v>
      </c>
      <c r="H18" s="7">
        <f t="shared" si="0"/>
        <v>11</v>
      </c>
      <c r="I18" s="50">
        <v>40701.622916666667</v>
      </c>
      <c r="J18" s="10" t="s">
        <v>1262</v>
      </c>
      <c r="K18" s="4">
        <f t="shared" si="1"/>
        <v>2</v>
      </c>
      <c r="L18" s="4">
        <v>4</v>
      </c>
      <c r="M18" s="4">
        <v>2</v>
      </c>
      <c r="N18" s="6" t="s">
        <v>300</v>
      </c>
      <c r="O18">
        <v>17</v>
      </c>
      <c r="Q18">
        <v>11</v>
      </c>
      <c r="S18" s="8"/>
      <c r="T18" s="10"/>
    </row>
    <row r="19" spans="3:24">
      <c r="C19" s="3"/>
      <c r="D19" s="1"/>
      <c r="F19" s="12">
        <v>49</v>
      </c>
      <c r="G19" s="5" t="s">
        <v>336</v>
      </c>
      <c r="H19" s="7">
        <f t="shared" si="0"/>
        <v>11</v>
      </c>
      <c r="I19" s="50">
        <v>40711.575694444444</v>
      </c>
      <c r="J19" s="10" t="s">
        <v>1192</v>
      </c>
      <c r="K19" s="4">
        <f t="shared" si="1"/>
        <v>3</v>
      </c>
      <c r="L19" s="4">
        <v>3</v>
      </c>
      <c r="M19" s="4">
        <v>3</v>
      </c>
      <c r="N19" s="5" t="s">
        <v>918</v>
      </c>
      <c r="O19">
        <v>18</v>
      </c>
      <c r="Q19">
        <v>11</v>
      </c>
      <c r="S19" s="8"/>
      <c r="T19" s="10"/>
      <c r="W19" s="12">
        <f>U49/T48</f>
        <v>3.125</v>
      </c>
      <c r="X19" t="s">
        <v>1865</v>
      </c>
    </row>
    <row r="20" spans="3:24">
      <c r="C20" s="3"/>
      <c r="F20" s="12">
        <v>51</v>
      </c>
      <c r="G20" s="5" t="s">
        <v>336</v>
      </c>
      <c r="H20" s="7">
        <f t="shared" si="0"/>
        <v>11</v>
      </c>
      <c r="I20" s="50">
        <v>40711.911805555559</v>
      </c>
      <c r="J20" s="10" t="s">
        <v>1005</v>
      </c>
      <c r="K20" s="4">
        <f t="shared" si="1"/>
        <v>4</v>
      </c>
      <c r="L20" s="4">
        <v>13</v>
      </c>
      <c r="M20" s="4">
        <v>4</v>
      </c>
      <c r="N20" s="6" t="s">
        <v>416</v>
      </c>
      <c r="O20">
        <v>19</v>
      </c>
      <c r="Q20">
        <v>11</v>
      </c>
      <c r="S20" s="8"/>
      <c r="T20" s="10"/>
    </row>
    <row r="21" spans="3:24">
      <c r="C21" s="3"/>
      <c r="F21" s="12">
        <v>53</v>
      </c>
      <c r="G21" s="5" t="s">
        <v>336</v>
      </c>
      <c r="H21" s="7">
        <f t="shared" si="0"/>
        <v>11</v>
      </c>
      <c r="I21" s="50">
        <v>40711.97152777778</v>
      </c>
      <c r="J21" s="10" t="s">
        <v>1314</v>
      </c>
      <c r="K21" s="4">
        <f t="shared" si="1"/>
        <v>5</v>
      </c>
      <c r="L21" s="4">
        <v>2</v>
      </c>
      <c r="M21" s="4">
        <v>5</v>
      </c>
      <c r="N21" s="6" t="s">
        <v>289</v>
      </c>
      <c r="O21">
        <v>20</v>
      </c>
      <c r="Q21">
        <v>11</v>
      </c>
      <c r="S21" s="8"/>
      <c r="T21" s="10"/>
    </row>
    <row r="22" spans="3:24">
      <c r="C22" s="3"/>
      <c r="F22" s="12">
        <v>54</v>
      </c>
      <c r="G22" s="5" t="s">
        <v>336</v>
      </c>
      <c r="H22" s="7">
        <f t="shared" si="0"/>
        <v>11</v>
      </c>
      <c r="I22" s="50">
        <v>40712.394444444442</v>
      </c>
      <c r="J22" s="10" t="s">
        <v>810</v>
      </c>
      <c r="K22" s="4">
        <f t="shared" si="1"/>
        <v>6</v>
      </c>
      <c r="L22" s="4">
        <v>23</v>
      </c>
      <c r="M22" s="4">
        <v>6</v>
      </c>
      <c r="N22" s="5" t="s">
        <v>1030</v>
      </c>
      <c r="O22">
        <v>21</v>
      </c>
      <c r="Q22">
        <v>11</v>
      </c>
      <c r="S22" s="8"/>
      <c r="T22" s="10"/>
    </row>
    <row r="23" spans="3:24">
      <c r="C23" s="3"/>
      <c r="F23" s="12">
        <v>8</v>
      </c>
      <c r="G23" s="6" t="s">
        <v>288</v>
      </c>
      <c r="H23" s="7">
        <f t="shared" si="0"/>
        <v>12</v>
      </c>
      <c r="I23" s="50">
        <v>40697.648611111108</v>
      </c>
      <c r="J23" s="10" t="s">
        <v>1014</v>
      </c>
      <c r="K23" s="4">
        <f t="shared" si="1"/>
        <v>1</v>
      </c>
      <c r="L23" s="4">
        <v>3</v>
      </c>
      <c r="M23" s="4">
        <v>1</v>
      </c>
      <c r="N23" s="5" t="s">
        <v>299</v>
      </c>
      <c r="O23">
        <v>22</v>
      </c>
      <c r="Q23">
        <v>12</v>
      </c>
      <c r="S23" s="8"/>
      <c r="T23" s="25" t="s">
        <v>1872</v>
      </c>
    </row>
    <row r="24" spans="3:24">
      <c r="C24" s="3"/>
      <c r="F24" s="12">
        <v>9</v>
      </c>
      <c r="G24" s="5" t="s">
        <v>288</v>
      </c>
      <c r="H24" s="7">
        <f t="shared" si="0"/>
        <v>12</v>
      </c>
      <c r="I24" s="47">
        <v>40676.574999999997</v>
      </c>
      <c r="J24" s="10" t="s">
        <v>1086</v>
      </c>
      <c r="K24" s="4">
        <f t="shared" si="1"/>
        <v>2</v>
      </c>
      <c r="L24" s="4">
        <v>3</v>
      </c>
      <c r="M24" s="4">
        <v>2</v>
      </c>
      <c r="N24" s="5" t="s">
        <v>291</v>
      </c>
      <c r="O24">
        <v>23</v>
      </c>
      <c r="Q24">
        <v>12</v>
      </c>
      <c r="S24" s="8"/>
      <c r="T24" s="25" t="s">
        <v>1870</v>
      </c>
      <c r="U24" t="s">
        <v>1869</v>
      </c>
    </row>
    <row r="25" spans="3:24">
      <c r="C25" s="3"/>
      <c r="F25" s="12">
        <v>12</v>
      </c>
      <c r="G25" s="6" t="s">
        <v>288</v>
      </c>
      <c r="H25" s="7">
        <f t="shared" si="0"/>
        <v>12</v>
      </c>
      <c r="I25" s="50">
        <v>40698.442361111112</v>
      </c>
      <c r="J25" s="10" t="s">
        <v>898</v>
      </c>
      <c r="K25" s="4">
        <f t="shared" si="1"/>
        <v>3</v>
      </c>
      <c r="L25" s="4">
        <v>2</v>
      </c>
      <c r="M25" s="4">
        <v>3</v>
      </c>
      <c r="N25" s="6" t="s">
        <v>812</v>
      </c>
      <c r="O25">
        <v>24</v>
      </c>
      <c r="Q25">
        <v>12</v>
      </c>
      <c r="S25" s="8"/>
      <c r="T25" s="26">
        <v>1</v>
      </c>
      <c r="U25" s="4">
        <v>1</v>
      </c>
    </row>
    <row r="26" spans="3:24">
      <c r="C26" s="3"/>
      <c r="F26" s="12">
        <v>13</v>
      </c>
      <c r="G26" s="5" t="s">
        <v>288</v>
      </c>
      <c r="H26" s="7">
        <f t="shared" si="0"/>
        <v>12</v>
      </c>
      <c r="I26" s="47">
        <v>40697.484722222223</v>
      </c>
      <c r="J26" s="10" t="s">
        <v>891</v>
      </c>
      <c r="K26" s="4">
        <f t="shared" si="1"/>
        <v>4</v>
      </c>
      <c r="L26" s="4">
        <v>7</v>
      </c>
      <c r="M26" s="4">
        <v>4</v>
      </c>
      <c r="Q26">
        <v>12</v>
      </c>
      <c r="S26" s="8"/>
      <c r="T26" s="26">
        <v>2</v>
      </c>
      <c r="U26" s="4">
        <v>1</v>
      </c>
    </row>
    <row r="27" spans="3:24">
      <c r="C27" s="3"/>
      <c r="F27" s="12">
        <v>16</v>
      </c>
      <c r="G27" s="6" t="s">
        <v>288</v>
      </c>
      <c r="H27" s="7">
        <f t="shared" si="0"/>
        <v>12</v>
      </c>
      <c r="I27" s="50">
        <v>40699.677083333336</v>
      </c>
      <c r="J27" s="10" t="s">
        <v>889</v>
      </c>
      <c r="K27" s="4">
        <f t="shared" si="1"/>
        <v>5</v>
      </c>
      <c r="L27" s="4">
        <v>4</v>
      </c>
      <c r="M27" s="4">
        <v>5</v>
      </c>
      <c r="Q27">
        <v>12</v>
      </c>
      <c r="S27" s="8"/>
      <c r="T27" s="26">
        <v>3</v>
      </c>
      <c r="U27" s="4">
        <v>2</v>
      </c>
    </row>
    <row r="28" spans="3:24">
      <c r="C28" s="3"/>
      <c r="F28" s="12">
        <v>19</v>
      </c>
      <c r="G28" s="5" t="s">
        <v>288</v>
      </c>
      <c r="H28" s="7">
        <f t="shared" si="0"/>
        <v>12</v>
      </c>
      <c r="I28" s="47">
        <v>40700.678472222222</v>
      </c>
      <c r="J28" s="10" t="s">
        <v>394</v>
      </c>
      <c r="K28" s="4">
        <f t="shared" si="1"/>
        <v>6</v>
      </c>
      <c r="L28" s="4">
        <v>3</v>
      </c>
      <c r="M28" s="4">
        <v>6</v>
      </c>
      <c r="Q28">
        <v>12</v>
      </c>
      <c r="S28" s="8"/>
      <c r="T28" s="26">
        <v>4</v>
      </c>
      <c r="U28" s="4">
        <v>2</v>
      </c>
    </row>
    <row r="29" spans="3:24">
      <c r="C29" s="3"/>
      <c r="F29" s="12">
        <v>23</v>
      </c>
      <c r="G29" s="5" t="s">
        <v>288</v>
      </c>
      <c r="H29" s="7">
        <f t="shared" si="0"/>
        <v>12</v>
      </c>
      <c r="I29" s="50">
        <v>40701.436805555553</v>
      </c>
      <c r="J29" s="10" t="s">
        <v>425</v>
      </c>
      <c r="K29" s="4">
        <f t="shared" si="1"/>
        <v>7</v>
      </c>
      <c r="L29" s="4">
        <v>2</v>
      </c>
      <c r="M29" s="4">
        <v>7</v>
      </c>
      <c r="Q29">
        <v>12</v>
      </c>
      <c r="S29" s="8"/>
      <c r="T29" s="26">
        <v>5</v>
      </c>
      <c r="U29" s="4">
        <v>2</v>
      </c>
    </row>
    <row r="30" spans="3:24">
      <c r="C30" s="3"/>
      <c r="F30" s="12">
        <v>24</v>
      </c>
      <c r="G30" s="5" t="s">
        <v>288</v>
      </c>
      <c r="H30" s="7">
        <f t="shared" si="0"/>
        <v>12</v>
      </c>
      <c r="I30" s="47">
        <v>40701.602083333331</v>
      </c>
      <c r="J30" s="10" t="s">
        <v>1912</v>
      </c>
      <c r="K30" s="4">
        <f t="shared" si="1"/>
        <v>8</v>
      </c>
      <c r="L30" s="4">
        <v>2</v>
      </c>
      <c r="M30" s="4">
        <v>8</v>
      </c>
      <c r="Q30">
        <v>12</v>
      </c>
      <c r="S30" s="8"/>
      <c r="T30" s="26">
        <v>6</v>
      </c>
      <c r="U30" s="4">
        <v>1</v>
      </c>
    </row>
    <row r="31" spans="3:24">
      <c r="C31" s="3"/>
      <c r="F31" s="12">
        <v>26</v>
      </c>
      <c r="G31" s="5" t="s">
        <v>288</v>
      </c>
      <c r="H31" s="7">
        <f t="shared" si="0"/>
        <v>12</v>
      </c>
      <c r="I31" s="47">
        <v>40700.768055555556</v>
      </c>
      <c r="J31" s="10" t="s">
        <v>548</v>
      </c>
      <c r="K31" s="4">
        <f t="shared" si="1"/>
        <v>9</v>
      </c>
      <c r="L31" s="4">
        <v>2</v>
      </c>
      <c r="M31" s="4">
        <v>9</v>
      </c>
      <c r="Q31">
        <v>12</v>
      </c>
      <c r="S31" s="8"/>
      <c r="T31" s="26">
        <v>7</v>
      </c>
      <c r="U31" s="4">
        <v>1</v>
      </c>
    </row>
    <row r="32" spans="3:24">
      <c r="C32" s="3"/>
      <c r="F32" s="12">
        <v>33</v>
      </c>
      <c r="G32" s="6" t="s">
        <v>288</v>
      </c>
      <c r="H32" s="7">
        <f t="shared" si="0"/>
        <v>12</v>
      </c>
      <c r="I32" s="50">
        <v>40706.921527777777</v>
      </c>
      <c r="J32" s="10" t="s">
        <v>1346</v>
      </c>
      <c r="K32" s="4">
        <f t="shared" si="1"/>
        <v>10</v>
      </c>
      <c r="L32" s="4">
        <v>2</v>
      </c>
      <c r="M32" s="4">
        <v>10</v>
      </c>
      <c r="Q32">
        <v>12</v>
      </c>
      <c r="S32" s="8"/>
      <c r="T32" s="26">
        <v>8</v>
      </c>
      <c r="U32" s="4">
        <v>2</v>
      </c>
    </row>
    <row r="33" spans="3:21">
      <c r="C33" s="3"/>
      <c r="F33" s="12">
        <v>34</v>
      </c>
      <c r="G33" s="5" t="s">
        <v>288</v>
      </c>
      <c r="H33" s="7">
        <f t="shared" si="0"/>
        <v>12</v>
      </c>
      <c r="I33" s="47">
        <v>40705.777083333334</v>
      </c>
      <c r="J33" s="10" t="s">
        <v>948</v>
      </c>
      <c r="K33" s="4">
        <f t="shared" si="1"/>
        <v>11</v>
      </c>
      <c r="L33" s="4">
        <v>6</v>
      </c>
      <c r="M33" s="4">
        <v>11</v>
      </c>
      <c r="Q33">
        <v>12</v>
      </c>
      <c r="S33" s="8"/>
      <c r="T33" s="26">
        <v>9</v>
      </c>
      <c r="U33" s="4">
        <v>2</v>
      </c>
    </row>
    <row r="34" spans="3:21">
      <c r="C34" s="3"/>
      <c r="F34" s="12">
        <v>37</v>
      </c>
      <c r="G34" s="6" t="s">
        <v>288</v>
      </c>
      <c r="H34" s="7">
        <f t="shared" ref="H34:H65" si="2">LOOKUP(G34,$N$2:$N$25,$O$2:$O$25)</f>
        <v>12</v>
      </c>
      <c r="I34" s="50">
        <v>40707.390277777777</v>
      </c>
      <c r="J34" s="10" t="s">
        <v>646</v>
      </c>
      <c r="K34" s="4">
        <f t="shared" ref="K34:K65" si="3">IF(Q34&gt;Q33,1,K33+1)</f>
        <v>12</v>
      </c>
      <c r="L34" s="4">
        <v>2</v>
      </c>
      <c r="M34" s="4">
        <v>12</v>
      </c>
      <c r="Q34">
        <v>12</v>
      </c>
      <c r="S34" s="8"/>
      <c r="T34" s="26">
        <v>10</v>
      </c>
      <c r="U34" s="4">
        <v>1</v>
      </c>
    </row>
    <row r="35" spans="3:21">
      <c r="C35" s="3"/>
      <c r="F35" s="12">
        <v>38</v>
      </c>
      <c r="G35" s="5" t="s">
        <v>288</v>
      </c>
      <c r="H35" s="7">
        <f t="shared" si="2"/>
        <v>12</v>
      </c>
      <c r="I35" s="47">
        <v>40707.402083333334</v>
      </c>
      <c r="J35" s="10" t="s">
        <v>1913</v>
      </c>
      <c r="K35" s="4">
        <f t="shared" si="3"/>
        <v>13</v>
      </c>
      <c r="L35" s="4">
        <v>10</v>
      </c>
      <c r="M35" s="4">
        <v>13</v>
      </c>
      <c r="Q35">
        <v>12</v>
      </c>
      <c r="S35" s="8"/>
      <c r="T35" s="26">
        <v>11</v>
      </c>
      <c r="U35" s="4">
        <v>6</v>
      </c>
    </row>
    <row r="36" spans="3:21">
      <c r="C36" s="3"/>
      <c r="F36" s="12">
        <v>48</v>
      </c>
      <c r="G36" s="5" t="s">
        <v>288</v>
      </c>
      <c r="H36" s="7">
        <f t="shared" si="2"/>
        <v>12</v>
      </c>
      <c r="I36" s="47">
        <v>40711.476388888892</v>
      </c>
      <c r="J36" s="10" t="s">
        <v>1191</v>
      </c>
      <c r="K36" s="4">
        <f t="shared" si="3"/>
        <v>14</v>
      </c>
      <c r="L36" s="4">
        <v>11</v>
      </c>
      <c r="M36" s="4">
        <v>14</v>
      </c>
      <c r="Q36">
        <v>12</v>
      </c>
      <c r="S36" s="8"/>
      <c r="T36" s="26">
        <v>12</v>
      </c>
      <c r="U36" s="4">
        <v>24</v>
      </c>
    </row>
    <row r="37" spans="3:21">
      <c r="C37" s="3"/>
      <c r="F37" s="12">
        <v>50</v>
      </c>
      <c r="G37" s="5" t="s">
        <v>288</v>
      </c>
      <c r="H37" s="7">
        <f t="shared" si="2"/>
        <v>12</v>
      </c>
      <c r="I37" s="47">
        <v>40711.777083333334</v>
      </c>
      <c r="J37" s="10" t="s">
        <v>1004</v>
      </c>
      <c r="K37" s="4">
        <f t="shared" si="3"/>
        <v>15</v>
      </c>
      <c r="L37" s="4">
        <v>7</v>
      </c>
      <c r="M37" s="4">
        <v>15</v>
      </c>
      <c r="Q37">
        <v>12</v>
      </c>
      <c r="S37" s="8"/>
      <c r="T37" s="26">
        <v>13</v>
      </c>
      <c r="U37" s="4">
        <v>1</v>
      </c>
    </row>
    <row r="38" spans="3:21">
      <c r="C38" s="3"/>
      <c r="F38" s="12">
        <v>52</v>
      </c>
      <c r="G38" s="5" t="s">
        <v>288</v>
      </c>
      <c r="H38" s="7">
        <f t="shared" si="2"/>
        <v>12</v>
      </c>
      <c r="I38" s="47">
        <v>40711.925000000003</v>
      </c>
      <c r="J38" s="10" t="s">
        <v>1313</v>
      </c>
      <c r="K38" s="4">
        <f t="shared" si="3"/>
        <v>16</v>
      </c>
      <c r="L38" s="4">
        <v>13</v>
      </c>
      <c r="M38" s="4">
        <v>16</v>
      </c>
      <c r="Q38">
        <v>12</v>
      </c>
      <c r="S38" s="8"/>
      <c r="T38" s="26">
        <v>14</v>
      </c>
      <c r="U38" s="4">
        <v>1</v>
      </c>
    </row>
    <row r="39" spans="3:21">
      <c r="C39" s="3"/>
      <c r="F39" s="12">
        <v>55</v>
      </c>
      <c r="G39" s="5" t="s">
        <v>288</v>
      </c>
      <c r="H39" s="7">
        <f t="shared" si="2"/>
        <v>12</v>
      </c>
      <c r="I39" s="47">
        <v>40711.97152777778</v>
      </c>
      <c r="J39" s="10" t="s">
        <v>809</v>
      </c>
      <c r="K39" s="4">
        <f t="shared" si="3"/>
        <v>17</v>
      </c>
      <c r="L39" s="4">
        <v>2</v>
      </c>
      <c r="M39" s="4">
        <v>17</v>
      </c>
      <c r="Q39">
        <v>12</v>
      </c>
      <c r="S39" s="8"/>
      <c r="T39" s="26">
        <v>15</v>
      </c>
      <c r="U39" s="4">
        <v>3</v>
      </c>
    </row>
    <row r="40" spans="3:21">
      <c r="C40" s="3"/>
      <c r="F40" s="12">
        <v>58</v>
      </c>
      <c r="G40" s="6" t="s">
        <v>288</v>
      </c>
      <c r="H40" s="7">
        <f t="shared" si="2"/>
        <v>12</v>
      </c>
      <c r="I40" s="50">
        <v>40714.463888888888</v>
      </c>
      <c r="J40" s="10" t="s">
        <v>801</v>
      </c>
      <c r="K40" s="4">
        <f t="shared" si="3"/>
        <v>18</v>
      </c>
      <c r="L40" s="4">
        <v>2</v>
      </c>
      <c r="M40" s="4">
        <v>18</v>
      </c>
      <c r="Q40">
        <v>12</v>
      </c>
      <c r="S40" s="8"/>
      <c r="T40" s="26">
        <v>16</v>
      </c>
      <c r="U40" s="4">
        <v>4</v>
      </c>
    </row>
    <row r="41" spans="3:21">
      <c r="C41" s="3"/>
      <c r="F41" s="12">
        <v>60</v>
      </c>
      <c r="G41" s="6" t="s">
        <v>288</v>
      </c>
      <c r="H41" s="7">
        <f t="shared" si="2"/>
        <v>12</v>
      </c>
      <c r="I41" s="50">
        <v>40714.746527777781</v>
      </c>
      <c r="J41" s="10" t="s">
        <v>733</v>
      </c>
      <c r="K41" s="4">
        <f t="shared" si="3"/>
        <v>19</v>
      </c>
      <c r="L41" s="4">
        <v>2</v>
      </c>
      <c r="M41" s="4">
        <v>19</v>
      </c>
      <c r="Q41">
        <v>12</v>
      </c>
      <c r="S41" s="8"/>
      <c r="T41" s="26">
        <v>17</v>
      </c>
      <c r="U41" s="4">
        <v>10</v>
      </c>
    </row>
    <row r="42" spans="3:21">
      <c r="C42" s="3"/>
      <c r="F42" s="12">
        <v>61</v>
      </c>
      <c r="G42" s="6" t="s">
        <v>288</v>
      </c>
      <c r="H42" s="7">
        <f t="shared" si="2"/>
        <v>12</v>
      </c>
      <c r="I42" s="47">
        <v>40714.463888888888</v>
      </c>
      <c r="J42" s="10" t="s">
        <v>381</v>
      </c>
      <c r="K42" s="4">
        <f t="shared" si="3"/>
        <v>20</v>
      </c>
      <c r="L42" s="4">
        <v>2</v>
      </c>
      <c r="M42" s="4">
        <v>20</v>
      </c>
      <c r="Q42">
        <v>12</v>
      </c>
      <c r="S42" s="8"/>
      <c r="T42" s="26">
        <v>18</v>
      </c>
      <c r="U42" s="4">
        <v>2</v>
      </c>
    </row>
    <row r="43" spans="3:21">
      <c r="C43" s="3"/>
      <c r="F43" s="12">
        <v>63</v>
      </c>
      <c r="G43" s="5" t="s">
        <v>288</v>
      </c>
      <c r="H43" s="7">
        <f t="shared" si="2"/>
        <v>12</v>
      </c>
      <c r="I43" s="47">
        <v>40712.396527777775</v>
      </c>
      <c r="J43" s="10" t="s">
        <v>1257</v>
      </c>
      <c r="K43" s="4">
        <f t="shared" si="3"/>
        <v>21</v>
      </c>
      <c r="L43" s="4">
        <v>23</v>
      </c>
      <c r="M43" s="4">
        <v>21</v>
      </c>
      <c r="Q43">
        <v>12</v>
      </c>
      <c r="S43" s="8"/>
      <c r="T43" s="26">
        <v>19</v>
      </c>
      <c r="U43" s="4">
        <v>1</v>
      </c>
    </row>
    <row r="44" spans="3:21">
      <c r="C44" s="3"/>
      <c r="F44" s="12">
        <v>67</v>
      </c>
      <c r="G44" s="5" t="s">
        <v>288</v>
      </c>
      <c r="H44" s="7">
        <f t="shared" si="2"/>
        <v>12</v>
      </c>
      <c r="I44" s="50">
        <v>40715.709722222222</v>
      </c>
      <c r="J44" s="10" t="s">
        <v>403</v>
      </c>
      <c r="K44" s="4">
        <f t="shared" si="3"/>
        <v>22</v>
      </c>
      <c r="L44" s="4">
        <v>2</v>
      </c>
      <c r="M44" s="4">
        <v>22</v>
      </c>
      <c r="Q44">
        <v>12</v>
      </c>
      <c r="S44" s="8"/>
      <c r="T44" s="26">
        <v>20</v>
      </c>
      <c r="U44" s="4">
        <v>2</v>
      </c>
    </row>
    <row r="45" spans="3:21">
      <c r="C45" s="3"/>
      <c r="F45" s="12">
        <v>73</v>
      </c>
      <c r="G45" s="6" t="s">
        <v>288</v>
      </c>
      <c r="H45" s="7">
        <f t="shared" si="2"/>
        <v>12</v>
      </c>
      <c r="I45" s="50">
        <v>40721.417361111111</v>
      </c>
      <c r="J45" s="10" t="s">
        <v>859</v>
      </c>
      <c r="K45" s="4">
        <f t="shared" si="3"/>
        <v>23</v>
      </c>
      <c r="L45" s="4">
        <v>2</v>
      </c>
      <c r="M45" s="4">
        <v>23</v>
      </c>
      <c r="Q45">
        <v>12</v>
      </c>
      <c r="S45" s="8"/>
      <c r="T45" s="26">
        <v>21</v>
      </c>
      <c r="U45" s="4">
        <v>1</v>
      </c>
    </row>
    <row r="46" spans="3:21">
      <c r="C46" s="3"/>
      <c r="F46" s="12">
        <v>74</v>
      </c>
      <c r="G46" s="5" t="s">
        <v>288</v>
      </c>
      <c r="H46" s="7">
        <f t="shared" si="2"/>
        <v>12</v>
      </c>
      <c r="I46" s="47">
        <v>40722.973611111112</v>
      </c>
      <c r="J46" s="10" t="s">
        <v>998</v>
      </c>
      <c r="K46" s="4">
        <f t="shared" si="3"/>
        <v>24</v>
      </c>
      <c r="L46" s="4">
        <v>5</v>
      </c>
      <c r="M46" s="4">
        <v>24</v>
      </c>
      <c r="Q46">
        <v>12</v>
      </c>
      <c r="S46" s="8"/>
      <c r="T46" s="26">
        <v>22</v>
      </c>
      <c r="U46" s="4">
        <v>2</v>
      </c>
    </row>
    <row r="47" spans="3:21">
      <c r="C47" s="3"/>
      <c r="F47" s="12">
        <v>65</v>
      </c>
      <c r="G47" s="5" t="s">
        <v>543</v>
      </c>
      <c r="H47" s="7">
        <f t="shared" si="2"/>
        <v>13</v>
      </c>
      <c r="I47" s="50">
        <v>40715.681944444441</v>
      </c>
      <c r="J47" s="10" t="s">
        <v>542</v>
      </c>
      <c r="K47" s="4">
        <f t="shared" si="3"/>
        <v>1</v>
      </c>
      <c r="L47" s="4">
        <v>2</v>
      </c>
      <c r="M47" s="4">
        <v>1</v>
      </c>
      <c r="Q47">
        <v>13</v>
      </c>
      <c r="S47" s="8"/>
      <c r="T47" s="26">
        <v>23</v>
      </c>
      <c r="U47" s="4">
        <v>1</v>
      </c>
    </row>
    <row r="48" spans="3:21">
      <c r="C48" s="3"/>
      <c r="F48" s="12">
        <v>6</v>
      </c>
      <c r="G48" s="6" t="s">
        <v>1578</v>
      </c>
      <c r="H48" s="7">
        <f t="shared" si="2"/>
        <v>14</v>
      </c>
      <c r="I48" s="50">
        <v>40696.95208333333</v>
      </c>
      <c r="J48" s="10" t="s">
        <v>702</v>
      </c>
      <c r="K48" s="4">
        <f t="shared" si="3"/>
        <v>1</v>
      </c>
      <c r="L48" s="4">
        <v>4</v>
      </c>
      <c r="M48" s="4">
        <v>1</v>
      </c>
      <c r="Q48">
        <v>14</v>
      </c>
      <c r="S48" s="8"/>
      <c r="T48" s="26">
        <v>24</v>
      </c>
      <c r="U48" s="4">
        <v>2</v>
      </c>
    </row>
    <row r="49" spans="3:21">
      <c r="C49" s="3"/>
      <c r="F49" s="12">
        <v>5</v>
      </c>
      <c r="G49" s="5" t="s">
        <v>302</v>
      </c>
      <c r="H49" s="7">
        <f t="shared" si="2"/>
        <v>15</v>
      </c>
      <c r="I49" s="47">
        <v>40696.95208333333</v>
      </c>
      <c r="J49" s="10" t="s">
        <v>701</v>
      </c>
      <c r="K49" s="4">
        <f t="shared" si="3"/>
        <v>1</v>
      </c>
      <c r="L49" s="4">
        <v>4</v>
      </c>
      <c r="M49" s="4">
        <v>1</v>
      </c>
      <c r="Q49">
        <v>15</v>
      </c>
      <c r="S49" s="8"/>
      <c r="T49" s="26" t="s">
        <v>1871</v>
      </c>
      <c r="U49" s="4">
        <v>75</v>
      </c>
    </row>
    <row r="50" spans="3:21">
      <c r="C50" s="3"/>
      <c r="F50" s="12">
        <v>7</v>
      </c>
      <c r="G50" s="5" t="s">
        <v>306</v>
      </c>
      <c r="H50" s="7">
        <f t="shared" si="2"/>
        <v>15</v>
      </c>
      <c r="I50" s="47">
        <v>40697.331250000003</v>
      </c>
      <c r="J50" s="10" t="s">
        <v>1013</v>
      </c>
      <c r="K50" s="4">
        <f t="shared" si="3"/>
        <v>2</v>
      </c>
      <c r="L50" s="4">
        <v>4</v>
      </c>
      <c r="M50" s="4">
        <v>2</v>
      </c>
      <c r="Q50">
        <v>15</v>
      </c>
      <c r="S50" s="8"/>
      <c r="T50" s="10"/>
    </row>
    <row r="51" spans="3:21">
      <c r="C51" s="3"/>
      <c r="F51" s="12">
        <v>64</v>
      </c>
      <c r="G51" s="6" t="s">
        <v>306</v>
      </c>
      <c r="H51" s="7">
        <f t="shared" si="2"/>
        <v>15</v>
      </c>
      <c r="I51" s="50">
        <v>40715.60833333333</v>
      </c>
      <c r="J51" s="10" t="s">
        <v>541</v>
      </c>
      <c r="K51" s="4">
        <f t="shared" si="3"/>
        <v>3</v>
      </c>
      <c r="L51" s="4">
        <v>2</v>
      </c>
      <c r="M51" s="4">
        <v>3</v>
      </c>
      <c r="Q51">
        <v>15</v>
      </c>
      <c r="S51" s="8"/>
      <c r="T51" s="10"/>
    </row>
    <row r="52" spans="3:21">
      <c r="C52" s="3"/>
      <c r="F52" s="12">
        <v>17</v>
      </c>
      <c r="G52" s="5" t="s">
        <v>423</v>
      </c>
      <c r="H52" s="7">
        <f t="shared" si="2"/>
        <v>16</v>
      </c>
      <c r="I52" s="47">
        <v>40692.461111111108</v>
      </c>
      <c r="J52" s="10" t="s">
        <v>965</v>
      </c>
      <c r="K52" s="4">
        <f t="shared" si="3"/>
        <v>1</v>
      </c>
      <c r="L52" s="4">
        <v>10</v>
      </c>
      <c r="M52" s="4">
        <v>1</v>
      </c>
      <c r="Q52">
        <v>16</v>
      </c>
      <c r="S52" s="8"/>
      <c r="T52" s="10"/>
    </row>
    <row r="53" spans="3:21">
      <c r="C53" s="3"/>
      <c r="F53" s="12">
        <v>21</v>
      </c>
      <c r="G53" s="6" t="s">
        <v>423</v>
      </c>
      <c r="H53" s="7">
        <f t="shared" si="2"/>
        <v>16</v>
      </c>
      <c r="I53" s="50">
        <v>40701.379166666666</v>
      </c>
      <c r="J53" s="10" t="s">
        <v>920</v>
      </c>
      <c r="K53" s="4">
        <f t="shared" si="3"/>
        <v>2</v>
      </c>
      <c r="L53" s="4">
        <v>3</v>
      </c>
      <c r="M53" s="4">
        <v>2</v>
      </c>
      <c r="Q53">
        <v>16</v>
      </c>
      <c r="S53" s="8"/>
      <c r="T53" s="10"/>
    </row>
    <row r="54" spans="3:21">
      <c r="C54" s="3"/>
      <c r="F54" s="12">
        <v>22</v>
      </c>
      <c r="G54" s="5" t="s">
        <v>423</v>
      </c>
      <c r="H54" s="7">
        <f t="shared" si="2"/>
        <v>16</v>
      </c>
      <c r="I54" s="47">
        <v>40701.404166666667</v>
      </c>
      <c r="J54" s="10" t="s">
        <v>424</v>
      </c>
      <c r="K54" s="4">
        <f t="shared" si="3"/>
        <v>3</v>
      </c>
      <c r="L54" s="4">
        <v>3</v>
      </c>
      <c r="M54" s="4">
        <v>3</v>
      </c>
      <c r="Q54">
        <v>16</v>
      </c>
      <c r="S54" s="8"/>
      <c r="T54" s="10"/>
    </row>
    <row r="55" spans="3:21">
      <c r="C55" s="3"/>
      <c r="F55" s="12">
        <v>30</v>
      </c>
      <c r="G55" s="5" t="s">
        <v>423</v>
      </c>
      <c r="H55" s="7">
        <f t="shared" si="2"/>
        <v>16</v>
      </c>
      <c r="I55" s="47">
        <v>40702.422222222223</v>
      </c>
      <c r="J55" s="10" t="s">
        <v>1411</v>
      </c>
      <c r="K55" s="4">
        <f t="shared" si="3"/>
        <v>4</v>
      </c>
      <c r="L55" s="4">
        <v>4</v>
      </c>
      <c r="M55" s="4">
        <v>4</v>
      </c>
      <c r="Q55">
        <v>16</v>
      </c>
      <c r="S55" s="8"/>
      <c r="T55" s="10"/>
    </row>
    <row r="56" spans="3:21">
      <c r="C56" s="3"/>
      <c r="D56" s="1"/>
      <c r="F56" s="12">
        <v>1</v>
      </c>
      <c r="G56" s="6" t="s">
        <v>300</v>
      </c>
      <c r="H56" s="7">
        <f t="shared" si="2"/>
        <v>17</v>
      </c>
      <c r="I56" s="47">
        <v>40694.673611111109</v>
      </c>
      <c r="J56" s="10" t="s">
        <v>384</v>
      </c>
      <c r="K56" s="4">
        <f t="shared" si="3"/>
        <v>1</v>
      </c>
      <c r="L56" s="4">
        <v>2</v>
      </c>
      <c r="M56" s="4">
        <v>1</v>
      </c>
      <c r="Q56">
        <v>17</v>
      </c>
      <c r="S56" s="8"/>
      <c r="T56" s="10"/>
    </row>
    <row r="57" spans="3:21">
      <c r="C57" s="3"/>
      <c r="F57" s="12">
        <v>18</v>
      </c>
      <c r="G57" s="6" t="s">
        <v>300</v>
      </c>
      <c r="H57" s="7">
        <f t="shared" si="2"/>
        <v>17</v>
      </c>
      <c r="I57" s="50">
        <v>40700.009722222225</v>
      </c>
      <c r="J57" s="10" t="s">
        <v>966</v>
      </c>
      <c r="K57" s="4">
        <f t="shared" si="3"/>
        <v>2</v>
      </c>
      <c r="L57" s="4">
        <v>4</v>
      </c>
      <c r="M57" s="4">
        <v>2</v>
      </c>
      <c r="Q57">
        <v>17</v>
      </c>
      <c r="S57" s="8"/>
      <c r="T57" s="10"/>
    </row>
    <row r="58" spans="3:21">
      <c r="C58" s="3"/>
      <c r="F58" s="12">
        <v>20</v>
      </c>
      <c r="G58" s="5" t="s">
        <v>300</v>
      </c>
      <c r="H58" s="7">
        <f t="shared" si="2"/>
        <v>17</v>
      </c>
      <c r="I58" s="50">
        <v>40700.931944444441</v>
      </c>
      <c r="J58" s="10" t="s">
        <v>395</v>
      </c>
      <c r="K58" s="4">
        <f t="shared" si="3"/>
        <v>3</v>
      </c>
      <c r="L58" s="4">
        <v>3</v>
      </c>
      <c r="M58" s="4">
        <v>3</v>
      </c>
      <c r="Q58">
        <v>17</v>
      </c>
      <c r="S58" s="8"/>
      <c r="T58" s="10"/>
    </row>
    <row r="59" spans="3:21">
      <c r="C59" s="3"/>
      <c r="F59" s="12">
        <v>31</v>
      </c>
      <c r="G59" s="6" t="s">
        <v>300</v>
      </c>
      <c r="H59" s="7">
        <f t="shared" si="2"/>
        <v>17</v>
      </c>
      <c r="I59" s="50">
        <v>40702.461805555555</v>
      </c>
      <c r="J59" s="10" t="s">
        <v>1412</v>
      </c>
      <c r="K59" s="4">
        <f t="shared" si="3"/>
        <v>4</v>
      </c>
      <c r="L59" s="4">
        <v>3</v>
      </c>
      <c r="M59" s="4">
        <v>4</v>
      </c>
      <c r="Q59">
        <v>17</v>
      </c>
      <c r="S59" s="8"/>
      <c r="T59" s="10"/>
    </row>
    <row r="60" spans="3:21">
      <c r="C60" s="3"/>
      <c r="F60" s="12">
        <v>36</v>
      </c>
      <c r="G60" s="5" t="s">
        <v>300</v>
      </c>
      <c r="H60" s="7">
        <f t="shared" si="2"/>
        <v>17</v>
      </c>
      <c r="I60" s="47">
        <v>40707.242361111108</v>
      </c>
      <c r="J60" s="10" t="s">
        <v>645</v>
      </c>
      <c r="K60" s="4">
        <f t="shared" si="3"/>
        <v>5</v>
      </c>
      <c r="L60" s="4">
        <v>2</v>
      </c>
      <c r="M60" s="4">
        <v>5</v>
      </c>
      <c r="Q60">
        <v>17</v>
      </c>
      <c r="S60" s="8"/>
      <c r="T60" s="10"/>
    </row>
    <row r="61" spans="3:21">
      <c r="C61" s="3"/>
      <c r="F61" s="12">
        <v>41</v>
      </c>
      <c r="G61" s="6" t="s">
        <v>300</v>
      </c>
      <c r="H61" s="7">
        <f t="shared" si="2"/>
        <v>17</v>
      </c>
      <c r="I61" s="50">
        <v>40708.0625</v>
      </c>
      <c r="J61" s="10" t="s">
        <v>1914</v>
      </c>
      <c r="K61" s="4">
        <f t="shared" si="3"/>
        <v>6</v>
      </c>
      <c r="L61" s="4">
        <v>2</v>
      </c>
      <c r="M61" s="4">
        <v>6</v>
      </c>
      <c r="Q61">
        <v>17</v>
      </c>
      <c r="S61" s="8"/>
      <c r="T61" s="10"/>
    </row>
    <row r="62" spans="3:21">
      <c r="C62" s="3"/>
      <c r="F62" s="12">
        <v>43</v>
      </c>
      <c r="G62" s="6" t="s">
        <v>300</v>
      </c>
      <c r="H62" s="7">
        <f t="shared" si="2"/>
        <v>17</v>
      </c>
      <c r="I62" s="50">
        <v>40708.52847222222</v>
      </c>
      <c r="J62" s="10" t="s">
        <v>1032</v>
      </c>
      <c r="K62" s="4">
        <f t="shared" si="3"/>
        <v>7</v>
      </c>
      <c r="L62" s="4">
        <v>2</v>
      </c>
      <c r="M62" s="4">
        <v>7</v>
      </c>
      <c r="Q62">
        <v>17</v>
      </c>
      <c r="S62" s="8"/>
      <c r="T62" s="10"/>
    </row>
    <row r="63" spans="3:21">
      <c r="C63" s="3"/>
      <c r="F63" s="12">
        <v>46</v>
      </c>
      <c r="G63" s="5" t="s">
        <v>300</v>
      </c>
      <c r="H63" s="7">
        <f t="shared" si="2"/>
        <v>17</v>
      </c>
      <c r="I63" s="47">
        <v>40710.668749999997</v>
      </c>
      <c r="J63" s="10" t="s">
        <v>1079</v>
      </c>
      <c r="K63" s="4">
        <f t="shared" si="3"/>
        <v>8</v>
      </c>
      <c r="L63" s="4">
        <v>2</v>
      </c>
      <c r="M63" s="4">
        <v>8</v>
      </c>
      <c r="Q63">
        <v>17</v>
      </c>
      <c r="S63" s="8"/>
      <c r="T63" s="10"/>
    </row>
    <row r="64" spans="3:21">
      <c r="C64" s="3"/>
      <c r="F64" s="12">
        <v>66</v>
      </c>
      <c r="G64" s="5" t="s">
        <v>300</v>
      </c>
      <c r="H64" s="7">
        <f t="shared" si="2"/>
        <v>17</v>
      </c>
      <c r="I64" s="47">
        <v>40715.60833333333</v>
      </c>
      <c r="J64" s="10" t="s">
        <v>1573</v>
      </c>
      <c r="K64" s="4">
        <f t="shared" si="3"/>
        <v>9</v>
      </c>
      <c r="L64" s="4">
        <v>2</v>
      </c>
      <c r="M64" s="4">
        <v>9</v>
      </c>
      <c r="Q64">
        <v>17</v>
      </c>
      <c r="S64" s="8"/>
      <c r="T64" s="10"/>
    </row>
    <row r="65" spans="3:20">
      <c r="C65" s="3"/>
      <c r="F65" s="12">
        <v>68</v>
      </c>
      <c r="G65" s="5" t="s">
        <v>300</v>
      </c>
      <c r="H65" s="7">
        <f t="shared" si="2"/>
        <v>17</v>
      </c>
      <c r="I65" s="47">
        <v>40716.568055555559</v>
      </c>
      <c r="J65" s="10" t="s">
        <v>939</v>
      </c>
      <c r="K65" s="4">
        <f t="shared" si="3"/>
        <v>10</v>
      </c>
      <c r="L65" s="4">
        <v>2</v>
      </c>
      <c r="M65" s="4">
        <v>10</v>
      </c>
      <c r="Q65">
        <v>17</v>
      </c>
      <c r="S65" s="8"/>
      <c r="T65" s="10"/>
    </row>
    <row r="66" spans="3:20">
      <c r="C66" s="3"/>
      <c r="F66" s="12">
        <v>28</v>
      </c>
      <c r="G66" s="5" t="s">
        <v>918</v>
      </c>
      <c r="H66" s="7">
        <f t="shared" ref="H66:H76" si="4">LOOKUP(G66,$N$2:$N$25,$O$2:$O$25)</f>
        <v>18</v>
      </c>
      <c r="I66" s="47">
        <v>40687.69027777778</v>
      </c>
      <c r="J66" s="10" t="s">
        <v>1270</v>
      </c>
      <c r="K66" s="4">
        <f t="shared" ref="K66:K76" si="5">IF(Q66&gt;Q65,1,K65+1)</f>
        <v>1</v>
      </c>
      <c r="L66" s="4">
        <v>2</v>
      </c>
      <c r="M66" s="4">
        <v>1</v>
      </c>
      <c r="Q66">
        <v>18</v>
      </c>
      <c r="S66" s="8"/>
      <c r="T66" s="10"/>
    </row>
    <row r="67" spans="3:20">
      <c r="C67" s="3"/>
      <c r="F67" s="12">
        <v>75</v>
      </c>
      <c r="G67" s="6" t="s">
        <v>918</v>
      </c>
      <c r="H67" s="7">
        <f t="shared" si="4"/>
        <v>18</v>
      </c>
      <c r="I67" s="50">
        <v>40723.67083333333</v>
      </c>
      <c r="J67" s="10" t="s">
        <v>999</v>
      </c>
      <c r="K67" s="4">
        <f t="shared" si="5"/>
        <v>2</v>
      </c>
      <c r="L67" s="4">
        <v>2</v>
      </c>
      <c r="M67" s="4">
        <v>2</v>
      </c>
      <c r="Q67">
        <v>18</v>
      </c>
      <c r="S67" s="8"/>
      <c r="T67" s="10"/>
    </row>
    <row r="68" spans="3:20">
      <c r="C68" s="3"/>
      <c r="F68" s="12">
        <v>56</v>
      </c>
      <c r="G68" s="6" t="s">
        <v>416</v>
      </c>
      <c r="H68" s="7">
        <f t="shared" si="4"/>
        <v>19</v>
      </c>
      <c r="I68" s="50">
        <v>40713.963888888888</v>
      </c>
      <c r="J68" s="10" t="s">
        <v>1316</v>
      </c>
      <c r="K68" s="4">
        <f t="shared" si="5"/>
        <v>1</v>
      </c>
      <c r="L68" s="4">
        <v>2</v>
      </c>
      <c r="M68" s="4">
        <v>1</v>
      </c>
      <c r="Q68">
        <v>19</v>
      </c>
      <c r="S68" s="8"/>
      <c r="T68" s="10"/>
    </row>
    <row r="69" spans="3:20">
      <c r="C69" s="3"/>
      <c r="F69" s="12">
        <v>10</v>
      </c>
      <c r="G69" s="6" t="s">
        <v>289</v>
      </c>
      <c r="H69" s="7">
        <f t="shared" si="4"/>
        <v>20</v>
      </c>
      <c r="I69" s="50">
        <v>40698.131944444445</v>
      </c>
      <c r="J69" s="10" t="s">
        <v>1087</v>
      </c>
      <c r="K69" s="4">
        <f t="shared" si="5"/>
        <v>1</v>
      </c>
      <c r="L69" s="4">
        <v>7</v>
      </c>
      <c r="M69" s="4">
        <v>1</v>
      </c>
      <c r="Q69">
        <v>20</v>
      </c>
      <c r="S69" s="8"/>
      <c r="T69" s="10"/>
    </row>
    <row r="70" spans="3:20">
      <c r="C70" s="3"/>
      <c r="F70" s="12">
        <v>62</v>
      </c>
      <c r="G70" s="5" t="s">
        <v>289</v>
      </c>
      <c r="H70" s="7">
        <f t="shared" si="4"/>
        <v>20</v>
      </c>
      <c r="I70" s="50">
        <v>40715.06527777778</v>
      </c>
      <c r="J70" s="10" t="s">
        <v>382</v>
      </c>
      <c r="K70" s="4">
        <f t="shared" si="5"/>
        <v>2</v>
      </c>
      <c r="L70" s="4">
        <v>2</v>
      </c>
      <c r="M70" s="4">
        <v>2</v>
      </c>
      <c r="Q70">
        <v>20</v>
      </c>
      <c r="S70" s="8"/>
      <c r="T70" s="10"/>
    </row>
    <row r="71" spans="3:20">
      <c r="C71" s="3"/>
      <c r="F71" s="12">
        <v>42</v>
      </c>
      <c r="G71" s="5" t="s">
        <v>1030</v>
      </c>
      <c r="H71" s="7">
        <f t="shared" si="4"/>
        <v>21</v>
      </c>
      <c r="I71" s="47">
        <v>40704.275000000001</v>
      </c>
      <c r="J71" s="10" t="s">
        <v>1031</v>
      </c>
      <c r="K71" s="4">
        <f t="shared" si="5"/>
        <v>1</v>
      </c>
      <c r="L71" s="4">
        <v>2</v>
      </c>
      <c r="M71" s="4">
        <v>1</v>
      </c>
      <c r="Q71">
        <v>21</v>
      </c>
      <c r="S71" s="8"/>
      <c r="T71" s="10"/>
    </row>
    <row r="72" spans="3:20">
      <c r="C72" s="3"/>
      <c r="F72" s="12">
        <v>27</v>
      </c>
      <c r="G72" s="5" t="s">
        <v>299</v>
      </c>
      <c r="H72" s="7">
        <f t="shared" si="4"/>
        <v>22</v>
      </c>
      <c r="I72" s="50">
        <v>40701.719444444447</v>
      </c>
      <c r="J72" s="10" t="s">
        <v>549</v>
      </c>
      <c r="K72" s="4">
        <f t="shared" si="5"/>
        <v>1</v>
      </c>
      <c r="L72" s="4">
        <v>2</v>
      </c>
      <c r="M72" s="4">
        <v>1</v>
      </c>
      <c r="Q72">
        <v>22</v>
      </c>
      <c r="S72" s="8"/>
      <c r="T72" s="10"/>
    </row>
    <row r="73" spans="3:20">
      <c r="C73" s="3"/>
      <c r="F73" s="12">
        <v>29</v>
      </c>
      <c r="G73" s="6" t="s">
        <v>299</v>
      </c>
      <c r="H73" s="7">
        <f t="shared" si="4"/>
        <v>22</v>
      </c>
      <c r="I73" s="50">
        <v>40701.719444444447</v>
      </c>
      <c r="J73" s="10" t="s">
        <v>1271</v>
      </c>
      <c r="K73" s="4">
        <f t="shared" si="5"/>
        <v>2</v>
      </c>
      <c r="L73" s="4">
        <v>2</v>
      </c>
      <c r="M73" s="4">
        <v>2</v>
      </c>
      <c r="Q73">
        <v>22</v>
      </c>
      <c r="S73" s="8"/>
      <c r="T73" s="10"/>
    </row>
    <row r="74" spans="3:20">
      <c r="C74" s="3"/>
      <c r="F74" s="12">
        <v>44</v>
      </c>
      <c r="G74" s="5" t="s">
        <v>291</v>
      </c>
      <c r="H74" s="7">
        <f t="shared" si="4"/>
        <v>23</v>
      </c>
      <c r="I74" s="47">
        <v>40704.956250000003</v>
      </c>
      <c r="J74" s="10" t="s">
        <v>1304</v>
      </c>
      <c r="K74" s="4">
        <f t="shared" si="5"/>
        <v>1</v>
      </c>
      <c r="L74" s="4">
        <v>2</v>
      </c>
      <c r="M74" s="4">
        <v>1</v>
      </c>
      <c r="Q74">
        <v>23</v>
      </c>
      <c r="S74" s="8"/>
      <c r="T74" s="10"/>
    </row>
    <row r="75" spans="3:20">
      <c r="C75" s="3"/>
      <c r="F75" s="12">
        <v>47</v>
      </c>
      <c r="G75" s="6" t="s">
        <v>812</v>
      </c>
      <c r="H75" s="7">
        <f t="shared" si="4"/>
        <v>24</v>
      </c>
      <c r="I75" s="50">
        <v>40711.008333333331</v>
      </c>
      <c r="J75" s="10" t="s">
        <v>1080</v>
      </c>
      <c r="K75" s="4">
        <f t="shared" si="5"/>
        <v>1</v>
      </c>
      <c r="L75" s="4">
        <v>2</v>
      </c>
      <c r="M75" s="4">
        <v>1</v>
      </c>
      <c r="Q75">
        <v>24</v>
      </c>
      <c r="S75" s="8"/>
    </row>
    <row r="76" spans="3:20">
      <c r="C76" s="3"/>
      <c r="F76" s="12">
        <v>70</v>
      </c>
      <c r="G76" s="5" t="s">
        <v>812</v>
      </c>
      <c r="H76" s="7">
        <f t="shared" si="4"/>
        <v>24</v>
      </c>
      <c r="I76" s="47">
        <v>40713.057638888888</v>
      </c>
      <c r="J76" s="10" t="s">
        <v>813</v>
      </c>
      <c r="K76" s="4">
        <f t="shared" si="5"/>
        <v>2</v>
      </c>
      <c r="L76" s="4">
        <v>2</v>
      </c>
      <c r="M76" s="4">
        <v>2</v>
      </c>
      <c r="Q76">
        <v>24</v>
      </c>
      <c r="S76" s="8"/>
      <c r="T76" s="10"/>
    </row>
    <row r="77" spans="3:20">
      <c r="C77" s="3"/>
      <c r="G77" s="40"/>
      <c r="H77" s="43"/>
      <c r="I77" s="3"/>
      <c r="J77" s="8" t="s">
        <v>1874</v>
      </c>
      <c r="L77" s="16">
        <f>AVERAGE(L2:L31)</f>
        <v>3.9333333333333331</v>
      </c>
      <c r="S77" s="8"/>
      <c r="T77" s="10"/>
    </row>
    <row r="78" spans="3:20">
      <c r="C78" s="3"/>
      <c r="G78" s="39"/>
      <c r="H78" s="43"/>
      <c r="I78" s="3"/>
      <c r="S78" s="8"/>
      <c r="T78" s="10"/>
    </row>
    <row r="79" spans="3:20">
      <c r="C79" s="3"/>
      <c r="G79" s="40"/>
      <c r="H79" s="43"/>
      <c r="I79" s="3"/>
      <c r="S79" s="8"/>
      <c r="T79" s="10"/>
    </row>
    <row r="80" spans="3:20">
      <c r="C80" s="3"/>
      <c r="G80" s="39"/>
      <c r="H80" s="43"/>
      <c r="I80" s="3"/>
      <c r="S80" s="8"/>
      <c r="T80" s="10"/>
    </row>
    <row r="81" spans="3:20">
      <c r="C81" s="3"/>
      <c r="G81" s="40"/>
      <c r="H81" s="43"/>
      <c r="I81" s="3"/>
      <c r="S81" s="8"/>
      <c r="T81" s="10"/>
    </row>
    <row r="82" spans="3:20">
      <c r="C82" s="3"/>
      <c r="D82" s="1"/>
      <c r="G82" s="39"/>
      <c r="H82" s="43"/>
      <c r="I82" s="3"/>
      <c r="S82" s="8"/>
      <c r="T82" s="10"/>
    </row>
    <row r="83" spans="3:20">
      <c r="C83" s="3"/>
      <c r="G83" s="40"/>
      <c r="H83" s="43"/>
      <c r="I83" s="3"/>
      <c r="S83" s="8"/>
      <c r="T83" s="10"/>
    </row>
    <row r="84" spans="3:20">
      <c r="C84" s="3"/>
      <c r="G84" s="39"/>
      <c r="H84" s="43"/>
      <c r="I84" s="3"/>
      <c r="S84" s="8"/>
      <c r="T84" s="10"/>
    </row>
    <row r="85" spans="3:20">
      <c r="C85" s="3"/>
      <c r="G85" s="39"/>
      <c r="H85" s="43"/>
      <c r="I85" s="3"/>
      <c r="S85" s="8"/>
      <c r="T85" s="10"/>
    </row>
    <row r="86" spans="3:20">
      <c r="C86" s="3"/>
      <c r="G86" s="40"/>
      <c r="H86" s="43"/>
      <c r="I86" s="3"/>
      <c r="S86" s="8"/>
      <c r="T86" s="10"/>
    </row>
    <row r="87" spans="3:20">
      <c r="C87" s="3"/>
      <c r="G87" s="40"/>
      <c r="H87" s="43"/>
      <c r="I87" s="3"/>
      <c r="S87" s="8"/>
      <c r="T87" s="10"/>
    </row>
    <row r="88" spans="3:20">
      <c r="C88" s="3"/>
      <c r="G88" s="40"/>
      <c r="H88" s="43"/>
      <c r="I88" s="3"/>
      <c r="S88" s="8"/>
      <c r="T88" s="10"/>
    </row>
    <row r="89" spans="3:20">
      <c r="C89" s="3"/>
      <c r="G89" s="40"/>
      <c r="H89" s="43"/>
      <c r="I89" s="3"/>
      <c r="S89" s="8"/>
      <c r="T89" s="10"/>
    </row>
    <row r="90" spans="3:20">
      <c r="C90" s="3"/>
      <c r="G90" s="40"/>
      <c r="H90" s="43"/>
      <c r="I90" s="3"/>
      <c r="S90" s="8"/>
      <c r="T90" s="10"/>
    </row>
    <row r="91" spans="3:20">
      <c r="C91" s="3"/>
      <c r="G91" s="40"/>
      <c r="H91" s="43"/>
      <c r="I91" s="3"/>
      <c r="S91" s="8"/>
      <c r="T91" s="10"/>
    </row>
    <row r="92" spans="3:20">
      <c r="C92" s="3"/>
      <c r="G92" s="39"/>
      <c r="H92" s="43"/>
      <c r="I92" s="3"/>
      <c r="S92" s="8"/>
      <c r="T92" s="10"/>
    </row>
    <row r="93" spans="3:20">
      <c r="C93" s="3"/>
      <c r="G93" s="40"/>
      <c r="H93" s="43"/>
      <c r="I93" s="3"/>
      <c r="S93" s="8"/>
      <c r="T93" s="10"/>
    </row>
    <row r="94" spans="3:20">
      <c r="C94" s="3"/>
      <c r="G94" s="40"/>
      <c r="H94" s="43"/>
      <c r="I94" s="3"/>
      <c r="S94" s="8"/>
      <c r="T94" s="10"/>
    </row>
    <row r="95" spans="3:20">
      <c r="C95" s="3"/>
      <c r="G95" s="40"/>
      <c r="H95" s="43"/>
      <c r="I95" s="3"/>
      <c r="S95" s="8"/>
      <c r="T95" s="10"/>
    </row>
    <row r="96" spans="3:20">
      <c r="C96" s="3"/>
      <c r="G96" s="40"/>
      <c r="H96" s="43"/>
      <c r="I96" s="3"/>
      <c r="S96" s="8"/>
      <c r="T96" s="10"/>
    </row>
    <row r="97" spans="3:20">
      <c r="C97" s="3"/>
      <c r="G97" s="39"/>
      <c r="H97" s="43"/>
      <c r="I97" s="3"/>
      <c r="S97" s="8"/>
      <c r="T97" s="10"/>
    </row>
    <row r="98" spans="3:20">
      <c r="C98" s="3"/>
      <c r="G98" s="40"/>
      <c r="H98" s="43"/>
      <c r="I98" s="3"/>
      <c r="S98" s="8"/>
      <c r="T98" s="10"/>
    </row>
    <row r="99" spans="3:20">
      <c r="C99" s="3"/>
      <c r="G99" s="40"/>
      <c r="H99" s="43"/>
      <c r="I99" s="3"/>
      <c r="S99" s="8"/>
      <c r="T99" s="10"/>
    </row>
    <row r="100" spans="3:20">
      <c r="C100" s="3"/>
      <c r="G100" s="40"/>
      <c r="H100" s="43"/>
      <c r="I100" s="3"/>
      <c r="S100" s="8"/>
      <c r="T100" s="10"/>
    </row>
    <row r="101" spans="3:20">
      <c r="C101" s="3"/>
      <c r="G101" s="39"/>
      <c r="H101" s="43"/>
      <c r="I101" s="3"/>
      <c r="S101" s="8"/>
      <c r="T101" s="10"/>
    </row>
    <row r="102" spans="3:20">
      <c r="C102" s="3"/>
      <c r="G102" s="40"/>
      <c r="H102" s="43"/>
      <c r="I102" s="3"/>
      <c r="S102" s="8"/>
      <c r="T102" s="10"/>
    </row>
    <row r="103" spans="3:20">
      <c r="C103" s="3"/>
      <c r="G103" s="40"/>
      <c r="H103" s="43"/>
      <c r="I103" s="3"/>
      <c r="S103" s="8"/>
      <c r="T103" s="10"/>
    </row>
    <row r="104" spans="3:20">
      <c r="C104" s="3"/>
      <c r="G104" s="39"/>
      <c r="H104" s="43"/>
      <c r="I104" s="3"/>
      <c r="S104" s="8"/>
      <c r="T104" s="10"/>
    </row>
    <row r="105" spans="3:20">
      <c r="C105" s="3"/>
      <c r="G105" s="40"/>
      <c r="H105" s="43"/>
      <c r="I105" s="3"/>
      <c r="S105" s="8"/>
      <c r="T105" s="10"/>
    </row>
    <row r="106" spans="3:20">
      <c r="C106" s="3"/>
      <c r="G106" s="40"/>
      <c r="H106" s="43"/>
      <c r="I106" s="3"/>
      <c r="S106" s="8"/>
      <c r="T106" s="10"/>
    </row>
    <row r="107" spans="3:20">
      <c r="C107" s="3"/>
      <c r="G107" s="39"/>
      <c r="H107" s="43"/>
      <c r="I107" s="3"/>
      <c r="S107" s="8"/>
      <c r="T107" s="10"/>
    </row>
    <row r="108" spans="3:20">
      <c r="C108" s="3"/>
      <c r="G108" s="39"/>
      <c r="H108" s="43"/>
      <c r="I108" s="3"/>
      <c r="S108" s="8"/>
      <c r="T108" s="10"/>
    </row>
    <row r="109" spans="3:20">
      <c r="C109" s="3"/>
      <c r="G109" s="40"/>
      <c r="H109" s="43"/>
      <c r="I109" s="3"/>
      <c r="S109" s="8"/>
      <c r="T109" s="10"/>
    </row>
    <row r="110" spans="3:20">
      <c r="C110" s="3"/>
      <c r="G110" s="39"/>
      <c r="H110" s="43"/>
      <c r="I110" s="3"/>
      <c r="S110" s="8"/>
      <c r="T110" s="10"/>
    </row>
    <row r="111" spans="3:20">
      <c r="C111" s="3"/>
      <c r="G111" s="40"/>
      <c r="H111" s="43"/>
      <c r="I111" s="3"/>
      <c r="S111" s="8"/>
      <c r="T111" s="10"/>
    </row>
    <row r="112" spans="3:20">
      <c r="C112" s="3"/>
      <c r="G112" s="39"/>
      <c r="H112" s="43"/>
      <c r="I112" s="3"/>
      <c r="S112" s="8"/>
      <c r="T112" s="10"/>
    </row>
    <row r="113" spans="3:20">
      <c r="C113" s="3"/>
      <c r="G113" s="39"/>
      <c r="H113" s="43"/>
      <c r="I113" s="3"/>
      <c r="S113" s="8"/>
      <c r="T113" s="10"/>
    </row>
    <row r="114" spans="3:20">
      <c r="C114" s="3"/>
      <c r="G114" s="40"/>
      <c r="H114" s="43"/>
      <c r="I114" s="3"/>
      <c r="S114" s="8"/>
      <c r="T114" s="10"/>
    </row>
    <row r="115" spans="3:20">
      <c r="C115" s="3"/>
      <c r="G115" s="40"/>
      <c r="H115" s="43"/>
      <c r="I115" s="3"/>
      <c r="S115" s="8"/>
      <c r="T115" s="10"/>
    </row>
    <row r="116" spans="3:20">
      <c r="C116" s="3"/>
      <c r="G116" s="39"/>
      <c r="H116" s="43"/>
      <c r="I116" s="3"/>
      <c r="S116" s="8"/>
      <c r="T116" s="10"/>
    </row>
    <row r="117" spans="3:20">
      <c r="C117" s="3"/>
      <c r="G117" s="40"/>
      <c r="H117" s="43"/>
      <c r="I117" s="3"/>
      <c r="S117" s="8"/>
      <c r="T117" s="10"/>
    </row>
    <row r="118" spans="3:20">
      <c r="C118" s="3"/>
      <c r="G118" s="40"/>
      <c r="H118" s="43"/>
      <c r="I118" s="3"/>
      <c r="S118" s="8"/>
      <c r="T118" s="10"/>
    </row>
    <row r="119" spans="3:20">
      <c r="C119" s="3"/>
      <c r="G119" s="39"/>
      <c r="H119" s="43"/>
      <c r="I119" s="3"/>
      <c r="S119" s="8"/>
      <c r="T119" s="10"/>
    </row>
    <row r="120" spans="3:20">
      <c r="C120" s="3"/>
      <c r="G120" s="39"/>
      <c r="H120" s="43"/>
      <c r="I120" s="3"/>
      <c r="S120" s="8"/>
      <c r="T120" s="10"/>
    </row>
    <row r="121" spans="3:20">
      <c r="C121" s="3"/>
      <c r="G121" s="40"/>
      <c r="H121" s="43"/>
      <c r="I121" s="3"/>
      <c r="S121" s="8"/>
      <c r="T121" s="10"/>
    </row>
    <row r="122" spans="3:20">
      <c r="C122" s="3"/>
      <c r="G122" s="39"/>
      <c r="H122" s="43"/>
      <c r="I122" s="3"/>
      <c r="S122" s="8"/>
      <c r="T122" s="10"/>
    </row>
    <row r="123" spans="3:20">
      <c r="C123" s="3"/>
      <c r="G123" s="40"/>
      <c r="H123" s="43"/>
      <c r="I123" s="3"/>
      <c r="S123" s="8"/>
      <c r="T123" s="10"/>
    </row>
    <row r="124" spans="3:20">
      <c r="C124" s="3"/>
      <c r="G124" s="39"/>
      <c r="H124" s="43"/>
      <c r="I124" s="3"/>
      <c r="S124" s="8"/>
      <c r="T124" s="10"/>
    </row>
    <row r="125" spans="3:20">
      <c r="C125" s="3"/>
      <c r="G125" s="42"/>
      <c r="H125" s="43"/>
      <c r="I125" s="3"/>
      <c r="S125" s="8"/>
      <c r="T125" s="10"/>
    </row>
    <row r="126" spans="3:20">
      <c r="C126" s="3"/>
      <c r="G126" s="42"/>
      <c r="H126" s="43"/>
      <c r="I126" s="3"/>
      <c r="S126" s="8"/>
      <c r="T126" s="10"/>
    </row>
    <row r="127" spans="3:20">
      <c r="C127" s="3"/>
      <c r="G127" s="41"/>
      <c r="H127" s="43"/>
      <c r="I127" s="3"/>
      <c r="S127" s="8"/>
      <c r="T127" s="10"/>
    </row>
    <row r="128" spans="3:20">
      <c r="C128" s="3"/>
      <c r="G128" s="40"/>
      <c r="H128" s="43"/>
      <c r="I128" s="3"/>
      <c r="S128" s="8"/>
      <c r="T128" s="10"/>
    </row>
    <row r="129" spans="3:20">
      <c r="C129" s="3"/>
      <c r="G129" s="40"/>
      <c r="H129" s="43"/>
      <c r="I129" s="3"/>
      <c r="S129" s="8"/>
      <c r="T129" s="10"/>
    </row>
    <row r="130" spans="3:20">
      <c r="C130" s="3"/>
      <c r="G130" s="39"/>
      <c r="H130" s="43"/>
      <c r="I130" s="3"/>
      <c r="S130" s="8"/>
      <c r="T130" s="10"/>
    </row>
    <row r="131" spans="3:20">
      <c r="C131" s="3"/>
      <c r="G131" s="40"/>
      <c r="H131" s="43"/>
      <c r="I131" s="3"/>
      <c r="S131" s="8"/>
      <c r="T131" s="10"/>
    </row>
    <row r="132" spans="3:20">
      <c r="C132" s="3"/>
      <c r="G132" s="40"/>
      <c r="H132" s="43"/>
      <c r="I132" s="3"/>
      <c r="S132" s="8"/>
      <c r="T132" s="10"/>
    </row>
    <row r="133" spans="3:20">
      <c r="C133" s="3"/>
      <c r="G133" s="40"/>
      <c r="H133" s="43"/>
      <c r="I133" s="3"/>
      <c r="S133" s="8"/>
      <c r="T133" s="10"/>
    </row>
    <row r="134" spans="3:20">
      <c r="C134" s="3"/>
      <c r="G134" s="40"/>
      <c r="H134" s="43"/>
      <c r="I134" s="3"/>
      <c r="S134" s="8"/>
      <c r="T134" s="10"/>
    </row>
    <row r="135" spans="3:20">
      <c r="C135" s="3"/>
      <c r="G135" s="40"/>
      <c r="H135" s="43"/>
      <c r="I135" s="3"/>
      <c r="S135" s="8"/>
      <c r="T135" s="10"/>
    </row>
    <row r="136" spans="3:20">
      <c r="C136" s="3"/>
      <c r="G136" s="39"/>
      <c r="H136" s="43"/>
      <c r="I136" s="3"/>
      <c r="S136" s="8"/>
      <c r="T136" s="10"/>
    </row>
    <row r="137" spans="3:20">
      <c r="C137" s="3"/>
      <c r="G137" s="40"/>
      <c r="H137" s="43"/>
      <c r="I137" s="3"/>
      <c r="S137" s="8"/>
      <c r="T137" s="10"/>
    </row>
    <row r="138" spans="3:20">
      <c r="C138" s="3"/>
      <c r="G138" s="39"/>
      <c r="H138" s="43"/>
      <c r="I138" s="3"/>
      <c r="S138" s="8"/>
      <c r="T138" s="10"/>
    </row>
    <row r="139" spans="3:20">
      <c r="C139" s="3"/>
      <c r="G139" s="39"/>
      <c r="H139" s="43"/>
      <c r="I139" s="3"/>
      <c r="S139" s="8"/>
      <c r="T139" s="10"/>
    </row>
    <row r="140" spans="3:20">
      <c r="C140" s="3"/>
      <c r="G140" s="40"/>
      <c r="H140" s="43"/>
      <c r="I140" s="3"/>
      <c r="S140" s="8"/>
      <c r="T140" s="10"/>
    </row>
    <row r="141" spans="3:20">
      <c r="C141" s="3"/>
      <c r="G141" s="40"/>
      <c r="H141" s="43"/>
      <c r="I141" s="3"/>
      <c r="S141" s="8"/>
      <c r="T141" s="10"/>
    </row>
    <row r="142" spans="3:20">
      <c r="C142" s="3"/>
      <c r="G142" s="40"/>
      <c r="H142" s="43"/>
      <c r="I142" s="3"/>
      <c r="S142" s="8"/>
      <c r="T142" s="10"/>
    </row>
    <row r="143" spans="3:20">
      <c r="C143" s="3"/>
      <c r="G143" s="40"/>
      <c r="H143" s="43"/>
      <c r="I143" s="3"/>
      <c r="S143" s="8"/>
      <c r="T143" s="10"/>
    </row>
    <row r="144" spans="3:20">
      <c r="C144" s="3"/>
      <c r="D144" s="1"/>
      <c r="G144" s="40"/>
      <c r="H144" s="43"/>
      <c r="I144" s="3"/>
      <c r="S144" s="8"/>
      <c r="T144" s="10"/>
    </row>
    <row r="145" spans="3:20">
      <c r="C145" s="3"/>
      <c r="G145" s="40"/>
      <c r="H145" s="43"/>
      <c r="I145" s="3"/>
      <c r="S145" s="8"/>
      <c r="T145" s="10"/>
    </row>
    <row r="146" spans="3:20">
      <c r="C146" s="3"/>
      <c r="G146" s="40"/>
      <c r="H146" s="43"/>
      <c r="I146" s="3"/>
      <c r="S146" s="8"/>
      <c r="T146" s="10"/>
    </row>
    <row r="147" spans="3:20">
      <c r="C147" s="3"/>
      <c r="G147" s="40"/>
      <c r="H147" s="43"/>
      <c r="I147" s="3"/>
      <c r="S147" s="8"/>
      <c r="T147" s="10"/>
    </row>
    <row r="148" spans="3:20">
      <c r="C148" s="3"/>
      <c r="G148" s="39"/>
      <c r="H148" s="43"/>
      <c r="I148" s="3"/>
      <c r="S148" s="8"/>
      <c r="T148" s="10"/>
    </row>
    <row r="149" spans="3:20">
      <c r="C149" s="3"/>
      <c r="G149" s="40"/>
      <c r="H149" s="43"/>
      <c r="I149" s="3"/>
      <c r="S149" s="8"/>
      <c r="T149" s="10"/>
    </row>
    <row r="150" spans="3:20">
      <c r="C150" s="3"/>
      <c r="G150" s="39"/>
      <c r="H150" s="43"/>
      <c r="I150" s="3"/>
      <c r="S150" s="8"/>
      <c r="T150" s="10"/>
    </row>
    <row r="151" spans="3:20">
      <c r="C151" s="3"/>
      <c r="G151" s="40"/>
      <c r="H151" s="43"/>
      <c r="I151" s="3"/>
      <c r="S151" s="8"/>
      <c r="T151" s="10"/>
    </row>
    <row r="152" spans="3:20">
      <c r="C152" s="3"/>
      <c r="G152" s="39"/>
      <c r="H152" s="43"/>
      <c r="I152" s="3"/>
      <c r="S152" s="8"/>
      <c r="T152" s="10"/>
    </row>
    <row r="153" spans="3:20">
      <c r="C153" s="3"/>
      <c r="G153" s="39"/>
      <c r="H153" s="43"/>
      <c r="I153" s="3"/>
      <c r="S153" s="8"/>
      <c r="T153" s="10"/>
    </row>
    <row r="154" spans="3:20">
      <c r="C154" s="3"/>
      <c r="G154" s="40"/>
      <c r="H154" s="43"/>
      <c r="I154" s="3"/>
      <c r="S154" s="8"/>
      <c r="T154" s="10"/>
    </row>
    <row r="155" spans="3:20">
      <c r="C155" s="3"/>
      <c r="G155" s="40"/>
      <c r="H155" s="43"/>
      <c r="I155" s="3"/>
      <c r="S155" s="8"/>
      <c r="T155" s="10"/>
    </row>
    <row r="156" spans="3:20">
      <c r="C156" s="3"/>
      <c r="G156" s="39"/>
      <c r="H156" s="43"/>
      <c r="I156" s="3"/>
      <c r="S156" s="8"/>
      <c r="T156" s="10"/>
    </row>
    <row r="157" spans="3:20">
      <c r="C157" s="3"/>
      <c r="G157" s="39"/>
      <c r="H157" s="43"/>
      <c r="I157" s="3"/>
      <c r="S157" s="8"/>
      <c r="T157" s="10"/>
    </row>
    <row r="158" spans="3:20">
      <c r="C158" s="3"/>
      <c r="G158" s="39"/>
      <c r="H158" s="43"/>
      <c r="I158" s="3"/>
      <c r="S158" s="8"/>
      <c r="T158" s="10"/>
    </row>
    <row r="159" spans="3:20">
      <c r="C159" s="3"/>
      <c r="G159" s="40"/>
      <c r="H159" s="43"/>
      <c r="I159" s="3"/>
      <c r="S159" s="8"/>
      <c r="T159" s="10"/>
    </row>
    <row r="160" spans="3:20">
      <c r="C160" s="3"/>
      <c r="G160" s="39"/>
      <c r="H160" s="43"/>
      <c r="I160" s="3"/>
      <c r="S160" s="8"/>
      <c r="T160" s="10"/>
    </row>
    <row r="161" spans="3:20">
      <c r="C161" s="3"/>
      <c r="G161" s="40"/>
      <c r="H161" s="43"/>
      <c r="I161" s="3"/>
      <c r="S161" s="8"/>
      <c r="T161" s="10"/>
    </row>
    <row r="162" spans="3:20">
      <c r="C162" s="3"/>
      <c r="G162" s="40"/>
      <c r="H162" s="43"/>
      <c r="I162" s="3"/>
      <c r="S162" s="8"/>
      <c r="T162" s="10"/>
    </row>
    <row r="163" spans="3:20">
      <c r="C163" s="3"/>
      <c r="G163" s="39"/>
      <c r="H163" s="43"/>
      <c r="I163" s="3"/>
      <c r="S163" s="8"/>
      <c r="T163" s="10"/>
    </row>
    <row r="164" spans="3:20">
      <c r="C164" s="3"/>
      <c r="G164" s="39"/>
      <c r="H164" s="43"/>
      <c r="I164" s="3"/>
      <c r="S164" s="8"/>
      <c r="T164" s="10"/>
    </row>
    <row r="165" spans="3:20">
      <c r="C165" s="3"/>
      <c r="G165" s="41"/>
      <c r="H165" s="43"/>
      <c r="I165" s="3"/>
      <c r="S165" s="8"/>
      <c r="T165" s="10"/>
    </row>
    <row r="166" spans="3:20">
      <c r="C166" s="3"/>
      <c r="G166" s="39"/>
      <c r="H166" s="43"/>
      <c r="I166" s="3"/>
      <c r="S166" s="8"/>
      <c r="T166" s="10"/>
    </row>
    <row r="167" spans="3:20">
      <c r="C167" s="3"/>
      <c r="G167" s="39"/>
      <c r="H167" s="43"/>
      <c r="I167" s="3"/>
      <c r="S167" s="8"/>
      <c r="T167" s="10"/>
    </row>
    <row r="168" spans="3:20">
      <c r="C168" s="3"/>
      <c r="G168" s="41"/>
      <c r="H168" s="43"/>
      <c r="I168" s="3"/>
      <c r="S168" s="8"/>
      <c r="T168" s="10"/>
    </row>
    <row r="169" spans="3:20">
      <c r="C169" s="3"/>
      <c r="G169" s="40"/>
      <c r="H169" s="43"/>
      <c r="I169" s="3"/>
      <c r="S169" s="8"/>
      <c r="T169" s="10"/>
    </row>
    <row r="170" spans="3:20">
      <c r="C170" s="3"/>
      <c r="G170" s="40"/>
      <c r="H170" s="43"/>
      <c r="I170" s="3"/>
      <c r="S170" s="8"/>
      <c r="T170" s="10"/>
    </row>
    <row r="171" spans="3:20">
      <c r="C171" s="3"/>
      <c r="G171" s="40"/>
      <c r="H171" s="43"/>
      <c r="I171" s="3"/>
      <c r="S171" s="8"/>
      <c r="T171" s="10"/>
    </row>
    <row r="172" spans="3:20">
      <c r="C172" s="3"/>
      <c r="G172" s="39"/>
      <c r="H172" s="43"/>
      <c r="I172" s="3"/>
      <c r="S172" s="8"/>
      <c r="T172" s="10"/>
    </row>
    <row r="173" spans="3:20">
      <c r="C173" s="3"/>
      <c r="G173" s="39"/>
      <c r="H173" s="43"/>
      <c r="I173" s="3"/>
      <c r="S173" s="8"/>
      <c r="T173" s="10"/>
    </row>
    <row r="174" spans="3:20">
      <c r="C174" s="3"/>
      <c r="G174" s="40"/>
      <c r="H174" s="43"/>
      <c r="I174" s="3"/>
      <c r="S174" s="8"/>
      <c r="T174" s="10"/>
    </row>
    <row r="175" spans="3:20">
      <c r="C175" s="3"/>
      <c r="G175" s="39"/>
      <c r="H175" s="43"/>
      <c r="I175" s="3"/>
      <c r="S175" s="8"/>
      <c r="T175" s="10"/>
    </row>
    <row r="176" spans="3:20">
      <c r="C176" s="3"/>
      <c r="G176" s="39"/>
      <c r="H176" s="43"/>
      <c r="I176" s="3"/>
      <c r="S176" s="8"/>
      <c r="T176" s="10"/>
    </row>
    <row r="177" spans="3:20">
      <c r="C177" s="3"/>
      <c r="G177" s="40"/>
      <c r="H177" s="43"/>
      <c r="I177" s="3"/>
      <c r="S177" s="8"/>
      <c r="T177" s="10"/>
    </row>
    <row r="178" spans="3:20">
      <c r="C178" s="3"/>
      <c r="G178" s="40"/>
      <c r="H178" s="43"/>
      <c r="I178" s="3"/>
      <c r="S178" s="8"/>
      <c r="T178" s="10"/>
    </row>
    <row r="179" spans="3:20">
      <c r="C179" s="3"/>
      <c r="G179" s="40"/>
      <c r="H179" s="43"/>
      <c r="I179" s="3"/>
      <c r="S179" s="8"/>
      <c r="T179" s="10"/>
    </row>
    <row r="180" spans="3:20">
      <c r="C180" s="3"/>
      <c r="G180" s="40"/>
      <c r="H180" s="43"/>
      <c r="I180" s="3"/>
      <c r="S180" s="8"/>
      <c r="T180" s="10"/>
    </row>
    <row r="181" spans="3:20">
      <c r="C181" s="3"/>
      <c r="G181" s="39"/>
      <c r="H181" s="43"/>
      <c r="I181" s="3"/>
      <c r="S181" s="8"/>
      <c r="T181" s="10"/>
    </row>
    <row r="182" spans="3:20">
      <c r="C182" s="3"/>
      <c r="G182" s="39"/>
      <c r="H182" s="43"/>
      <c r="I182" s="3"/>
      <c r="S182" s="8"/>
      <c r="T182" s="10"/>
    </row>
    <row r="183" spans="3:20">
      <c r="C183" s="3"/>
      <c r="G183" s="39"/>
      <c r="H183" s="43"/>
      <c r="I183" s="3"/>
      <c r="S183" s="8"/>
      <c r="T183" s="10"/>
    </row>
    <row r="184" spans="3:20">
      <c r="C184" s="3"/>
      <c r="G184" s="40"/>
      <c r="H184" s="43"/>
      <c r="I184" s="3"/>
      <c r="S184" s="8"/>
      <c r="T184" s="10"/>
    </row>
    <row r="185" spans="3:20">
      <c r="C185" s="3"/>
      <c r="G185" s="40"/>
      <c r="H185" s="43"/>
      <c r="I185" s="3"/>
      <c r="S185" s="8"/>
    </row>
    <row r="186" spans="3:20">
      <c r="C186" s="3"/>
      <c r="G186" s="40"/>
      <c r="H186" s="43"/>
      <c r="I186" s="3"/>
      <c r="S186" s="8"/>
    </row>
    <row r="187" spans="3:20">
      <c r="C187" s="3"/>
      <c r="G187" s="40"/>
      <c r="H187" s="43"/>
      <c r="I187" s="3"/>
      <c r="S187" s="8"/>
    </row>
    <row r="188" spans="3:20">
      <c r="C188" s="3"/>
      <c r="G188" s="39"/>
      <c r="H188" s="43"/>
      <c r="I188" s="3"/>
      <c r="S188" s="8"/>
    </row>
    <row r="189" spans="3:20">
      <c r="C189" s="3"/>
      <c r="G189" s="39"/>
      <c r="H189" s="43"/>
      <c r="I189" s="3"/>
      <c r="S189" s="8"/>
    </row>
    <row r="190" spans="3:20">
      <c r="C190" s="3"/>
      <c r="G190" s="42"/>
      <c r="H190" s="43"/>
      <c r="I190" s="3"/>
      <c r="S190" s="8"/>
    </row>
    <row r="191" spans="3:20">
      <c r="C191" s="3"/>
      <c r="G191" s="44"/>
      <c r="H191" s="43"/>
      <c r="I191" s="3"/>
      <c r="S191" s="8"/>
    </row>
    <row r="192" spans="3:20">
      <c r="C192" s="3"/>
      <c r="G192" s="44"/>
      <c r="H192" s="43"/>
      <c r="I192" s="3"/>
      <c r="S192" s="8"/>
    </row>
    <row r="193" spans="3:19">
      <c r="C193" s="3"/>
      <c r="G193" s="44"/>
      <c r="H193" s="43"/>
      <c r="I193" s="3"/>
      <c r="S193" s="8"/>
    </row>
    <row r="194" spans="3:19">
      <c r="C194" s="3"/>
      <c r="G194" s="8"/>
      <c r="H194" s="7"/>
      <c r="I194" s="3"/>
      <c r="S194" s="8"/>
    </row>
    <row r="195" spans="3:19">
      <c r="C195" s="3"/>
      <c r="G195" s="8"/>
      <c r="H195" s="7"/>
      <c r="I195" s="3"/>
      <c r="S195" s="8"/>
    </row>
    <row r="196" spans="3:19">
      <c r="C196" s="3"/>
      <c r="G196" s="8"/>
      <c r="H196" s="7"/>
      <c r="I196" s="3"/>
    </row>
    <row r="197" spans="3:19">
      <c r="C197" s="3"/>
      <c r="G197" s="8"/>
      <c r="H197" s="7"/>
      <c r="I197" s="3"/>
    </row>
    <row r="198" spans="3:19">
      <c r="C198" s="3"/>
      <c r="G198" s="8"/>
      <c r="H198" s="7"/>
      <c r="I198" s="3"/>
    </row>
    <row r="199" spans="3:19">
      <c r="C199" s="3"/>
      <c r="G199" s="8"/>
      <c r="H199" s="7"/>
      <c r="I199" s="3"/>
    </row>
    <row r="200" spans="3:19">
      <c r="C200" s="3"/>
      <c r="G200" s="8"/>
      <c r="H200" s="7"/>
      <c r="I200" s="3"/>
    </row>
    <row r="201" spans="3:19">
      <c r="C201" s="3"/>
      <c r="G201" s="8"/>
      <c r="H201" s="7"/>
      <c r="I201" s="3"/>
    </row>
    <row r="202" spans="3:19">
      <c r="G202" s="8"/>
      <c r="H202" s="7"/>
      <c r="I202" s="3"/>
    </row>
    <row r="203" spans="3:19">
      <c r="G203" s="8"/>
      <c r="H203" s="7"/>
      <c r="I203" s="3"/>
    </row>
    <row r="204" spans="3:19">
      <c r="G204" s="8"/>
      <c r="H204" s="7"/>
      <c r="I204" s="3"/>
    </row>
    <row r="205" spans="3:19">
      <c r="G205" s="8"/>
      <c r="H205" s="7"/>
      <c r="I205" s="3"/>
    </row>
    <row r="206" spans="3:19">
      <c r="G206" s="8"/>
      <c r="H206" s="7"/>
      <c r="I206" s="3"/>
    </row>
    <row r="207" spans="3:19">
      <c r="G207" s="8"/>
      <c r="H207" s="7"/>
      <c r="I207" s="3"/>
    </row>
    <row r="208" spans="3:19">
      <c r="G208" s="8"/>
      <c r="H208" s="7"/>
      <c r="I208" s="3"/>
    </row>
    <row r="209" spans="7:9">
      <c r="G209" s="8"/>
      <c r="H209" s="7"/>
      <c r="I209" s="3"/>
    </row>
    <row r="210" spans="7:9">
      <c r="G210" s="8"/>
      <c r="H210" s="7"/>
      <c r="I210" s="3"/>
    </row>
    <row r="211" spans="7:9">
      <c r="G211" s="8"/>
      <c r="H211" s="7"/>
      <c r="I211" s="3"/>
    </row>
    <row r="212" spans="7:9">
      <c r="G212" s="8"/>
      <c r="H212" s="7"/>
      <c r="I212" s="3"/>
    </row>
    <row r="213" spans="7:9">
      <c r="G213" s="8"/>
      <c r="H213" s="7"/>
      <c r="I213" s="3"/>
    </row>
    <row r="214" spans="7:9">
      <c r="G214" s="8"/>
      <c r="H214" s="7"/>
      <c r="I214" s="3"/>
    </row>
    <row r="215" spans="7:9">
      <c r="G215" s="8"/>
      <c r="H215" s="7"/>
      <c r="I215" s="3"/>
    </row>
    <row r="216" spans="7:9">
      <c r="G216" s="8"/>
      <c r="H216" s="7"/>
      <c r="I216" s="3"/>
    </row>
    <row r="217" spans="7:9">
      <c r="G217" s="8"/>
      <c r="H217" s="7"/>
      <c r="I217" s="3"/>
    </row>
    <row r="218" spans="7:9">
      <c r="G218" s="8"/>
      <c r="H218" s="7"/>
      <c r="I218" s="3"/>
    </row>
    <row r="219" spans="7:9">
      <c r="G219" s="8"/>
      <c r="H219" s="7"/>
      <c r="I219" s="3"/>
    </row>
    <row r="220" spans="7:9">
      <c r="G220" s="8"/>
      <c r="H220" s="7"/>
      <c r="I220" s="3"/>
    </row>
    <row r="221" spans="7:9">
      <c r="G221" s="8"/>
      <c r="H221" s="7"/>
      <c r="I221" s="3"/>
    </row>
    <row r="222" spans="7:9">
      <c r="G222" s="8"/>
      <c r="H222" s="7"/>
      <c r="I222" s="3"/>
    </row>
    <row r="223" spans="7:9">
      <c r="G223" s="8"/>
      <c r="H223" s="7"/>
      <c r="I223" s="3"/>
    </row>
    <row r="224" spans="7:9">
      <c r="G224" s="8"/>
      <c r="H224" s="7"/>
      <c r="I224" s="3"/>
    </row>
    <row r="225" spans="7:9">
      <c r="G225" s="8"/>
      <c r="H225" s="7"/>
      <c r="I225" s="3"/>
    </row>
    <row r="226" spans="7:9">
      <c r="G226" s="8"/>
      <c r="H226" s="7"/>
      <c r="I226" s="3"/>
    </row>
    <row r="227" spans="7:9">
      <c r="G227" s="8"/>
      <c r="H227" s="7"/>
      <c r="I227" s="3"/>
    </row>
    <row r="228" spans="7:9">
      <c r="G228" s="8"/>
      <c r="H228" s="7"/>
      <c r="I228" s="3"/>
    </row>
    <row r="229" spans="7:9">
      <c r="G229" s="8"/>
      <c r="H229" s="7"/>
      <c r="I229" s="3"/>
    </row>
    <row r="230" spans="7:9">
      <c r="G230" s="8"/>
      <c r="H230" s="7"/>
      <c r="I230" s="3"/>
    </row>
    <row r="231" spans="7:9">
      <c r="G231" s="8"/>
      <c r="H231" s="7"/>
      <c r="I231" s="3"/>
    </row>
    <row r="232" spans="7:9">
      <c r="G232" s="8"/>
      <c r="H232" s="7"/>
      <c r="I232" s="3"/>
    </row>
    <row r="233" spans="7:9">
      <c r="G233" s="8"/>
      <c r="H233" s="7"/>
      <c r="I233" s="3"/>
    </row>
    <row r="234" spans="7:9">
      <c r="G234" s="8"/>
      <c r="H234" s="7"/>
      <c r="I234" s="3"/>
    </row>
    <row r="235" spans="7:9">
      <c r="G235" s="8"/>
      <c r="H235" s="7"/>
      <c r="I235" s="3"/>
    </row>
    <row r="236" spans="7:9">
      <c r="G236" s="8"/>
      <c r="H236" s="7"/>
      <c r="I236" s="3"/>
    </row>
    <row r="237" spans="7:9">
      <c r="G237" s="8"/>
      <c r="H237" s="7"/>
      <c r="I237" s="3"/>
    </row>
    <row r="238" spans="7:9">
      <c r="G238" s="8"/>
      <c r="H238" s="7"/>
      <c r="I238" s="3"/>
    </row>
    <row r="239" spans="7:9">
      <c r="G239" s="8"/>
      <c r="H239" s="7"/>
      <c r="I239" s="3"/>
    </row>
    <row r="240" spans="7:9">
      <c r="G240" s="8"/>
      <c r="H240" s="7"/>
      <c r="I240" s="3"/>
    </row>
    <row r="241" spans="7:9">
      <c r="G241" s="8"/>
      <c r="H241" s="7"/>
      <c r="I241" s="3"/>
    </row>
    <row r="242" spans="7:9">
      <c r="G242" s="8"/>
      <c r="H242" s="7"/>
      <c r="I242" s="3"/>
    </row>
    <row r="243" spans="7:9">
      <c r="G243" s="8"/>
      <c r="H243" s="7"/>
      <c r="I243" s="3"/>
    </row>
    <row r="244" spans="7:9">
      <c r="G244" s="8"/>
      <c r="H244" s="7"/>
      <c r="I244" s="3"/>
    </row>
    <row r="245" spans="7:9">
      <c r="G245" s="8"/>
      <c r="H245" s="7"/>
      <c r="I245" s="3"/>
    </row>
    <row r="246" spans="7:9">
      <c r="G246" s="8"/>
      <c r="H246" s="7"/>
      <c r="I246" s="3"/>
    </row>
    <row r="247" spans="7:9">
      <c r="G247" s="8"/>
      <c r="H247" s="7"/>
      <c r="I247" s="3"/>
    </row>
    <row r="248" spans="7:9">
      <c r="G248" s="8"/>
      <c r="H248" s="7"/>
      <c r="I248" s="3"/>
    </row>
    <row r="249" spans="7:9">
      <c r="G249" s="8"/>
      <c r="H249" s="7"/>
      <c r="I249" s="3"/>
    </row>
    <row r="250" spans="7:9">
      <c r="G250" s="8"/>
      <c r="H250" s="7"/>
      <c r="I250" s="3"/>
    </row>
    <row r="251" spans="7:9">
      <c r="G251" s="8"/>
      <c r="H251" s="7"/>
      <c r="I251" s="3"/>
    </row>
    <row r="252" spans="7:9">
      <c r="G252" s="8"/>
      <c r="H252" s="7"/>
      <c r="I252" s="3"/>
    </row>
    <row r="253" spans="7:9">
      <c r="G253" s="8"/>
      <c r="H253" s="7"/>
      <c r="I253" s="3"/>
    </row>
    <row r="254" spans="7:9">
      <c r="G254" s="8"/>
      <c r="H254" s="7"/>
      <c r="I254" s="3"/>
    </row>
    <row r="255" spans="7:9">
      <c r="G255" s="8"/>
      <c r="H255" s="7"/>
      <c r="I255" s="3"/>
    </row>
    <row r="256" spans="7:9">
      <c r="G256" s="8"/>
      <c r="H256" s="7"/>
      <c r="I256" s="3"/>
    </row>
    <row r="257" spans="7:12">
      <c r="G257" s="8"/>
      <c r="H257" s="7"/>
      <c r="I257" s="3"/>
    </row>
    <row r="258" spans="7:12">
      <c r="G258" s="8"/>
      <c r="H258" s="7"/>
      <c r="I258" s="3"/>
    </row>
    <row r="259" spans="7:12">
      <c r="G259" s="8"/>
      <c r="H259" s="7"/>
      <c r="I259" s="3"/>
    </row>
    <row r="260" spans="7:12">
      <c r="G260" s="8"/>
      <c r="H260" s="7"/>
      <c r="I260" s="3"/>
    </row>
    <row r="261" spans="7:12">
      <c r="G261" s="8"/>
      <c r="H261" s="7"/>
      <c r="I261" s="3"/>
    </row>
    <row r="262" spans="7:12">
      <c r="G262" s="8"/>
      <c r="H262" s="7"/>
      <c r="I262" s="3"/>
    </row>
    <row r="263" spans="7:12">
      <c r="G263" s="8"/>
      <c r="H263" s="7"/>
      <c r="I263" s="3"/>
    </row>
    <row r="264" spans="7:12">
      <c r="G264" s="8"/>
      <c r="H264" s="7"/>
      <c r="I264" s="3"/>
    </row>
    <row r="265" spans="7:12">
      <c r="G265" s="8"/>
      <c r="H265" s="7"/>
      <c r="I265" s="3"/>
    </row>
    <row r="266" spans="7:12">
      <c r="G266" s="8"/>
      <c r="H266" s="7"/>
      <c r="I266" s="3"/>
    </row>
    <row r="267" spans="7:12">
      <c r="G267" s="8"/>
      <c r="H267" s="7"/>
      <c r="I267" s="3"/>
    </row>
    <row r="268" spans="7:12">
      <c r="G268" s="8"/>
      <c r="H268" s="7"/>
      <c r="I268" s="3"/>
    </row>
    <row r="269" spans="7:12">
      <c r="G269" s="8"/>
      <c r="H269" s="7"/>
      <c r="I269" s="3"/>
    </row>
    <row r="270" spans="7:12">
      <c r="G270" s="8"/>
      <c r="H270" s="7"/>
      <c r="I270" s="3"/>
    </row>
    <row r="271" spans="7:12">
      <c r="G271" s="3"/>
      <c r="L271" s="16"/>
    </row>
    <row r="272" spans="7:12">
      <c r="G272" s="3"/>
    </row>
    <row r="273" spans="7:7">
      <c r="G273"/>
    </row>
    <row r="274" spans="7:7">
      <c r="G274" s="3"/>
    </row>
    <row r="275" spans="7:7">
      <c r="G275" s="3"/>
    </row>
    <row r="276" spans="7:7">
      <c r="G276" s="3"/>
    </row>
    <row r="277" spans="7:7">
      <c r="G277"/>
    </row>
    <row r="278" spans="7:7">
      <c r="G278" s="3"/>
    </row>
    <row r="279" spans="7:7">
      <c r="G279" s="3"/>
    </row>
    <row r="280" spans="7:7">
      <c r="G280"/>
    </row>
    <row r="281" spans="7:7">
      <c r="G281" s="3"/>
    </row>
    <row r="282" spans="7:7">
      <c r="G282"/>
    </row>
    <row r="283" spans="7:7">
      <c r="G283"/>
    </row>
    <row r="284" spans="7:7">
      <c r="G284" s="3"/>
    </row>
    <row r="285" spans="7:7">
      <c r="G285"/>
    </row>
    <row r="286" spans="7:7">
      <c r="G286"/>
    </row>
    <row r="287" spans="7:7">
      <c r="G287"/>
    </row>
    <row r="288" spans="7:7">
      <c r="G288"/>
    </row>
    <row r="289" spans="7:7">
      <c r="G289" s="3"/>
    </row>
    <row r="290" spans="7:7">
      <c r="G290" s="3"/>
    </row>
    <row r="291" spans="7:7">
      <c r="G291"/>
    </row>
    <row r="292" spans="7:7">
      <c r="G292" s="3"/>
    </row>
    <row r="293" spans="7:7">
      <c r="G293"/>
    </row>
    <row r="294" spans="7:7">
      <c r="G294" s="3"/>
    </row>
    <row r="295" spans="7:7">
      <c r="G295" s="3"/>
    </row>
    <row r="296" spans="7:7">
      <c r="G296"/>
    </row>
    <row r="297" spans="7:7">
      <c r="G297" s="3"/>
    </row>
    <row r="298" spans="7:7">
      <c r="G298"/>
    </row>
    <row r="299" spans="7:7">
      <c r="G299" s="3"/>
    </row>
    <row r="300" spans="7:7">
      <c r="G300"/>
    </row>
    <row r="301" spans="7:7">
      <c r="G301"/>
    </row>
    <row r="302" spans="7:7">
      <c r="G302"/>
    </row>
    <row r="303" spans="7:7">
      <c r="G303" s="3"/>
    </row>
    <row r="304" spans="7:7">
      <c r="G304"/>
    </row>
    <row r="305" spans="7:7">
      <c r="G305"/>
    </row>
    <row r="306" spans="7:7">
      <c r="G306" s="3"/>
    </row>
    <row r="307" spans="7:7">
      <c r="G307" s="3"/>
    </row>
    <row r="308" spans="7:7">
      <c r="G308"/>
    </row>
    <row r="309" spans="7:7">
      <c r="G309" s="3"/>
    </row>
    <row r="310" spans="7:7">
      <c r="G310" s="3"/>
    </row>
    <row r="311" spans="7:7">
      <c r="G311"/>
    </row>
    <row r="312" spans="7:7">
      <c r="G312" s="3"/>
    </row>
    <row r="313" spans="7:7">
      <c r="G313" s="3"/>
    </row>
    <row r="314" spans="7:7">
      <c r="G314"/>
    </row>
    <row r="315" spans="7:7">
      <c r="G315" s="3"/>
    </row>
    <row r="316" spans="7:7">
      <c r="G316"/>
    </row>
    <row r="317" spans="7:7">
      <c r="G317" s="3"/>
    </row>
    <row r="318" spans="7:7">
      <c r="G318" s="3"/>
    </row>
    <row r="319" spans="7:7">
      <c r="G319" s="3"/>
    </row>
    <row r="320" spans="7:7">
      <c r="G320" s="3"/>
    </row>
    <row r="321" spans="7:7">
      <c r="G321" s="3"/>
    </row>
    <row r="322" spans="7:7">
      <c r="G322"/>
    </row>
    <row r="323" spans="7:7">
      <c r="G323"/>
    </row>
    <row r="324" spans="7:7">
      <c r="G324"/>
    </row>
    <row r="325" spans="7:7">
      <c r="G325" s="3"/>
    </row>
    <row r="326" spans="7:7">
      <c r="G326" s="3"/>
    </row>
    <row r="327" spans="7:7">
      <c r="G327" s="3"/>
    </row>
    <row r="328" spans="7:7">
      <c r="G328" s="3"/>
    </row>
    <row r="329" spans="7:7">
      <c r="G329" s="3"/>
    </row>
    <row r="330" spans="7:7">
      <c r="G330" s="3"/>
    </row>
    <row r="331" spans="7:7">
      <c r="G331"/>
    </row>
    <row r="332" spans="7:7">
      <c r="G332"/>
    </row>
    <row r="333" spans="7:7">
      <c r="G333" s="3"/>
    </row>
    <row r="334" spans="7:7">
      <c r="G334"/>
    </row>
    <row r="335" spans="7:7">
      <c r="G335" s="3"/>
    </row>
    <row r="336" spans="7:7">
      <c r="G336"/>
    </row>
    <row r="337" spans="7:7">
      <c r="G337"/>
    </row>
    <row r="338" spans="7:7">
      <c r="G338" s="3"/>
    </row>
    <row r="339" spans="7:7">
      <c r="G339"/>
    </row>
    <row r="340" spans="7:7">
      <c r="G340" s="3"/>
    </row>
    <row r="341" spans="7:7">
      <c r="G341" s="3"/>
    </row>
    <row r="342" spans="7:7">
      <c r="G342"/>
    </row>
    <row r="343" spans="7:7">
      <c r="G343"/>
    </row>
    <row r="344" spans="7:7">
      <c r="G344" s="3"/>
    </row>
    <row r="345" spans="7:7">
      <c r="G345"/>
    </row>
    <row r="346" spans="7:7">
      <c r="G346"/>
    </row>
    <row r="347" spans="7:7">
      <c r="G347"/>
    </row>
    <row r="348" spans="7:7">
      <c r="G348" s="2"/>
    </row>
    <row r="349" spans="7:7">
      <c r="G349" s="3"/>
    </row>
    <row r="350" spans="7:7">
      <c r="G350" s="3"/>
    </row>
    <row r="351" spans="7:7">
      <c r="G351"/>
    </row>
    <row r="352" spans="7:7">
      <c r="G352" s="3"/>
    </row>
    <row r="353" spans="7:7">
      <c r="G353" s="3"/>
    </row>
    <row r="354" spans="7:7">
      <c r="G354"/>
    </row>
    <row r="355" spans="7:7">
      <c r="G355"/>
    </row>
    <row r="356" spans="7:7">
      <c r="G356"/>
    </row>
    <row r="357" spans="7:7">
      <c r="G357"/>
    </row>
    <row r="358" spans="7:7">
      <c r="G358" s="3"/>
    </row>
    <row r="359" spans="7:7">
      <c r="G359" s="3"/>
    </row>
    <row r="360" spans="7:7">
      <c r="G360" s="3"/>
    </row>
    <row r="361" spans="7:7">
      <c r="G361" s="3"/>
    </row>
    <row r="362" spans="7:7">
      <c r="G362"/>
    </row>
    <row r="363" spans="7:7">
      <c r="G363" s="3"/>
    </row>
    <row r="364" spans="7:7">
      <c r="G364" s="3"/>
    </row>
    <row r="365" spans="7:7">
      <c r="G365" s="3"/>
    </row>
    <row r="366" spans="7:7">
      <c r="G366"/>
    </row>
    <row r="367" spans="7:7">
      <c r="G367"/>
    </row>
    <row r="368" spans="7:7">
      <c r="G368"/>
    </row>
    <row r="369" spans="7:7">
      <c r="G369"/>
    </row>
    <row r="370" spans="7:7">
      <c r="G370"/>
    </row>
    <row r="371" spans="7:7">
      <c r="G371"/>
    </row>
    <row r="372" spans="7:7">
      <c r="G372"/>
    </row>
    <row r="373" spans="7:7">
      <c r="G373"/>
    </row>
    <row r="374" spans="7:7">
      <c r="G374"/>
    </row>
    <row r="375" spans="7:7">
      <c r="G375"/>
    </row>
    <row r="376" spans="7:7">
      <c r="G376"/>
    </row>
    <row r="377" spans="7:7">
      <c r="G377" s="3"/>
    </row>
    <row r="378" spans="7:7">
      <c r="G378"/>
    </row>
    <row r="379" spans="7:7">
      <c r="G379" s="3"/>
    </row>
    <row r="380" spans="7:7">
      <c r="G380" s="3"/>
    </row>
    <row r="381" spans="7:7">
      <c r="G381" s="3"/>
    </row>
    <row r="382" spans="7:7">
      <c r="G382"/>
    </row>
    <row r="383" spans="7:7">
      <c r="G383"/>
    </row>
    <row r="384" spans="7:7">
      <c r="G384"/>
    </row>
    <row r="385" spans="7:10">
      <c r="G385" s="3"/>
    </row>
    <row r="386" spans="7:10">
      <c r="G386" s="3"/>
    </row>
    <row r="387" spans="7:10">
      <c r="G387"/>
    </row>
    <row r="388" spans="7:10">
      <c r="G388" s="3"/>
    </row>
    <row r="389" spans="7:10">
      <c r="G389" s="3"/>
    </row>
    <row r="390" spans="7:10">
      <c r="G390"/>
    </row>
    <row r="391" spans="7:10">
      <c r="G391" s="3"/>
    </row>
    <row r="392" spans="7:10">
      <c r="G392"/>
      <c r="H392"/>
      <c r="I392"/>
      <c r="J392"/>
    </row>
    <row r="393" spans="7:10">
      <c r="G393"/>
      <c r="H393"/>
      <c r="I393"/>
      <c r="J393"/>
    </row>
    <row r="394" spans="7:10">
      <c r="G394"/>
      <c r="H394"/>
      <c r="I394"/>
      <c r="J394"/>
    </row>
    <row r="395" spans="7:10">
      <c r="G395"/>
      <c r="H395"/>
      <c r="I395"/>
      <c r="J395"/>
    </row>
    <row r="396" spans="7:10">
      <c r="G396"/>
      <c r="H396"/>
      <c r="I396"/>
      <c r="J396"/>
    </row>
  </sheetData>
  <sortState ref="F2:M76">
    <sortCondition ref="H2:H76"/>
    <sortCondition ref="M2:M76"/>
  </sortState>
  <dataConsolidate/>
  <conditionalFormatting sqref="D2:D101">
    <cfRule type="duplicateValues" dxfId="230" priority="14"/>
  </conditionalFormatting>
  <conditionalFormatting sqref="D102:D201">
    <cfRule type="duplicateValues" dxfId="229" priority="13"/>
  </conditionalFormatting>
  <conditionalFormatting sqref="J298:J391">
    <cfRule type="cellIs" dxfId="228" priority="12" operator="lessThan">
      <formula>0</formula>
    </cfRule>
  </conditionalFormatting>
  <conditionalFormatting sqref="J271:J391">
    <cfRule type="duplicateValues" dxfId="227" priority="15"/>
  </conditionalFormatting>
  <conditionalFormatting sqref="S102:S195">
    <cfRule type="cellIs" dxfId="226" priority="10" operator="lessThan">
      <formula>0</formula>
    </cfRule>
  </conditionalFormatting>
  <conditionalFormatting sqref="S2:S11 S13:S195">
    <cfRule type="duplicateValues" dxfId="225" priority="11"/>
  </conditionalFormatting>
  <conditionalFormatting sqref="S12">
    <cfRule type="duplicateValues" dxfId="224" priority="9"/>
  </conditionalFormatting>
  <conditionalFormatting sqref="I191:I270">
    <cfRule type="duplicateValues" dxfId="223" priority="8"/>
  </conditionalFormatting>
  <conditionalFormatting sqref="I77:I190">
    <cfRule type="duplicateValues" dxfId="222" priority="7"/>
  </conditionalFormatting>
  <conditionalFormatting sqref="J78:J190">
    <cfRule type="duplicateValues" dxfId="221" priority="6"/>
  </conditionalFormatting>
  <conditionalFormatting sqref="J77 J192:J270">
    <cfRule type="duplicateValues" dxfId="220" priority="16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C1:X396"/>
  <sheetViews>
    <sheetView topLeftCell="N1" zoomScale="80" zoomScaleNormal="80" zoomScalePageLayoutView="80" workbookViewId="0">
      <selection activeCell="AE2" sqref="AE2"/>
    </sheetView>
  </sheetViews>
  <sheetFormatPr baseColWidth="10" defaultColWidth="11" defaultRowHeight="15" x14ac:dyDescent="0"/>
  <cols>
    <col min="3" max="3" width="16.1640625" bestFit="1" customWidth="1"/>
    <col min="5" max="5" width="7.5" customWidth="1"/>
    <col min="6" max="6" width="11" style="12"/>
    <col min="7" max="7" width="18.1640625" style="4" bestFit="1" customWidth="1"/>
    <col min="8" max="8" width="8.6640625" style="4" customWidth="1"/>
    <col min="9" max="9" width="18.5" style="9" bestFit="1" customWidth="1"/>
    <col min="10" max="10" width="11" style="8"/>
    <col min="11" max="11" width="8.5" style="4" bestFit="1" customWidth="1"/>
    <col min="12" max="12" width="4.5" style="4" customWidth="1"/>
    <col min="13" max="13" width="13.33203125" style="4" customWidth="1"/>
    <col min="14" max="14" width="18.1640625" bestFit="1" customWidth="1"/>
    <col min="19" max="19" width="14" style="2" customWidth="1"/>
    <col min="20" max="22" width="5.6640625" customWidth="1"/>
    <col min="23" max="23" width="16.1640625" bestFit="1" customWidth="1"/>
  </cols>
  <sheetData>
    <row r="1" spans="3:20" s="18" customFormat="1" ht="20">
      <c r="G1" s="19" t="s">
        <v>329</v>
      </c>
      <c r="H1" s="19" t="s">
        <v>334</v>
      </c>
      <c r="I1" s="20" t="s">
        <v>333</v>
      </c>
      <c r="J1" s="21" t="s">
        <v>332</v>
      </c>
      <c r="K1" s="19" t="s">
        <v>331</v>
      </c>
      <c r="L1" s="19" t="s">
        <v>1867</v>
      </c>
      <c r="M1" s="19" t="s">
        <v>1863</v>
      </c>
      <c r="N1" s="18" t="s">
        <v>329</v>
      </c>
      <c r="O1" s="18" t="s">
        <v>330</v>
      </c>
      <c r="S1" s="22"/>
    </row>
    <row r="2" spans="3:20">
      <c r="C2" s="3"/>
      <c r="F2" s="12">
        <v>11</v>
      </c>
      <c r="G2" s="5" t="s">
        <v>319</v>
      </c>
      <c r="H2" s="7">
        <f t="shared" ref="H2:H33" si="0">LOOKUP(G2,$N$2:$N$17,$O$2:$O$17)</f>
        <v>1</v>
      </c>
      <c r="I2" s="47">
        <v>40960.810416666667</v>
      </c>
      <c r="J2" s="10" t="s">
        <v>1007</v>
      </c>
      <c r="K2" s="4">
        <f t="shared" ref="K2:K33" si="1">IF(Q2&gt;Q1,1,K1+1)</f>
        <v>1</v>
      </c>
      <c r="L2" s="4">
        <v>2</v>
      </c>
      <c r="M2" s="4">
        <v>1</v>
      </c>
      <c r="N2" s="5" t="s">
        <v>319</v>
      </c>
      <c r="O2">
        <v>1</v>
      </c>
      <c r="Q2">
        <v>1</v>
      </c>
      <c r="S2" s="8"/>
      <c r="T2" s="10"/>
    </row>
    <row r="3" spans="3:20">
      <c r="C3" s="3"/>
      <c r="F3" s="12">
        <v>7</v>
      </c>
      <c r="G3" s="5" t="s">
        <v>293</v>
      </c>
      <c r="H3" s="7">
        <f t="shared" si="0"/>
        <v>2</v>
      </c>
      <c r="I3" s="47">
        <v>40957.943055555559</v>
      </c>
      <c r="J3" s="10" t="s">
        <v>655</v>
      </c>
      <c r="K3" s="4">
        <f t="shared" si="1"/>
        <v>1</v>
      </c>
      <c r="L3" s="4">
        <v>5</v>
      </c>
      <c r="M3" s="4">
        <v>1</v>
      </c>
      <c r="N3" s="5" t="s">
        <v>293</v>
      </c>
      <c r="O3">
        <v>2</v>
      </c>
      <c r="Q3">
        <v>2</v>
      </c>
      <c r="S3" s="8"/>
      <c r="T3" s="10"/>
    </row>
    <row r="4" spans="3:20">
      <c r="C4" s="3"/>
      <c r="F4" s="12">
        <v>22</v>
      </c>
      <c r="G4" s="6" t="s">
        <v>293</v>
      </c>
      <c r="H4" s="7">
        <f t="shared" si="0"/>
        <v>2</v>
      </c>
      <c r="I4" s="50">
        <v>40957.664583333331</v>
      </c>
      <c r="J4" s="10" t="s">
        <v>1388</v>
      </c>
      <c r="K4" s="4">
        <f t="shared" si="1"/>
        <v>2</v>
      </c>
      <c r="L4" s="4">
        <v>6</v>
      </c>
      <c r="M4" s="4">
        <v>2</v>
      </c>
      <c r="N4" s="5" t="s">
        <v>708</v>
      </c>
      <c r="O4">
        <v>3</v>
      </c>
      <c r="Q4">
        <v>2</v>
      </c>
      <c r="S4" s="8"/>
      <c r="T4" s="10"/>
    </row>
    <row r="5" spans="3:20">
      <c r="C5" s="3"/>
      <c r="F5" s="12">
        <v>5</v>
      </c>
      <c r="G5" s="5" t="s">
        <v>708</v>
      </c>
      <c r="H5" s="7">
        <f t="shared" si="0"/>
        <v>3</v>
      </c>
      <c r="I5" s="47">
        <v>40949.40902777778</v>
      </c>
      <c r="J5" s="10" t="s">
        <v>709</v>
      </c>
      <c r="K5" s="4">
        <f t="shared" si="1"/>
        <v>1</v>
      </c>
      <c r="L5" s="4">
        <v>3</v>
      </c>
      <c r="M5" s="4">
        <v>1</v>
      </c>
      <c r="N5" s="6" t="s">
        <v>294</v>
      </c>
      <c r="O5">
        <v>4</v>
      </c>
      <c r="Q5">
        <v>3</v>
      </c>
      <c r="S5" s="8"/>
      <c r="T5" s="10"/>
    </row>
    <row r="6" spans="3:20">
      <c r="C6" s="3"/>
      <c r="F6" s="12">
        <v>28</v>
      </c>
      <c r="G6" s="6" t="s">
        <v>294</v>
      </c>
      <c r="H6" s="7">
        <f t="shared" si="0"/>
        <v>4</v>
      </c>
      <c r="I6" s="50">
        <v>40962.061111111114</v>
      </c>
      <c r="J6" s="10" t="s">
        <v>1535</v>
      </c>
      <c r="K6" s="4">
        <f t="shared" si="1"/>
        <v>1</v>
      </c>
      <c r="L6" s="4">
        <v>2</v>
      </c>
      <c r="M6" s="4">
        <v>1</v>
      </c>
      <c r="N6" s="6" t="s">
        <v>1402</v>
      </c>
      <c r="O6">
        <v>5</v>
      </c>
      <c r="Q6">
        <v>4</v>
      </c>
      <c r="S6" s="8"/>
      <c r="T6" s="10"/>
    </row>
    <row r="7" spans="3:20">
      <c r="C7" s="3"/>
      <c r="F7" s="12">
        <v>26</v>
      </c>
      <c r="G7" s="6" t="s">
        <v>1402</v>
      </c>
      <c r="H7" s="7">
        <f t="shared" si="0"/>
        <v>5</v>
      </c>
      <c r="I7" s="50">
        <v>40960.944444444445</v>
      </c>
      <c r="J7" s="10" t="s">
        <v>1401</v>
      </c>
      <c r="K7" s="4">
        <f t="shared" si="1"/>
        <v>1</v>
      </c>
      <c r="L7" s="4">
        <v>2</v>
      </c>
      <c r="M7" s="4">
        <v>1</v>
      </c>
      <c r="N7" s="5" t="s">
        <v>314</v>
      </c>
      <c r="O7">
        <v>6</v>
      </c>
      <c r="Q7">
        <v>5</v>
      </c>
      <c r="S7" s="8"/>
      <c r="T7" s="10"/>
    </row>
    <row r="8" spans="3:20">
      <c r="C8" s="3"/>
      <c r="F8" s="12">
        <v>10</v>
      </c>
      <c r="G8" s="5" t="s">
        <v>314</v>
      </c>
      <c r="H8" s="7">
        <f t="shared" si="0"/>
        <v>6</v>
      </c>
      <c r="I8" s="47">
        <v>40960.771527777775</v>
      </c>
      <c r="J8" s="10" t="s">
        <v>1400</v>
      </c>
      <c r="K8" s="4">
        <f t="shared" si="1"/>
        <v>1</v>
      </c>
      <c r="L8" s="4">
        <v>2</v>
      </c>
      <c r="M8" s="4">
        <v>1</v>
      </c>
      <c r="N8" s="6" t="s">
        <v>943</v>
      </c>
      <c r="O8">
        <v>7</v>
      </c>
      <c r="Q8">
        <v>6</v>
      </c>
      <c r="S8" s="8"/>
      <c r="T8" s="10"/>
    </row>
    <row r="9" spans="3:20">
      <c r="C9" s="3"/>
      <c r="F9" s="12">
        <v>12</v>
      </c>
      <c r="G9" s="5" t="s">
        <v>314</v>
      </c>
      <c r="H9" s="7">
        <f t="shared" si="0"/>
        <v>6</v>
      </c>
      <c r="I9" s="47">
        <v>40961.787499999999</v>
      </c>
      <c r="J9" s="10" t="s">
        <v>1534</v>
      </c>
      <c r="K9" s="4">
        <f t="shared" si="1"/>
        <v>2</v>
      </c>
      <c r="L9" s="4">
        <v>2</v>
      </c>
      <c r="M9" s="4">
        <v>2</v>
      </c>
      <c r="N9" s="5" t="s">
        <v>336</v>
      </c>
      <c r="O9">
        <v>8</v>
      </c>
      <c r="Q9">
        <v>6</v>
      </c>
      <c r="S9" s="8"/>
      <c r="T9" s="10"/>
    </row>
    <row r="10" spans="3:20">
      <c r="C10" s="3"/>
      <c r="D10" s="1"/>
      <c r="F10" s="12">
        <v>25</v>
      </c>
      <c r="G10" s="5" t="s">
        <v>314</v>
      </c>
      <c r="H10" s="7">
        <f t="shared" si="0"/>
        <v>6</v>
      </c>
      <c r="I10" s="50">
        <v>40959.827777777777</v>
      </c>
      <c r="J10" s="10" t="s">
        <v>421</v>
      </c>
      <c r="K10" s="4">
        <f t="shared" si="1"/>
        <v>3</v>
      </c>
      <c r="L10" s="4">
        <v>3</v>
      </c>
      <c r="M10" s="4">
        <v>3</v>
      </c>
      <c r="N10" s="6" t="s">
        <v>288</v>
      </c>
      <c r="O10">
        <v>9</v>
      </c>
      <c r="Q10">
        <v>6</v>
      </c>
      <c r="S10" s="8"/>
      <c r="T10" s="10"/>
    </row>
    <row r="11" spans="3:20">
      <c r="C11" s="3"/>
      <c r="F11" s="12">
        <v>24</v>
      </c>
      <c r="G11" s="6" t="s">
        <v>943</v>
      </c>
      <c r="H11" s="7">
        <f t="shared" si="0"/>
        <v>7</v>
      </c>
      <c r="I11" s="50">
        <v>40959.738194444442</v>
      </c>
      <c r="J11" s="10" t="s">
        <v>942</v>
      </c>
      <c r="K11" s="4">
        <f t="shared" si="1"/>
        <v>1</v>
      </c>
      <c r="L11" s="4">
        <v>4</v>
      </c>
      <c r="M11" s="4">
        <v>1</v>
      </c>
      <c r="N11" s="6" t="s">
        <v>304</v>
      </c>
      <c r="O11">
        <v>10</v>
      </c>
      <c r="Q11">
        <v>7</v>
      </c>
      <c r="S11" s="8"/>
    </row>
    <row r="12" spans="3:20">
      <c r="C12" s="3"/>
      <c r="F12" s="12">
        <v>19</v>
      </c>
      <c r="G12" s="5" t="s">
        <v>336</v>
      </c>
      <c r="H12" s="7">
        <f t="shared" si="0"/>
        <v>8</v>
      </c>
      <c r="I12" s="50">
        <v>40952.481249999997</v>
      </c>
      <c r="J12" s="10" t="s">
        <v>364</v>
      </c>
      <c r="K12" s="4">
        <f t="shared" si="1"/>
        <v>1</v>
      </c>
      <c r="L12" s="4">
        <v>2</v>
      </c>
      <c r="M12" s="4">
        <v>1</v>
      </c>
      <c r="N12" s="5" t="s">
        <v>300</v>
      </c>
      <c r="O12">
        <v>11</v>
      </c>
      <c r="Q12">
        <v>8</v>
      </c>
      <c r="S12" s="8"/>
    </row>
    <row r="13" spans="3:20">
      <c r="C13" s="3"/>
      <c r="F13" s="12">
        <v>32</v>
      </c>
      <c r="G13" s="5" t="s">
        <v>336</v>
      </c>
      <c r="H13" s="7">
        <f t="shared" si="0"/>
        <v>8</v>
      </c>
      <c r="I13" s="50">
        <v>40968.780555555553</v>
      </c>
      <c r="J13" s="10" t="s">
        <v>237</v>
      </c>
      <c r="K13" s="4">
        <f t="shared" si="1"/>
        <v>2</v>
      </c>
      <c r="L13" s="4">
        <v>4</v>
      </c>
      <c r="M13" s="4">
        <v>2</v>
      </c>
      <c r="N13" s="5" t="s">
        <v>289</v>
      </c>
      <c r="O13">
        <v>12</v>
      </c>
      <c r="Q13">
        <v>8</v>
      </c>
      <c r="S13" s="8"/>
    </row>
    <row r="14" spans="3:20">
      <c r="C14" s="3"/>
      <c r="D14" s="1"/>
      <c r="F14" s="12">
        <v>3</v>
      </c>
      <c r="G14" s="6" t="s">
        <v>288</v>
      </c>
      <c r="H14" s="7">
        <f t="shared" si="0"/>
        <v>9</v>
      </c>
      <c r="I14" s="47">
        <v>40952.4375</v>
      </c>
      <c r="J14" s="10" t="s">
        <v>363</v>
      </c>
      <c r="K14" s="4">
        <f t="shared" si="1"/>
        <v>1</v>
      </c>
      <c r="L14" s="4">
        <v>2</v>
      </c>
      <c r="M14" s="4">
        <v>1</v>
      </c>
      <c r="N14" s="5" t="s">
        <v>308</v>
      </c>
      <c r="O14">
        <v>13</v>
      </c>
      <c r="Q14">
        <v>9</v>
      </c>
      <c r="S14" s="8"/>
      <c r="T14" s="10"/>
    </row>
    <row r="15" spans="3:20">
      <c r="C15" s="3"/>
      <c r="F15" s="12">
        <v>4</v>
      </c>
      <c r="G15" s="5" t="s">
        <v>288</v>
      </c>
      <c r="H15" s="7">
        <f t="shared" si="0"/>
        <v>9</v>
      </c>
      <c r="I15" s="47">
        <v>40955.412499999999</v>
      </c>
      <c r="J15" s="10" t="s">
        <v>782</v>
      </c>
      <c r="K15" s="4">
        <f t="shared" si="1"/>
        <v>2</v>
      </c>
      <c r="L15" s="4">
        <v>8</v>
      </c>
      <c r="M15" s="4">
        <v>2</v>
      </c>
      <c r="N15" s="5" t="s">
        <v>457</v>
      </c>
      <c r="O15">
        <v>14</v>
      </c>
      <c r="Q15">
        <v>9</v>
      </c>
      <c r="S15" s="8"/>
      <c r="T15" s="10"/>
    </row>
    <row r="16" spans="3:20">
      <c r="C16" s="3"/>
      <c r="F16" s="12">
        <v>16</v>
      </c>
      <c r="G16" s="5" t="s">
        <v>288</v>
      </c>
      <c r="H16" s="7">
        <f t="shared" si="0"/>
        <v>9</v>
      </c>
      <c r="I16" s="47">
        <v>40968.638888888891</v>
      </c>
      <c r="J16" s="10" t="s">
        <v>236</v>
      </c>
      <c r="K16" s="4">
        <f t="shared" si="1"/>
        <v>3</v>
      </c>
      <c r="L16" s="4">
        <v>3</v>
      </c>
      <c r="M16" s="4">
        <v>3</v>
      </c>
      <c r="N16" s="5" t="s">
        <v>312</v>
      </c>
      <c r="O16">
        <v>15</v>
      </c>
      <c r="Q16">
        <v>9</v>
      </c>
      <c r="S16" s="8"/>
      <c r="T16" s="10"/>
    </row>
    <row r="17" spans="3:24">
      <c r="C17" s="3"/>
      <c r="F17" s="12">
        <v>17</v>
      </c>
      <c r="G17" s="6" t="s">
        <v>288</v>
      </c>
      <c r="H17" s="7">
        <f t="shared" si="0"/>
        <v>9</v>
      </c>
      <c r="I17" s="50">
        <v>40945.615972222222</v>
      </c>
      <c r="J17" s="10" t="s">
        <v>1916</v>
      </c>
      <c r="K17" s="4">
        <f t="shared" si="1"/>
        <v>4</v>
      </c>
      <c r="L17" s="4">
        <v>2</v>
      </c>
      <c r="M17" s="4">
        <v>4</v>
      </c>
      <c r="N17" s="5" t="s">
        <v>291</v>
      </c>
      <c r="O17">
        <v>16</v>
      </c>
      <c r="Q17">
        <v>9</v>
      </c>
      <c r="S17" s="8"/>
      <c r="T17" s="10"/>
    </row>
    <row r="18" spans="3:24">
      <c r="C18" s="3"/>
      <c r="F18" s="12">
        <v>18</v>
      </c>
      <c r="G18" s="6" t="s">
        <v>288</v>
      </c>
      <c r="H18" s="7">
        <f t="shared" si="0"/>
        <v>9</v>
      </c>
      <c r="I18" s="50">
        <v>40947.335416666669</v>
      </c>
      <c r="J18" s="10" t="s">
        <v>819</v>
      </c>
      <c r="K18" s="4">
        <f t="shared" si="1"/>
        <v>5</v>
      </c>
      <c r="L18" s="4">
        <v>2</v>
      </c>
      <c r="M18" s="4">
        <v>5</v>
      </c>
      <c r="Q18">
        <v>9</v>
      </c>
      <c r="S18" s="8"/>
      <c r="T18" s="10"/>
    </row>
    <row r="19" spans="3:24">
      <c r="C19" s="3"/>
      <c r="D19" s="1"/>
      <c r="F19" s="12">
        <v>23</v>
      </c>
      <c r="G19" s="6" t="s">
        <v>288</v>
      </c>
      <c r="H19" s="7">
        <f t="shared" si="0"/>
        <v>9</v>
      </c>
      <c r="I19" s="50">
        <v>40958.42291666667</v>
      </c>
      <c r="J19" s="10" t="s">
        <v>656</v>
      </c>
      <c r="K19" s="4">
        <f t="shared" si="1"/>
        <v>6</v>
      </c>
      <c r="L19" s="4">
        <v>5</v>
      </c>
      <c r="M19" s="4">
        <v>6</v>
      </c>
      <c r="Q19">
        <v>9</v>
      </c>
      <c r="S19" s="8"/>
      <c r="T19" s="10"/>
      <c r="W19" s="12">
        <f>T38/S37</f>
        <v>2</v>
      </c>
      <c r="X19" t="s">
        <v>1865</v>
      </c>
    </row>
    <row r="20" spans="3:24">
      <c r="C20" s="3"/>
      <c r="F20" s="12">
        <v>30</v>
      </c>
      <c r="G20" s="6" t="s">
        <v>288</v>
      </c>
      <c r="H20" s="7">
        <f t="shared" si="0"/>
        <v>9</v>
      </c>
      <c r="I20" s="50">
        <v>40966.38958333333</v>
      </c>
      <c r="J20" s="10" t="s">
        <v>44</v>
      </c>
      <c r="K20" s="4">
        <f t="shared" si="1"/>
        <v>7</v>
      </c>
      <c r="L20" s="4">
        <v>2</v>
      </c>
      <c r="M20" s="4">
        <v>7</v>
      </c>
      <c r="Q20">
        <v>9</v>
      </c>
      <c r="S20" s="25" t="s">
        <v>1872</v>
      </c>
    </row>
    <row r="21" spans="3:24">
      <c r="C21" s="3"/>
      <c r="F21" s="12">
        <v>31</v>
      </c>
      <c r="G21" s="6" t="s">
        <v>288</v>
      </c>
      <c r="H21" s="7">
        <f t="shared" si="0"/>
        <v>9</v>
      </c>
      <c r="I21" s="50">
        <v>40967.851388888892</v>
      </c>
      <c r="J21" s="10" t="s">
        <v>11</v>
      </c>
      <c r="K21" s="4">
        <f t="shared" si="1"/>
        <v>8</v>
      </c>
      <c r="L21" s="4">
        <v>4</v>
      </c>
      <c r="M21" s="4">
        <v>8</v>
      </c>
      <c r="Q21">
        <v>9</v>
      </c>
      <c r="S21" s="25" t="s">
        <v>1870</v>
      </c>
      <c r="T21" t="s">
        <v>1869</v>
      </c>
    </row>
    <row r="22" spans="3:24">
      <c r="C22" s="3"/>
      <c r="F22" s="12">
        <v>20</v>
      </c>
      <c r="G22" s="6" t="s">
        <v>304</v>
      </c>
      <c r="H22" s="7">
        <f t="shared" si="0"/>
        <v>10</v>
      </c>
      <c r="I22" s="50">
        <v>40955.561111111114</v>
      </c>
      <c r="J22" s="10" t="s">
        <v>783</v>
      </c>
      <c r="K22" s="4">
        <f t="shared" si="1"/>
        <v>1</v>
      </c>
      <c r="L22" s="4">
        <v>5</v>
      </c>
      <c r="M22" s="4">
        <v>1</v>
      </c>
      <c r="Q22">
        <v>10</v>
      </c>
      <c r="S22" s="26">
        <v>1</v>
      </c>
      <c r="T22" s="4">
        <v>1</v>
      </c>
    </row>
    <row r="23" spans="3:24">
      <c r="C23" s="3"/>
      <c r="F23" s="12">
        <v>6</v>
      </c>
      <c r="G23" s="5" t="s">
        <v>300</v>
      </c>
      <c r="H23" s="7">
        <f t="shared" si="0"/>
        <v>11</v>
      </c>
      <c r="I23" s="47">
        <v>40956.576388888891</v>
      </c>
      <c r="J23" s="10" t="s">
        <v>1387</v>
      </c>
      <c r="K23" s="4">
        <f t="shared" si="1"/>
        <v>1</v>
      </c>
      <c r="L23" s="4">
        <v>2</v>
      </c>
      <c r="M23" s="4">
        <v>1</v>
      </c>
      <c r="Q23">
        <v>11</v>
      </c>
      <c r="S23" s="26">
        <v>2</v>
      </c>
      <c r="T23" s="4">
        <v>2</v>
      </c>
    </row>
    <row r="24" spans="3:24">
      <c r="C24" s="3"/>
      <c r="F24" s="12">
        <v>9</v>
      </c>
      <c r="G24" s="5" t="s">
        <v>300</v>
      </c>
      <c r="H24" s="7">
        <f t="shared" si="0"/>
        <v>11</v>
      </c>
      <c r="I24" s="47">
        <v>40959.744444444441</v>
      </c>
      <c r="J24" s="10" t="s">
        <v>420</v>
      </c>
      <c r="K24" s="4">
        <f t="shared" si="1"/>
        <v>2</v>
      </c>
      <c r="L24" s="4">
        <v>2</v>
      </c>
      <c r="M24" s="4">
        <v>2</v>
      </c>
      <c r="Q24">
        <v>11</v>
      </c>
      <c r="S24" s="26">
        <v>3</v>
      </c>
      <c r="T24" s="4">
        <v>1</v>
      </c>
    </row>
    <row r="25" spans="3:24">
      <c r="C25" s="3"/>
      <c r="F25" s="12">
        <v>14</v>
      </c>
      <c r="G25" s="5" t="s">
        <v>300</v>
      </c>
      <c r="H25" s="7">
        <f t="shared" si="0"/>
        <v>11</v>
      </c>
      <c r="I25" s="47">
        <v>40965.975694444445</v>
      </c>
      <c r="J25" s="10" t="s">
        <v>43</v>
      </c>
      <c r="K25" s="4">
        <f t="shared" si="1"/>
        <v>3</v>
      </c>
      <c r="L25" s="4">
        <v>2</v>
      </c>
      <c r="M25" s="4">
        <v>3</v>
      </c>
      <c r="Q25">
        <v>11</v>
      </c>
      <c r="S25" s="26">
        <v>4</v>
      </c>
      <c r="T25" s="4">
        <v>1</v>
      </c>
    </row>
    <row r="26" spans="3:24">
      <c r="C26" s="3"/>
      <c r="F26" s="12">
        <v>27</v>
      </c>
      <c r="G26" s="6" t="s">
        <v>300</v>
      </c>
      <c r="H26" s="7">
        <f t="shared" si="0"/>
        <v>11</v>
      </c>
      <c r="I26" s="50">
        <v>40961.378472222219</v>
      </c>
      <c r="J26" s="10" t="s">
        <v>1008</v>
      </c>
      <c r="K26" s="4">
        <f t="shared" si="1"/>
        <v>4</v>
      </c>
      <c r="L26" s="4">
        <v>2</v>
      </c>
      <c r="M26" s="4">
        <v>4</v>
      </c>
      <c r="Q26">
        <v>11</v>
      </c>
      <c r="S26" s="26">
        <v>5</v>
      </c>
      <c r="T26" s="4">
        <v>1</v>
      </c>
    </row>
    <row r="27" spans="3:24">
      <c r="C27" s="3"/>
      <c r="F27" s="12">
        <v>2</v>
      </c>
      <c r="G27" s="5" t="s">
        <v>289</v>
      </c>
      <c r="H27" s="7">
        <f t="shared" si="0"/>
        <v>12</v>
      </c>
      <c r="I27" s="47">
        <v>40946.012499999997</v>
      </c>
      <c r="J27" s="10" t="s">
        <v>818</v>
      </c>
      <c r="K27" s="4">
        <f t="shared" si="1"/>
        <v>1</v>
      </c>
      <c r="L27" s="4">
        <v>2</v>
      </c>
      <c r="M27" s="4">
        <v>1</v>
      </c>
      <c r="Q27">
        <v>12</v>
      </c>
      <c r="S27" s="26">
        <v>6</v>
      </c>
      <c r="T27" s="4">
        <v>3</v>
      </c>
    </row>
    <row r="28" spans="3:24">
      <c r="C28" s="3"/>
      <c r="F28" s="12">
        <v>29</v>
      </c>
      <c r="G28" s="5" t="s">
        <v>308</v>
      </c>
      <c r="H28" s="7">
        <f t="shared" si="0"/>
        <v>13</v>
      </c>
      <c r="I28" s="50">
        <v>40963.697222222225</v>
      </c>
      <c r="J28" s="10" t="s">
        <v>392</v>
      </c>
      <c r="K28" s="4">
        <f t="shared" si="1"/>
        <v>1</v>
      </c>
      <c r="L28" s="4">
        <v>2</v>
      </c>
      <c r="M28" s="4">
        <v>1</v>
      </c>
      <c r="Q28">
        <v>13</v>
      </c>
      <c r="S28" s="26">
        <v>7</v>
      </c>
      <c r="T28" s="4">
        <v>1</v>
      </c>
    </row>
    <row r="29" spans="3:24">
      <c r="C29" s="3"/>
      <c r="F29" s="12">
        <v>1</v>
      </c>
      <c r="G29" s="5" t="s">
        <v>457</v>
      </c>
      <c r="H29" s="7">
        <f t="shared" si="0"/>
        <v>14</v>
      </c>
      <c r="I29" s="47">
        <v>40915.584027777775</v>
      </c>
      <c r="J29" s="10" t="s">
        <v>1493</v>
      </c>
      <c r="K29" s="4">
        <f t="shared" si="1"/>
        <v>1</v>
      </c>
      <c r="L29" s="4">
        <v>2</v>
      </c>
      <c r="M29" s="4">
        <v>1</v>
      </c>
      <c r="Q29">
        <v>14</v>
      </c>
      <c r="S29" s="26">
        <v>8</v>
      </c>
      <c r="T29" s="4">
        <v>2</v>
      </c>
    </row>
    <row r="30" spans="3:24">
      <c r="C30" s="3"/>
      <c r="F30" s="12">
        <v>8</v>
      </c>
      <c r="G30" s="5" t="s">
        <v>312</v>
      </c>
      <c r="H30" s="7">
        <f t="shared" si="0"/>
        <v>15</v>
      </c>
      <c r="I30" s="47">
        <v>40959.313888888886</v>
      </c>
      <c r="J30" s="10" t="s">
        <v>1917</v>
      </c>
      <c r="K30" s="4">
        <f t="shared" si="1"/>
        <v>1</v>
      </c>
      <c r="L30" s="4">
        <v>5</v>
      </c>
      <c r="M30" s="4">
        <v>1</v>
      </c>
      <c r="Q30">
        <v>15</v>
      </c>
      <c r="S30" s="26">
        <v>9</v>
      </c>
      <c r="T30" s="4">
        <v>8</v>
      </c>
    </row>
    <row r="31" spans="3:24">
      <c r="C31" s="3"/>
      <c r="F31" s="12">
        <v>13</v>
      </c>
      <c r="G31" s="5" t="s">
        <v>312</v>
      </c>
      <c r="H31" s="7">
        <f t="shared" si="0"/>
        <v>15</v>
      </c>
      <c r="I31" s="47">
        <v>40962.070138888892</v>
      </c>
      <c r="J31" s="10" t="s">
        <v>391</v>
      </c>
      <c r="K31" s="4">
        <f t="shared" si="1"/>
        <v>2</v>
      </c>
      <c r="L31" s="4">
        <v>2</v>
      </c>
      <c r="M31" s="4">
        <v>2</v>
      </c>
      <c r="Q31">
        <v>15</v>
      </c>
      <c r="S31" s="26">
        <v>10</v>
      </c>
      <c r="T31" s="4">
        <v>1</v>
      </c>
    </row>
    <row r="32" spans="3:24">
      <c r="C32" s="3"/>
      <c r="F32" s="12">
        <v>15</v>
      </c>
      <c r="G32" s="5" t="s">
        <v>291</v>
      </c>
      <c r="H32" s="7">
        <f t="shared" si="0"/>
        <v>16</v>
      </c>
      <c r="I32" s="47">
        <v>40967.455555555556</v>
      </c>
      <c r="J32" s="10" t="s">
        <v>10</v>
      </c>
      <c r="K32" s="4">
        <f t="shared" si="1"/>
        <v>1</v>
      </c>
      <c r="L32" s="4">
        <v>2</v>
      </c>
      <c r="M32" s="4">
        <v>1</v>
      </c>
      <c r="Q32">
        <v>16</v>
      </c>
      <c r="S32" s="26">
        <v>11</v>
      </c>
      <c r="T32" s="4">
        <v>4</v>
      </c>
    </row>
    <row r="33" spans="3:20">
      <c r="C33" s="3"/>
      <c r="F33" s="12">
        <v>21</v>
      </c>
      <c r="G33" s="6" t="s">
        <v>291</v>
      </c>
      <c r="H33" s="7">
        <f t="shared" si="0"/>
        <v>16</v>
      </c>
      <c r="I33" s="50">
        <v>40956.519444444442</v>
      </c>
      <c r="J33" s="10" t="s">
        <v>710</v>
      </c>
      <c r="K33" s="4">
        <f t="shared" si="1"/>
        <v>2</v>
      </c>
      <c r="L33" s="4">
        <v>2</v>
      </c>
      <c r="M33" s="4">
        <v>2</v>
      </c>
      <c r="Q33">
        <v>16</v>
      </c>
      <c r="S33" s="26">
        <v>12</v>
      </c>
      <c r="T33" s="4">
        <v>1</v>
      </c>
    </row>
    <row r="34" spans="3:20">
      <c r="C34" s="3"/>
      <c r="G34" s="6"/>
      <c r="H34" s="7"/>
      <c r="I34" s="50"/>
      <c r="J34" s="8" t="s">
        <v>1874</v>
      </c>
      <c r="L34" s="16">
        <f>AVERAGE(L4:L33)</f>
        <v>2.9333333333333331</v>
      </c>
      <c r="S34" s="26">
        <v>13</v>
      </c>
      <c r="T34" s="4">
        <v>1</v>
      </c>
    </row>
    <row r="35" spans="3:20">
      <c r="C35" s="3"/>
      <c r="G35" s="5"/>
      <c r="H35" s="7"/>
      <c r="I35" s="47"/>
      <c r="J35" s="10"/>
      <c r="S35" s="26">
        <v>14</v>
      </c>
      <c r="T35" s="4">
        <v>1</v>
      </c>
    </row>
    <row r="36" spans="3:20">
      <c r="C36" s="3"/>
      <c r="G36" s="5"/>
      <c r="H36" s="7"/>
      <c r="I36" s="47"/>
      <c r="J36" s="10"/>
      <c r="S36" s="26">
        <v>15</v>
      </c>
      <c r="T36" s="4">
        <v>2</v>
      </c>
    </row>
    <row r="37" spans="3:20">
      <c r="C37" s="3"/>
      <c r="G37" s="5"/>
      <c r="H37" s="7"/>
      <c r="I37" s="47"/>
      <c r="J37" s="10"/>
      <c r="S37" s="26">
        <v>16</v>
      </c>
      <c r="T37" s="4">
        <v>2</v>
      </c>
    </row>
    <row r="38" spans="3:20">
      <c r="C38" s="3"/>
      <c r="G38" s="5"/>
      <c r="H38" s="7"/>
      <c r="I38" s="47"/>
      <c r="J38" s="10"/>
      <c r="S38" s="26" t="s">
        <v>1871</v>
      </c>
      <c r="T38" s="4">
        <v>32</v>
      </c>
    </row>
    <row r="39" spans="3:20">
      <c r="C39" s="3"/>
      <c r="G39" s="5"/>
      <c r="H39" s="7"/>
      <c r="I39" s="47"/>
      <c r="J39" s="10"/>
      <c r="S39" s="8"/>
      <c r="T39" s="10"/>
    </row>
    <row r="40" spans="3:20">
      <c r="C40" s="3"/>
      <c r="G40" s="6"/>
      <c r="H40" s="7"/>
      <c r="I40" s="50"/>
      <c r="J40" s="10"/>
      <c r="S40" s="8"/>
      <c r="T40" s="10"/>
    </row>
    <row r="41" spans="3:20">
      <c r="C41" s="3"/>
      <c r="G41" s="6"/>
      <c r="H41" s="7"/>
      <c r="I41" s="50"/>
      <c r="J41" s="10"/>
      <c r="S41" s="8"/>
      <c r="T41" s="10"/>
    </row>
    <row r="42" spans="3:20">
      <c r="C42" s="3"/>
      <c r="G42" s="6"/>
      <c r="H42" s="7"/>
      <c r="I42" s="47"/>
      <c r="J42" s="10"/>
      <c r="S42" s="8"/>
      <c r="T42" s="10"/>
    </row>
    <row r="43" spans="3:20">
      <c r="C43" s="3"/>
      <c r="G43" s="5"/>
      <c r="H43" s="7"/>
      <c r="I43" s="47"/>
      <c r="J43" s="10"/>
      <c r="S43" s="8"/>
      <c r="T43" s="10"/>
    </row>
    <row r="44" spans="3:20">
      <c r="C44" s="3"/>
      <c r="G44" s="5"/>
      <c r="H44" s="7"/>
      <c r="I44" s="50"/>
      <c r="J44" s="10"/>
      <c r="S44" s="8"/>
      <c r="T44" s="10"/>
    </row>
    <row r="45" spans="3:20">
      <c r="C45" s="3"/>
      <c r="G45" s="6"/>
      <c r="H45" s="7"/>
      <c r="I45" s="50"/>
      <c r="J45" s="10"/>
      <c r="S45" s="8"/>
      <c r="T45" s="10"/>
    </row>
    <row r="46" spans="3:20">
      <c r="C46" s="3"/>
      <c r="G46" s="5"/>
      <c r="H46" s="7"/>
      <c r="I46" s="47"/>
      <c r="J46" s="10"/>
      <c r="S46" s="8"/>
      <c r="T46" s="10"/>
    </row>
    <row r="47" spans="3:20">
      <c r="C47" s="3"/>
      <c r="G47" s="5"/>
      <c r="H47" s="7"/>
      <c r="I47" s="50"/>
      <c r="J47" s="10"/>
      <c r="S47" s="8"/>
      <c r="T47" s="10"/>
    </row>
    <row r="48" spans="3:20">
      <c r="C48" s="3"/>
      <c r="G48" s="6"/>
      <c r="H48" s="7"/>
      <c r="I48" s="50"/>
      <c r="J48" s="10"/>
      <c r="S48" s="8"/>
    </row>
    <row r="49" spans="3:20">
      <c r="C49" s="3"/>
      <c r="G49" s="5"/>
      <c r="H49" s="7"/>
      <c r="I49" s="47"/>
      <c r="J49" s="10"/>
      <c r="S49" s="8"/>
      <c r="T49" s="10"/>
    </row>
    <row r="50" spans="3:20">
      <c r="C50" s="3"/>
      <c r="G50" s="5"/>
      <c r="H50" s="7"/>
      <c r="I50" s="47"/>
      <c r="J50" s="10"/>
      <c r="S50" s="8"/>
      <c r="T50" s="10"/>
    </row>
    <row r="51" spans="3:20">
      <c r="C51" s="3"/>
      <c r="G51" s="6"/>
      <c r="H51" s="7"/>
      <c r="I51" s="50"/>
      <c r="J51" s="10"/>
      <c r="S51" s="8"/>
      <c r="T51" s="10"/>
    </row>
    <row r="52" spans="3:20">
      <c r="C52" s="3"/>
      <c r="G52" s="5"/>
      <c r="H52" s="7"/>
      <c r="I52" s="47"/>
      <c r="J52" s="10"/>
      <c r="S52" s="8"/>
      <c r="T52" s="10"/>
    </row>
    <row r="53" spans="3:20">
      <c r="C53" s="3"/>
      <c r="G53" s="6"/>
      <c r="H53" s="7"/>
      <c r="I53" s="50"/>
      <c r="J53" s="10"/>
      <c r="S53" s="8"/>
      <c r="T53" s="10"/>
    </row>
    <row r="54" spans="3:20">
      <c r="C54" s="3"/>
      <c r="G54" s="5"/>
      <c r="H54" s="7"/>
      <c r="I54" s="47"/>
      <c r="J54" s="10"/>
      <c r="S54" s="8"/>
      <c r="T54" s="10"/>
    </row>
    <row r="55" spans="3:20">
      <c r="C55" s="3"/>
      <c r="G55" s="5"/>
      <c r="H55" s="7"/>
      <c r="I55" s="47"/>
      <c r="J55" s="10"/>
      <c r="S55" s="8"/>
      <c r="T55" s="10"/>
    </row>
    <row r="56" spans="3:20">
      <c r="C56" s="3"/>
      <c r="D56" s="1"/>
      <c r="G56" s="6"/>
      <c r="H56" s="7"/>
      <c r="I56" s="47"/>
      <c r="J56" s="10"/>
      <c r="S56" s="8"/>
      <c r="T56" s="10"/>
    </row>
    <row r="57" spans="3:20">
      <c r="C57" s="3"/>
      <c r="G57" s="6"/>
      <c r="H57" s="7"/>
      <c r="I57" s="50"/>
      <c r="J57" s="10"/>
      <c r="S57" s="8"/>
      <c r="T57" s="10"/>
    </row>
    <row r="58" spans="3:20">
      <c r="C58" s="3"/>
      <c r="G58" s="5"/>
      <c r="H58" s="7"/>
      <c r="I58" s="50"/>
      <c r="J58" s="10"/>
      <c r="S58" s="8"/>
      <c r="T58" s="10"/>
    </row>
    <row r="59" spans="3:20">
      <c r="C59" s="3"/>
      <c r="G59" s="6"/>
      <c r="H59" s="7"/>
      <c r="I59" s="50"/>
      <c r="J59" s="10"/>
      <c r="S59" s="8"/>
      <c r="T59" s="10"/>
    </row>
    <row r="60" spans="3:20">
      <c r="C60" s="3"/>
      <c r="G60" s="5"/>
      <c r="H60" s="7"/>
      <c r="I60" s="47"/>
      <c r="J60" s="10"/>
      <c r="S60" s="8"/>
      <c r="T60" s="10"/>
    </row>
    <row r="61" spans="3:20">
      <c r="C61" s="3"/>
      <c r="G61" s="6"/>
      <c r="H61" s="7"/>
      <c r="I61" s="50"/>
      <c r="J61" s="10"/>
      <c r="S61" s="8"/>
      <c r="T61" s="10"/>
    </row>
    <row r="62" spans="3:20">
      <c r="C62" s="3"/>
      <c r="G62" s="6"/>
      <c r="H62" s="7"/>
      <c r="I62" s="50"/>
      <c r="J62" s="10"/>
      <c r="S62" s="8"/>
      <c r="T62" s="10"/>
    </row>
    <row r="63" spans="3:20">
      <c r="C63" s="3"/>
      <c r="G63" s="5"/>
      <c r="H63" s="7"/>
      <c r="I63" s="47"/>
      <c r="J63" s="10"/>
      <c r="S63" s="8"/>
      <c r="T63" s="10"/>
    </row>
    <row r="64" spans="3:20">
      <c r="C64" s="3"/>
      <c r="G64" s="5"/>
      <c r="H64" s="7"/>
      <c r="I64" s="47"/>
      <c r="J64" s="10"/>
      <c r="S64" s="8"/>
      <c r="T64" s="10"/>
    </row>
    <row r="65" spans="3:20">
      <c r="C65" s="3"/>
      <c r="G65" s="5"/>
      <c r="H65" s="7"/>
      <c r="I65" s="47"/>
      <c r="J65" s="10"/>
      <c r="S65" s="8"/>
      <c r="T65" s="10"/>
    </row>
    <row r="66" spans="3:20">
      <c r="C66" s="3"/>
      <c r="G66" s="5"/>
      <c r="H66" s="7"/>
      <c r="I66" s="47"/>
      <c r="J66" s="10"/>
      <c r="S66" s="8"/>
      <c r="T66" s="10"/>
    </row>
    <row r="67" spans="3:20">
      <c r="C67" s="3"/>
      <c r="G67" s="6"/>
      <c r="H67" s="7"/>
      <c r="I67" s="50"/>
      <c r="J67" s="10"/>
      <c r="S67" s="8"/>
      <c r="T67" s="10"/>
    </row>
    <row r="68" spans="3:20">
      <c r="C68" s="3"/>
      <c r="G68" s="6"/>
      <c r="H68" s="7"/>
      <c r="I68" s="50"/>
      <c r="J68" s="10"/>
      <c r="S68" s="8"/>
      <c r="T68" s="10"/>
    </row>
    <row r="69" spans="3:20">
      <c r="C69" s="3"/>
      <c r="G69" s="6"/>
      <c r="H69" s="7"/>
      <c r="I69" s="50"/>
      <c r="J69" s="10"/>
      <c r="S69" s="8"/>
      <c r="T69" s="10"/>
    </row>
    <row r="70" spans="3:20">
      <c r="C70" s="3"/>
      <c r="G70" s="5"/>
      <c r="H70" s="7"/>
      <c r="I70" s="50"/>
      <c r="J70" s="10"/>
      <c r="S70" s="8"/>
      <c r="T70" s="10"/>
    </row>
    <row r="71" spans="3:20">
      <c r="C71" s="3"/>
      <c r="G71" s="5"/>
      <c r="H71" s="7"/>
      <c r="I71" s="47"/>
      <c r="J71" s="10"/>
      <c r="S71" s="8"/>
      <c r="T71" s="10"/>
    </row>
    <row r="72" spans="3:20">
      <c r="C72" s="3"/>
      <c r="G72" s="5"/>
      <c r="H72" s="7"/>
      <c r="I72" s="50"/>
      <c r="J72" s="10"/>
      <c r="S72" s="8"/>
      <c r="T72" s="10"/>
    </row>
    <row r="73" spans="3:20">
      <c r="C73" s="3"/>
      <c r="G73" s="6"/>
      <c r="H73" s="7"/>
      <c r="I73" s="50"/>
      <c r="J73" s="10"/>
      <c r="S73" s="8"/>
      <c r="T73" s="10"/>
    </row>
    <row r="74" spans="3:20">
      <c r="C74" s="3"/>
      <c r="G74" s="5"/>
      <c r="H74" s="7"/>
      <c r="I74" s="47"/>
      <c r="J74" s="10"/>
      <c r="S74" s="8"/>
      <c r="T74" s="10"/>
    </row>
    <row r="75" spans="3:20">
      <c r="C75" s="3"/>
      <c r="G75" s="6"/>
      <c r="H75" s="7"/>
      <c r="I75" s="50"/>
      <c r="J75" s="10"/>
      <c r="S75" s="8"/>
      <c r="T75" s="10"/>
    </row>
    <row r="76" spans="3:20">
      <c r="C76" s="3"/>
      <c r="G76" s="5"/>
      <c r="H76" s="7"/>
      <c r="I76" s="47"/>
      <c r="J76" s="10"/>
      <c r="S76" s="8"/>
      <c r="T76" s="10"/>
    </row>
    <row r="77" spans="3:20">
      <c r="C77" s="3"/>
      <c r="G77" s="40"/>
      <c r="H77" s="43"/>
      <c r="I77" s="3"/>
      <c r="S77" s="8"/>
      <c r="T77" s="10"/>
    </row>
    <row r="78" spans="3:20">
      <c r="C78" s="3"/>
      <c r="G78" s="39"/>
      <c r="H78" s="43"/>
      <c r="I78" s="3"/>
      <c r="S78" s="8"/>
      <c r="T78" s="10"/>
    </row>
    <row r="79" spans="3:20">
      <c r="C79" s="3"/>
      <c r="G79" s="40"/>
      <c r="H79" s="43"/>
      <c r="I79" s="3"/>
      <c r="S79" s="8"/>
      <c r="T79" s="10"/>
    </row>
    <row r="80" spans="3:20">
      <c r="C80" s="3"/>
      <c r="G80" s="39"/>
      <c r="H80" s="43"/>
      <c r="I80" s="3"/>
      <c r="S80" s="8"/>
      <c r="T80" s="10"/>
    </row>
    <row r="81" spans="3:20">
      <c r="C81" s="3"/>
      <c r="G81" s="40"/>
      <c r="H81" s="43"/>
      <c r="I81" s="3"/>
      <c r="S81" s="8"/>
      <c r="T81" s="10"/>
    </row>
    <row r="82" spans="3:20">
      <c r="C82" s="3"/>
      <c r="D82" s="1"/>
      <c r="G82" s="39"/>
      <c r="H82" s="43"/>
      <c r="I82" s="3"/>
      <c r="S82" s="8"/>
      <c r="T82" s="10"/>
    </row>
    <row r="83" spans="3:20">
      <c r="C83" s="3"/>
      <c r="G83" s="40"/>
      <c r="H83" s="43"/>
      <c r="I83" s="3"/>
      <c r="S83" s="8"/>
      <c r="T83" s="10"/>
    </row>
    <row r="84" spans="3:20">
      <c r="C84" s="3"/>
      <c r="G84" s="39"/>
      <c r="H84" s="43"/>
      <c r="I84" s="3"/>
      <c r="S84" s="8"/>
      <c r="T84" s="10"/>
    </row>
    <row r="85" spans="3:20">
      <c r="C85" s="3"/>
      <c r="G85" s="39"/>
      <c r="H85" s="43"/>
      <c r="I85" s="3"/>
      <c r="S85" s="8"/>
      <c r="T85" s="10"/>
    </row>
    <row r="86" spans="3:20">
      <c r="C86" s="3"/>
      <c r="G86" s="40"/>
      <c r="H86" s="43"/>
      <c r="I86" s="3"/>
      <c r="S86" s="8"/>
      <c r="T86" s="10"/>
    </row>
    <row r="87" spans="3:20">
      <c r="C87" s="3"/>
      <c r="G87" s="40"/>
      <c r="H87" s="43"/>
      <c r="I87" s="3"/>
      <c r="S87" s="8"/>
      <c r="T87" s="10"/>
    </row>
    <row r="88" spans="3:20">
      <c r="C88" s="3"/>
      <c r="G88" s="40"/>
      <c r="H88" s="43"/>
      <c r="I88" s="3"/>
      <c r="S88" s="8"/>
      <c r="T88" s="10"/>
    </row>
    <row r="89" spans="3:20">
      <c r="C89" s="3"/>
      <c r="G89" s="40"/>
      <c r="H89" s="43"/>
      <c r="I89" s="3"/>
      <c r="S89" s="8"/>
      <c r="T89" s="10"/>
    </row>
    <row r="90" spans="3:20">
      <c r="C90" s="3"/>
      <c r="G90" s="40"/>
      <c r="H90" s="43"/>
      <c r="I90" s="3"/>
      <c r="S90" s="8"/>
      <c r="T90" s="10"/>
    </row>
    <row r="91" spans="3:20">
      <c r="C91" s="3"/>
      <c r="G91" s="40"/>
      <c r="H91" s="43"/>
      <c r="I91" s="3"/>
      <c r="S91" s="8"/>
      <c r="T91" s="10"/>
    </row>
    <row r="92" spans="3:20">
      <c r="C92" s="3"/>
      <c r="G92" s="39"/>
      <c r="H92" s="43"/>
      <c r="I92" s="3"/>
      <c r="S92" s="8"/>
      <c r="T92" s="10"/>
    </row>
    <row r="93" spans="3:20">
      <c r="C93" s="3"/>
      <c r="G93" s="40"/>
      <c r="H93" s="43"/>
      <c r="I93" s="3"/>
      <c r="S93" s="8"/>
      <c r="T93" s="10"/>
    </row>
    <row r="94" spans="3:20">
      <c r="C94" s="3"/>
      <c r="G94" s="40"/>
      <c r="H94" s="43"/>
      <c r="I94" s="3"/>
      <c r="S94" s="8"/>
      <c r="T94" s="10"/>
    </row>
    <row r="95" spans="3:20">
      <c r="C95" s="3"/>
      <c r="G95" s="40"/>
      <c r="H95" s="43"/>
      <c r="I95" s="3"/>
      <c r="S95" s="8"/>
      <c r="T95" s="10"/>
    </row>
    <row r="96" spans="3:20">
      <c r="C96" s="3"/>
      <c r="G96" s="40"/>
      <c r="H96" s="43"/>
      <c r="I96" s="3"/>
      <c r="S96" s="8"/>
      <c r="T96" s="10"/>
    </row>
    <row r="97" spans="3:20">
      <c r="C97" s="3"/>
      <c r="G97" s="39"/>
      <c r="H97" s="43"/>
      <c r="I97" s="3"/>
      <c r="S97" s="8"/>
      <c r="T97" s="10"/>
    </row>
    <row r="98" spans="3:20">
      <c r="C98" s="3"/>
      <c r="G98" s="40"/>
      <c r="H98" s="43"/>
      <c r="I98" s="3"/>
      <c r="S98" s="8"/>
      <c r="T98" s="10"/>
    </row>
    <row r="99" spans="3:20">
      <c r="C99" s="3"/>
      <c r="G99" s="40"/>
      <c r="H99" s="43"/>
      <c r="I99" s="3"/>
      <c r="S99" s="8"/>
      <c r="T99" s="10"/>
    </row>
    <row r="100" spans="3:20">
      <c r="C100" s="3"/>
      <c r="G100" s="40"/>
      <c r="H100" s="43"/>
      <c r="I100" s="3"/>
      <c r="S100" s="8"/>
      <c r="T100" s="10"/>
    </row>
    <row r="101" spans="3:20">
      <c r="C101" s="3"/>
      <c r="G101" s="39"/>
      <c r="H101" s="43"/>
      <c r="I101" s="3"/>
      <c r="S101" s="8"/>
      <c r="T101" s="10"/>
    </row>
    <row r="102" spans="3:20">
      <c r="C102" s="3"/>
      <c r="G102" s="40"/>
      <c r="H102" s="43"/>
      <c r="I102" s="3"/>
      <c r="S102" s="8"/>
      <c r="T102" s="10"/>
    </row>
    <row r="103" spans="3:20">
      <c r="C103" s="3"/>
      <c r="G103" s="40"/>
      <c r="H103" s="43"/>
      <c r="I103" s="3"/>
      <c r="S103" s="8"/>
      <c r="T103" s="10"/>
    </row>
    <row r="104" spans="3:20">
      <c r="C104" s="3"/>
      <c r="G104" s="39"/>
      <c r="H104" s="43"/>
      <c r="I104" s="3"/>
      <c r="S104" s="8"/>
      <c r="T104" s="10"/>
    </row>
    <row r="105" spans="3:20">
      <c r="C105" s="3"/>
      <c r="G105" s="40"/>
      <c r="H105" s="43"/>
      <c r="I105" s="3"/>
      <c r="S105" s="8"/>
      <c r="T105" s="10"/>
    </row>
    <row r="106" spans="3:20">
      <c r="C106" s="3"/>
      <c r="G106" s="40"/>
      <c r="H106" s="43"/>
      <c r="I106" s="3"/>
      <c r="S106" s="8"/>
      <c r="T106" s="10"/>
    </row>
    <row r="107" spans="3:20">
      <c r="C107" s="3"/>
      <c r="G107" s="39"/>
      <c r="H107" s="43"/>
      <c r="I107" s="3"/>
      <c r="S107" s="8"/>
      <c r="T107" s="10"/>
    </row>
    <row r="108" spans="3:20">
      <c r="C108" s="3"/>
      <c r="G108" s="39"/>
      <c r="H108" s="43"/>
      <c r="I108" s="3"/>
      <c r="S108" s="8"/>
      <c r="T108" s="10"/>
    </row>
    <row r="109" spans="3:20">
      <c r="C109" s="3"/>
      <c r="G109" s="40"/>
      <c r="H109" s="43"/>
      <c r="I109" s="3"/>
      <c r="S109" s="8"/>
      <c r="T109" s="10"/>
    </row>
    <row r="110" spans="3:20">
      <c r="C110" s="3"/>
      <c r="G110" s="39"/>
      <c r="H110" s="43"/>
      <c r="I110" s="3"/>
      <c r="S110" s="8"/>
      <c r="T110" s="10"/>
    </row>
    <row r="111" spans="3:20">
      <c r="C111" s="3"/>
      <c r="G111" s="40"/>
      <c r="H111" s="43"/>
      <c r="I111" s="3"/>
      <c r="S111" s="8"/>
      <c r="T111" s="10"/>
    </row>
    <row r="112" spans="3:20">
      <c r="C112" s="3"/>
      <c r="G112" s="39"/>
      <c r="H112" s="43"/>
      <c r="I112" s="3"/>
      <c r="S112" s="8"/>
      <c r="T112" s="10"/>
    </row>
    <row r="113" spans="3:20">
      <c r="C113" s="3"/>
      <c r="G113" s="39"/>
      <c r="H113" s="43"/>
      <c r="I113" s="3"/>
      <c r="S113" s="8"/>
      <c r="T113" s="10"/>
    </row>
    <row r="114" spans="3:20">
      <c r="C114" s="3"/>
      <c r="G114" s="40"/>
      <c r="H114" s="43"/>
      <c r="I114" s="3"/>
      <c r="S114" s="8"/>
      <c r="T114" s="10"/>
    </row>
    <row r="115" spans="3:20">
      <c r="C115" s="3"/>
      <c r="G115" s="40"/>
      <c r="H115" s="43"/>
      <c r="I115" s="3"/>
      <c r="S115" s="8"/>
      <c r="T115" s="10"/>
    </row>
    <row r="116" spans="3:20">
      <c r="C116" s="3"/>
      <c r="G116" s="39"/>
      <c r="H116" s="43"/>
      <c r="I116" s="3"/>
      <c r="S116" s="8"/>
      <c r="T116" s="10"/>
    </row>
    <row r="117" spans="3:20">
      <c r="C117" s="3"/>
      <c r="G117" s="40"/>
      <c r="H117" s="43"/>
      <c r="I117" s="3"/>
      <c r="S117" s="8"/>
      <c r="T117" s="10"/>
    </row>
    <row r="118" spans="3:20">
      <c r="C118" s="3"/>
      <c r="G118" s="40"/>
      <c r="H118" s="43"/>
      <c r="I118" s="3"/>
      <c r="S118" s="8"/>
      <c r="T118" s="10"/>
    </row>
    <row r="119" spans="3:20">
      <c r="C119" s="3"/>
      <c r="G119" s="39"/>
      <c r="H119" s="43"/>
      <c r="I119" s="3"/>
      <c r="S119" s="8"/>
      <c r="T119" s="10"/>
    </row>
    <row r="120" spans="3:20">
      <c r="C120" s="3"/>
      <c r="G120" s="39"/>
      <c r="H120" s="43"/>
      <c r="I120" s="3"/>
      <c r="S120" s="8"/>
      <c r="T120" s="10"/>
    </row>
    <row r="121" spans="3:20">
      <c r="C121" s="3"/>
      <c r="G121" s="40"/>
      <c r="H121" s="43"/>
      <c r="I121" s="3"/>
      <c r="S121" s="8"/>
      <c r="T121" s="10"/>
    </row>
    <row r="122" spans="3:20">
      <c r="C122" s="3"/>
      <c r="G122" s="39"/>
      <c r="H122" s="43"/>
      <c r="I122" s="3"/>
      <c r="S122" s="8"/>
      <c r="T122" s="10"/>
    </row>
    <row r="123" spans="3:20">
      <c r="C123" s="3"/>
      <c r="G123" s="40"/>
      <c r="H123" s="43"/>
      <c r="I123" s="3"/>
      <c r="S123" s="8"/>
      <c r="T123" s="10"/>
    </row>
    <row r="124" spans="3:20">
      <c r="C124" s="3"/>
      <c r="G124" s="39"/>
      <c r="H124" s="43"/>
      <c r="I124" s="3"/>
      <c r="S124" s="8"/>
      <c r="T124" s="10"/>
    </row>
    <row r="125" spans="3:20">
      <c r="C125" s="3"/>
      <c r="G125" s="42"/>
      <c r="H125" s="43"/>
      <c r="I125" s="3"/>
      <c r="S125" s="8"/>
      <c r="T125" s="10"/>
    </row>
    <row r="126" spans="3:20">
      <c r="C126" s="3"/>
      <c r="G126" s="42"/>
      <c r="H126" s="43"/>
      <c r="I126" s="3"/>
      <c r="S126" s="8"/>
      <c r="T126" s="10"/>
    </row>
    <row r="127" spans="3:20">
      <c r="C127" s="3"/>
      <c r="G127" s="41"/>
      <c r="H127" s="43"/>
      <c r="I127" s="3"/>
      <c r="S127" s="8"/>
      <c r="T127" s="10"/>
    </row>
    <row r="128" spans="3:20">
      <c r="C128" s="3"/>
      <c r="G128" s="40"/>
      <c r="H128" s="43"/>
      <c r="I128" s="3"/>
      <c r="S128" s="8"/>
      <c r="T128" s="10"/>
    </row>
    <row r="129" spans="3:20">
      <c r="C129" s="3"/>
      <c r="G129" s="40"/>
      <c r="H129" s="43"/>
      <c r="I129" s="3"/>
      <c r="S129" s="8"/>
      <c r="T129" s="10"/>
    </row>
    <row r="130" spans="3:20">
      <c r="C130" s="3"/>
      <c r="G130" s="39"/>
      <c r="H130" s="43"/>
      <c r="I130" s="3"/>
      <c r="S130" s="8"/>
      <c r="T130" s="10"/>
    </row>
    <row r="131" spans="3:20">
      <c r="C131" s="3"/>
      <c r="G131" s="40"/>
      <c r="H131" s="43"/>
      <c r="I131" s="3"/>
      <c r="S131" s="8"/>
      <c r="T131" s="10"/>
    </row>
    <row r="132" spans="3:20">
      <c r="C132" s="3"/>
      <c r="G132" s="40"/>
      <c r="H132" s="43"/>
      <c r="I132" s="3"/>
      <c r="S132" s="8"/>
      <c r="T132" s="10"/>
    </row>
    <row r="133" spans="3:20">
      <c r="C133" s="3"/>
      <c r="G133" s="40"/>
      <c r="H133" s="43"/>
      <c r="I133" s="3"/>
      <c r="S133" s="8"/>
      <c r="T133" s="10"/>
    </row>
    <row r="134" spans="3:20">
      <c r="C134" s="3"/>
      <c r="G134" s="40"/>
      <c r="H134" s="43"/>
      <c r="I134" s="3"/>
      <c r="S134" s="8"/>
      <c r="T134" s="10"/>
    </row>
    <row r="135" spans="3:20">
      <c r="C135" s="3"/>
      <c r="G135" s="40"/>
      <c r="H135" s="43"/>
      <c r="I135" s="3"/>
      <c r="S135" s="8"/>
      <c r="T135" s="10"/>
    </row>
    <row r="136" spans="3:20">
      <c r="C136" s="3"/>
      <c r="G136" s="39"/>
      <c r="H136" s="43"/>
      <c r="I136" s="3"/>
      <c r="S136" s="8"/>
      <c r="T136" s="10"/>
    </row>
    <row r="137" spans="3:20">
      <c r="C137" s="3"/>
      <c r="G137" s="40"/>
      <c r="H137" s="43"/>
      <c r="I137" s="3"/>
      <c r="S137" s="8"/>
      <c r="T137" s="10"/>
    </row>
    <row r="138" spans="3:20">
      <c r="C138" s="3"/>
      <c r="G138" s="39"/>
      <c r="H138" s="43"/>
      <c r="I138" s="3"/>
      <c r="S138" s="8"/>
      <c r="T138" s="10"/>
    </row>
    <row r="139" spans="3:20">
      <c r="C139" s="3"/>
      <c r="G139" s="39"/>
      <c r="H139" s="43"/>
      <c r="I139" s="3"/>
      <c r="S139" s="8"/>
      <c r="T139" s="10"/>
    </row>
    <row r="140" spans="3:20">
      <c r="C140" s="3"/>
      <c r="G140" s="40"/>
      <c r="H140" s="43"/>
      <c r="I140" s="3"/>
      <c r="S140" s="8"/>
      <c r="T140" s="10"/>
    </row>
    <row r="141" spans="3:20">
      <c r="C141" s="3"/>
      <c r="G141" s="40"/>
      <c r="H141" s="43"/>
      <c r="I141" s="3"/>
      <c r="S141" s="8"/>
      <c r="T141" s="10"/>
    </row>
    <row r="142" spans="3:20">
      <c r="C142" s="3"/>
      <c r="G142" s="40"/>
      <c r="H142" s="43"/>
      <c r="I142" s="3"/>
      <c r="S142" s="8"/>
      <c r="T142" s="10"/>
    </row>
    <row r="143" spans="3:20">
      <c r="C143" s="3"/>
      <c r="G143" s="40"/>
      <c r="H143" s="43"/>
      <c r="I143" s="3"/>
      <c r="S143" s="8"/>
      <c r="T143" s="10"/>
    </row>
    <row r="144" spans="3:20">
      <c r="C144" s="3"/>
      <c r="D144" s="1"/>
      <c r="G144" s="40"/>
      <c r="H144" s="43"/>
      <c r="I144" s="3"/>
      <c r="S144" s="8"/>
      <c r="T144" s="10"/>
    </row>
    <row r="145" spans="3:20">
      <c r="C145" s="3"/>
      <c r="G145" s="40"/>
      <c r="H145" s="43"/>
      <c r="I145" s="3"/>
      <c r="S145" s="8"/>
      <c r="T145" s="10"/>
    </row>
    <row r="146" spans="3:20">
      <c r="C146" s="3"/>
      <c r="G146" s="40"/>
      <c r="H146" s="43"/>
      <c r="I146" s="3"/>
      <c r="S146" s="8"/>
      <c r="T146" s="10"/>
    </row>
    <row r="147" spans="3:20">
      <c r="C147" s="3"/>
      <c r="G147" s="40"/>
      <c r="H147" s="43"/>
      <c r="I147" s="3"/>
      <c r="S147" s="8"/>
      <c r="T147" s="10"/>
    </row>
    <row r="148" spans="3:20">
      <c r="C148" s="3"/>
      <c r="G148" s="39"/>
      <c r="H148" s="43"/>
      <c r="I148" s="3"/>
      <c r="S148" s="8"/>
      <c r="T148" s="10"/>
    </row>
    <row r="149" spans="3:20">
      <c r="C149" s="3"/>
      <c r="G149" s="40"/>
      <c r="H149" s="43"/>
      <c r="I149" s="3"/>
      <c r="S149" s="8"/>
      <c r="T149" s="10"/>
    </row>
    <row r="150" spans="3:20">
      <c r="C150" s="3"/>
      <c r="G150" s="39"/>
      <c r="H150" s="43"/>
      <c r="I150" s="3"/>
      <c r="S150" s="8"/>
      <c r="T150" s="10"/>
    </row>
    <row r="151" spans="3:20">
      <c r="C151" s="3"/>
      <c r="G151" s="40"/>
      <c r="H151" s="43"/>
      <c r="I151" s="3"/>
      <c r="S151" s="8"/>
      <c r="T151" s="10"/>
    </row>
    <row r="152" spans="3:20">
      <c r="C152" s="3"/>
      <c r="G152" s="39"/>
      <c r="H152" s="43"/>
      <c r="I152" s="3"/>
      <c r="S152" s="8"/>
      <c r="T152" s="10"/>
    </row>
    <row r="153" spans="3:20">
      <c r="C153" s="3"/>
      <c r="G153" s="39"/>
      <c r="H153" s="43"/>
      <c r="I153" s="3"/>
      <c r="S153" s="8"/>
      <c r="T153" s="10"/>
    </row>
    <row r="154" spans="3:20">
      <c r="C154" s="3"/>
      <c r="G154" s="40"/>
      <c r="H154" s="43"/>
      <c r="I154" s="3"/>
      <c r="S154" s="8"/>
      <c r="T154" s="10"/>
    </row>
    <row r="155" spans="3:20">
      <c r="C155" s="3"/>
      <c r="G155" s="40"/>
      <c r="H155" s="43"/>
      <c r="I155" s="3"/>
      <c r="S155" s="8"/>
      <c r="T155" s="10"/>
    </row>
    <row r="156" spans="3:20">
      <c r="C156" s="3"/>
      <c r="G156" s="39"/>
      <c r="H156" s="43"/>
      <c r="I156" s="3"/>
      <c r="S156" s="8"/>
      <c r="T156" s="10"/>
    </row>
    <row r="157" spans="3:20">
      <c r="C157" s="3"/>
      <c r="G157" s="39"/>
      <c r="H157" s="43"/>
      <c r="I157" s="3"/>
      <c r="S157" s="8"/>
      <c r="T157" s="10"/>
    </row>
    <row r="158" spans="3:20">
      <c r="C158" s="3"/>
      <c r="G158" s="39"/>
      <c r="H158" s="43"/>
      <c r="I158" s="3"/>
      <c r="S158" s="8"/>
    </row>
    <row r="159" spans="3:20">
      <c r="C159" s="3"/>
      <c r="G159" s="40"/>
      <c r="H159" s="43"/>
      <c r="I159" s="3"/>
      <c r="S159" s="8"/>
    </row>
    <row r="160" spans="3:20">
      <c r="C160" s="3"/>
      <c r="G160" s="39"/>
      <c r="H160" s="43"/>
      <c r="I160" s="3"/>
      <c r="S160" s="8"/>
    </row>
    <row r="161" spans="3:19">
      <c r="C161" s="3"/>
      <c r="G161" s="40"/>
      <c r="H161" s="43"/>
      <c r="I161" s="3"/>
      <c r="S161" s="8"/>
    </row>
    <row r="162" spans="3:19">
      <c r="C162" s="3"/>
      <c r="G162" s="40"/>
      <c r="H162" s="43"/>
      <c r="I162" s="3"/>
      <c r="S162" s="8"/>
    </row>
    <row r="163" spans="3:19">
      <c r="C163" s="3"/>
      <c r="G163" s="39"/>
      <c r="H163" s="43"/>
      <c r="I163" s="3"/>
      <c r="S163" s="8"/>
    </row>
    <row r="164" spans="3:19">
      <c r="C164" s="3"/>
      <c r="G164" s="39"/>
      <c r="H164" s="43"/>
      <c r="I164" s="3"/>
      <c r="S164" s="8"/>
    </row>
    <row r="165" spans="3:19">
      <c r="C165" s="3"/>
      <c r="G165" s="41"/>
      <c r="H165" s="43"/>
      <c r="I165" s="3"/>
      <c r="S165" s="8"/>
    </row>
    <row r="166" spans="3:19">
      <c r="C166" s="3"/>
      <c r="G166" s="39"/>
      <c r="H166" s="43"/>
      <c r="I166" s="3"/>
      <c r="S166" s="8"/>
    </row>
    <row r="167" spans="3:19">
      <c r="C167" s="3"/>
      <c r="G167" s="39"/>
      <c r="H167" s="43"/>
      <c r="I167" s="3"/>
      <c r="S167" s="8"/>
    </row>
    <row r="168" spans="3:19">
      <c r="C168" s="3"/>
      <c r="G168" s="41"/>
      <c r="H168" s="43"/>
      <c r="I168" s="3"/>
      <c r="S168" s="8"/>
    </row>
    <row r="169" spans="3:19">
      <c r="C169" s="3"/>
      <c r="G169" s="40"/>
      <c r="H169" s="43"/>
      <c r="I169" s="3"/>
      <c r="S169" s="8"/>
    </row>
    <row r="170" spans="3:19">
      <c r="C170" s="3"/>
      <c r="G170" s="40"/>
      <c r="H170" s="43"/>
      <c r="I170" s="3"/>
      <c r="S170" s="8"/>
    </row>
    <row r="171" spans="3:19">
      <c r="C171" s="3"/>
      <c r="G171" s="40"/>
      <c r="H171" s="43"/>
      <c r="I171" s="3"/>
      <c r="S171" s="8"/>
    </row>
    <row r="172" spans="3:19">
      <c r="C172" s="3"/>
      <c r="G172" s="39"/>
      <c r="H172" s="43"/>
      <c r="I172" s="3"/>
      <c r="S172" s="8"/>
    </row>
    <row r="173" spans="3:19">
      <c r="C173" s="3"/>
      <c r="G173" s="39"/>
      <c r="H173" s="43"/>
      <c r="I173" s="3"/>
      <c r="S173" s="8"/>
    </row>
    <row r="174" spans="3:19">
      <c r="C174" s="3"/>
      <c r="G174" s="40"/>
      <c r="H174" s="43"/>
      <c r="I174" s="3"/>
      <c r="S174" s="8"/>
    </row>
    <row r="175" spans="3:19">
      <c r="C175" s="3"/>
      <c r="G175" s="39"/>
      <c r="H175" s="43"/>
      <c r="I175" s="3"/>
      <c r="S175" s="8"/>
    </row>
    <row r="176" spans="3:19">
      <c r="C176" s="3"/>
      <c r="G176" s="39"/>
      <c r="H176" s="43"/>
      <c r="I176" s="3"/>
      <c r="S176" s="8"/>
    </row>
    <row r="177" spans="3:19">
      <c r="C177" s="3"/>
      <c r="G177" s="40"/>
      <c r="H177" s="43"/>
      <c r="I177" s="3"/>
      <c r="S177" s="8"/>
    </row>
    <row r="178" spans="3:19">
      <c r="C178" s="3"/>
      <c r="G178" s="40"/>
      <c r="H178" s="43"/>
      <c r="I178" s="3"/>
      <c r="S178" s="8"/>
    </row>
    <row r="179" spans="3:19">
      <c r="C179" s="3"/>
      <c r="G179" s="40"/>
      <c r="H179" s="43"/>
      <c r="I179" s="3"/>
      <c r="S179" s="8"/>
    </row>
    <row r="180" spans="3:19">
      <c r="C180" s="3"/>
      <c r="G180" s="40"/>
      <c r="H180" s="43"/>
      <c r="I180" s="3"/>
      <c r="S180" s="8"/>
    </row>
    <row r="181" spans="3:19">
      <c r="C181" s="3"/>
      <c r="G181" s="39"/>
      <c r="H181" s="43"/>
      <c r="I181" s="3"/>
      <c r="S181" s="8"/>
    </row>
    <row r="182" spans="3:19">
      <c r="C182" s="3"/>
      <c r="G182" s="39"/>
      <c r="H182" s="43"/>
      <c r="I182" s="3"/>
      <c r="S182" s="8"/>
    </row>
    <row r="183" spans="3:19">
      <c r="C183" s="3"/>
      <c r="G183" s="39"/>
      <c r="H183" s="43"/>
      <c r="I183" s="3"/>
      <c r="S183" s="8"/>
    </row>
    <row r="184" spans="3:19">
      <c r="C184" s="3"/>
      <c r="G184" s="40"/>
      <c r="H184" s="43"/>
      <c r="I184" s="3"/>
      <c r="S184" s="8"/>
    </row>
    <row r="185" spans="3:19">
      <c r="C185" s="3"/>
      <c r="G185" s="40"/>
      <c r="H185" s="43"/>
      <c r="I185" s="3"/>
      <c r="S185" s="8"/>
    </row>
    <row r="186" spans="3:19">
      <c r="C186" s="3"/>
      <c r="G186" s="40"/>
      <c r="H186" s="43"/>
      <c r="I186" s="3"/>
      <c r="S186" s="8"/>
    </row>
    <row r="187" spans="3:19">
      <c r="C187" s="3"/>
      <c r="G187" s="40"/>
      <c r="H187" s="43"/>
      <c r="I187" s="3"/>
      <c r="S187" s="8"/>
    </row>
    <row r="188" spans="3:19">
      <c r="C188" s="3"/>
      <c r="G188" s="39"/>
      <c r="H188" s="43"/>
      <c r="I188" s="3"/>
      <c r="S188" s="8"/>
    </row>
    <row r="189" spans="3:19">
      <c r="C189" s="3"/>
      <c r="G189" s="39"/>
      <c r="H189" s="43"/>
      <c r="I189" s="3"/>
      <c r="S189" s="8"/>
    </row>
    <row r="190" spans="3:19">
      <c r="C190" s="3"/>
      <c r="G190" s="42"/>
      <c r="H190" s="43"/>
      <c r="I190" s="3"/>
      <c r="S190" s="8"/>
    </row>
    <row r="191" spans="3:19">
      <c r="C191" s="3"/>
      <c r="G191" s="44"/>
      <c r="H191" s="43"/>
      <c r="I191" s="3"/>
      <c r="S191" s="8"/>
    </row>
    <row r="192" spans="3:19">
      <c r="C192" s="3"/>
      <c r="G192" s="44"/>
      <c r="H192" s="43"/>
      <c r="I192" s="3"/>
      <c r="S192" s="8"/>
    </row>
    <row r="193" spans="3:19">
      <c r="C193" s="3"/>
      <c r="G193" s="44"/>
      <c r="H193" s="43"/>
      <c r="I193" s="3"/>
      <c r="S193" s="8"/>
    </row>
    <row r="194" spans="3:19">
      <c r="C194" s="3"/>
      <c r="G194" s="8"/>
      <c r="H194" s="7"/>
      <c r="I194" s="3"/>
      <c r="S194" s="8"/>
    </row>
    <row r="195" spans="3:19">
      <c r="C195" s="3"/>
      <c r="G195" s="8"/>
      <c r="H195" s="7"/>
      <c r="I195" s="3"/>
      <c r="S195" s="8"/>
    </row>
    <row r="196" spans="3:19">
      <c r="C196" s="3"/>
      <c r="G196" s="8"/>
      <c r="H196" s="7"/>
      <c r="I196" s="3"/>
    </row>
    <row r="197" spans="3:19">
      <c r="C197" s="3"/>
      <c r="G197" s="8"/>
      <c r="H197" s="7"/>
      <c r="I197" s="3"/>
    </row>
    <row r="198" spans="3:19">
      <c r="C198" s="3"/>
      <c r="G198" s="8"/>
      <c r="H198" s="7"/>
      <c r="I198" s="3"/>
    </row>
    <row r="199" spans="3:19">
      <c r="C199" s="3"/>
      <c r="G199" s="8"/>
      <c r="H199" s="7"/>
      <c r="I199" s="3"/>
    </row>
    <row r="200" spans="3:19">
      <c r="C200" s="3"/>
      <c r="G200" s="8"/>
      <c r="H200" s="7"/>
      <c r="I200" s="3"/>
    </row>
    <row r="201" spans="3:19">
      <c r="C201" s="3"/>
      <c r="G201" s="8"/>
      <c r="H201" s="7"/>
      <c r="I201" s="3"/>
    </row>
    <row r="202" spans="3:19">
      <c r="G202" s="8"/>
      <c r="H202" s="7"/>
      <c r="I202" s="3"/>
    </row>
    <row r="203" spans="3:19">
      <c r="G203" s="8"/>
      <c r="H203" s="7"/>
      <c r="I203" s="3"/>
    </row>
    <row r="204" spans="3:19">
      <c r="G204" s="8"/>
      <c r="H204" s="7"/>
      <c r="I204" s="3"/>
    </row>
    <row r="205" spans="3:19">
      <c r="G205" s="8"/>
      <c r="H205" s="7"/>
      <c r="I205" s="3"/>
    </row>
    <row r="206" spans="3:19">
      <c r="G206" s="8"/>
      <c r="H206" s="7"/>
      <c r="I206" s="3"/>
    </row>
    <row r="207" spans="3:19">
      <c r="G207" s="8"/>
      <c r="H207" s="7"/>
      <c r="I207" s="3"/>
    </row>
    <row r="208" spans="3:19">
      <c r="G208" s="8"/>
      <c r="H208" s="7"/>
      <c r="I208" s="3"/>
    </row>
    <row r="209" spans="7:9">
      <c r="G209" s="8"/>
      <c r="H209" s="7"/>
      <c r="I209" s="3"/>
    </row>
    <row r="210" spans="7:9">
      <c r="G210" s="8"/>
      <c r="H210" s="7"/>
      <c r="I210" s="3"/>
    </row>
    <row r="211" spans="7:9">
      <c r="G211" s="8"/>
      <c r="H211" s="7"/>
      <c r="I211" s="3"/>
    </row>
    <row r="212" spans="7:9">
      <c r="G212" s="8"/>
      <c r="H212" s="7"/>
      <c r="I212" s="3"/>
    </row>
    <row r="213" spans="7:9">
      <c r="G213" s="8"/>
      <c r="H213" s="7"/>
      <c r="I213" s="3"/>
    </row>
    <row r="214" spans="7:9">
      <c r="G214" s="8"/>
      <c r="H214" s="7"/>
      <c r="I214" s="3"/>
    </row>
    <row r="215" spans="7:9">
      <c r="G215" s="8"/>
      <c r="H215" s="7"/>
      <c r="I215" s="3"/>
    </row>
    <row r="216" spans="7:9">
      <c r="G216" s="8"/>
      <c r="H216" s="7"/>
      <c r="I216" s="3"/>
    </row>
    <row r="217" spans="7:9">
      <c r="G217" s="8"/>
      <c r="H217" s="7"/>
      <c r="I217" s="3"/>
    </row>
    <row r="218" spans="7:9">
      <c r="G218" s="8"/>
      <c r="H218" s="7"/>
      <c r="I218" s="3"/>
    </row>
    <row r="219" spans="7:9">
      <c r="G219" s="8"/>
      <c r="H219" s="7"/>
      <c r="I219" s="3"/>
    </row>
    <row r="220" spans="7:9">
      <c r="G220" s="8"/>
      <c r="H220" s="7"/>
      <c r="I220" s="3"/>
    </row>
    <row r="221" spans="7:9">
      <c r="G221" s="8"/>
      <c r="H221" s="7"/>
      <c r="I221" s="3"/>
    </row>
    <row r="222" spans="7:9">
      <c r="G222" s="8"/>
      <c r="H222" s="7"/>
      <c r="I222" s="3"/>
    </row>
    <row r="223" spans="7:9">
      <c r="G223" s="8"/>
      <c r="H223" s="7"/>
      <c r="I223" s="3"/>
    </row>
    <row r="224" spans="7:9">
      <c r="G224" s="8"/>
      <c r="H224" s="7"/>
      <c r="I224" s="3"/>
    </row>
    <row r="225" spans="7:9">
      <c r="G225" s="8"/>
      <c r="H225" s="7"/>
      <c r="I225" s="3"/>
    </row>
    <row r="226" spans="7:9">
      <c r="G226" s="8"/>
      <c r="H226" s="7"/>
      <c r="I226" s="3"/>
    </row>
    <row r="227" spans="7:9">
      <c r="G227" s="8"/>
      <c r="H227" s="7"/>
      <c r="I227" s="3"/>
    </row>
    <row r="228" spans="7:9">
      <c r="G228" s="8"/>
      <c r="H228" s="7"/>
      <c r="I228" s="3"/>
    </row>
    <row r="229" spans="7:9">
      <c r="G229" s="8"/>
      <c r="H229" s="7"/>
      <c r="I229" s="3"/>
    </row>
    <row r="230" spans="7:9">
      <c r="G230" s="8"/>
      <c r="H230" s="7"/>
      <c r="I230" s="3"/>
    </row>
    <row r="231" spans="7:9">
      <c r="G231" s="8"/>
      <c r="H231" s="7"/>
      <c r="I231" s="3"/>
    </row>
    <row r="232" spans="7:9">
      <c r="G232" s="8"/>
      <c r="H232" s="7"/>
      <c r="I232" s="3"/>
    </row>
    <row r="233" spans="7:9">
      <c r="G233" s="8"/>
      <c r="H233" s="7"/>
      <c r="I233" s="3"/>
    </row>
    <row r="234" spans="7:9">
      <c r="G234" s="8"/>
      <c r="H234" s="7"/>
      <c r="I234" s="3"/>
    </row>
    <row r="235" spans="7:9">
      <c r="G235" s="8"/>
      <c r="H235" s="7"/>
      <c r="I235" s="3"/>
    </row>
    <row r="236" spans="7:9">
      <c r="G236" s="8"/>
      <c r="H236" s="7"/>
      <c r="I236" s="3"/>
    </row>
    <row r="237" spans="7:9">
      <c r="G237" s="8"/>
      <c r="H237" s="7"/>
      <c r="I237" s="3"/>
    </row>
    <row r="238" spans="7:9">
      <c r="G238" s="8"/>
      <c r="H238" s="7"/>
      <c r="I238" s="3"/>
    </row>
    <row r="239" spans="7:9">
      <c r="G239" s="8"/>
      <c r="H239" s="7"/>
      <c r="I239" s="3"/>
    </row>
    <row r="240" spans="7:9">
      <c r="G240" s="8"/>
      <c r="H240" s="7"/>
      <c r="I240" s="3"/>
    </row>
    <row r="241" spans="7:9">
      <c r="G241" s="8"/>
      <c r="H241" s="7"/>
      <c r="I241" s="3"/>
    </row>
    <row r="242" spans="7:9">
      <c r="G242" s="8"/>
      <c r="H242" s="7"/>
      <c r="I242" s="3"/>
    </row>
    <row r="243" spans="7:9">
      <c r="G243" s="8"/>
      <c r="H243" s="7"/>
      <c r="I243" s="3"/>
    </row>
    <row r="244" spans="7:9">
      <c r="G244" s="8"/>
      <c r="H244" s="7"/>
      <c r="I244" s="3"/>
    </row>
    <row r="245" spans="7:9">
      <c r="G245" s="8"/>
      <c r="H245" s="7"/>
      <c r="I245" s="3"/>
    </row>
    <row r="246" spans="7:9">
      <c r="G246" s="8"/>
      <c r="H246" s="7"/>
      <c r="I246" s="3"/>
    </row>
    <row r="247" spans="7:9">
      <c r="G247" s="8"/>
      <c r="H247" s="7"/>
      <c r="I247" s="3"/>
    </row>
    <row r="248" spans="7:9">
      <c r="G248" s="8"/>
      <c r="H248" s="7"/>
      <c r="I248" s="3"/>
    </row>
    <row r="249" spans="7:9">
      <c r="G249" s="8"/>
      <c r="H249" s="7"/>
      <c r="I249" s="3"/>
    </row>
    <row r="250" spans="7:9">
      <c r="G250" s="8"/>
      <c r="H250" s="7"/>
      <c r="I250" s="3"/>
    </row>
    <row r="251" spans="7:9">
      <c r="G251" s="8"/>
      <c r="H251" s="7"/>
      <c r="I251" s="3"/>
    </row>
    <row r="252" spans="7:9">
      <c r="G252" s="8"/>
      <c r="H252" s="7"/>
      <c r="I252" s="3"/>
    </row>
    <row r="253" spans="7:9">
      <c r="G253" s="8"/>
      <c r="H253" s="7"/>
      <c r="I253" s="3"/>
    </row>
    <row r="254" spans="7:9">
      <c r="G254" s="8"/>
      <c r="H254" s="7"/>
      <c r="I254" s="3"/>
    </row>
    <row r="255" spans="7:9">
      <c r="G255" s="8"/>
      <c r="H255" s="7"/>
      <c r="I255" s="3"/>
    </row>
    <row r="256" spans="7:9">
      <c r="G256" s="8"/>
      <c r="H256" s="7"/>
      <c r="I256" s="3"/>
    </row>
    <row r="257" spans="7:12">
      <c r="G257" s="8"/>
      <c r="H257" s="7"/>
      <c r="I257" s="3"/>
    </row>
    <row r="258" spans="7:12">
      <c r="G258" s="8"/>
      <c r="H258" s="7"/>
      <c r="I258" s="3"/>
    </row>
    <row r="259" spans="7:12">
      <c r="G259" s="8"/>
      <c r="H259" s="7"/>
      <c r="I259" s="3"/>
    </row>
    <row r="260" spans="7:12">
      <c r="G260" s="8"/>
      <c r="H260" s="7"/>
      <c r="I260" s="3"/>
    </row>
    <row r="261" spans="7:12">
      <c r="G261" s="8"/>
      <c r="H261" s="7"/>
      <c r="I261" s="3"/>
    </row>
    <row r="262" spans="7:12">
      <c r="G262" s="8"/>
      <c r="H262" s="7"/>
      <c r="I262" s="3"/>
    </row>
    <row r="263" spans="7:12">
      <c r="G263" s="8"/>
      <c r="H263" s="7"/>
      <c r="I263" s="3"/>
    </row>
    <row r="264" spans="7:12">
      <c r="G264" s="8"/>
      <c r="H264" s="7"/>
      <c r="I264" s="3"/>
    </row>
    <row r="265" spans="7:12">
      <c r="G265" s="8"/>
      <c r="H265" s="7"/>
      <c r="I265" s="3"/>
    </row>
    <row r="266" spans="7:12">
      <c r="G266" s="8"/>
      <c r="H266" s="7"/>
      <c r="I266" s="3"/>
    </row>
    <row r="267" spans="7:12">
      <c r="G267" s="8"/>
      <c r="H267" s="7"/>
      <c r="I267" s="3"/>
    </row>
    <row r="268" spans="7:12">
      <c r="G268" s="8"/>
      <c r="H268" s="7"/>
      <c r="I268" s="3"/>
    </row>
    <row r="269" spans="7:12">
      <c r="G269" s="8"/>
      <c r="H269" s="7"/>
      <c r="I269" s="3"/>
    </row>
    <row r="270" spans="7:12">
      <c r="G270" s="8"/>
      <c r="H270" s="7"/>
      <c r="I270" s="3"/>
    </row>
    <row r="271" spans="7:12">
      <c r="G271" s="3"/>
      <c r="L271" s="16"/>
    </row>
    <row r="272" spans="7:12">
      <c r="G272" s="3"/>
    </row>
    <row r="273" spans="7:7">
      <c r="G273"/>
    </row>
    <row r="274" spans="7:7">
      <c r="G274" s="3"/>
    </row>
    <row r="275" spans="7:7">
      <c r="G275" s="3"/>
    </row>
    <row r="276" spans="7:7">
      <c r="G276" s="3"/>
    </row>
    <row r="277" spans="7:7">
      <c r="G277"/>
    </row>
    <row r="278" spans="7:7">
      <c r="G278" s="3"/>
    </row>
    <row r="279" spans="7:7">
      <c r="G279" s="3"/>
    </row>
    <row r="280" spans="7:7">
      <c r="G280"/>
    </row>
    <row r="281" spans="7:7">
      <c r="G281" s="3"/>
    </row>
    <row r="282" spans="7:7">
      <c r="G282"/>
    </row>
    <row r="283" spans="7:7">
      <c r="G283"/>
    </row>
    <row r="284" spans="7:7">
      <c r="G284" s="3"/>
    </row>
    <row r="285" spans="7:7">
      <c r="G285"/>
    </row>
    <row r="286" spans="7:7">
      <c r="G286"/>
    </row>
    <row r="287" spans="7:7">
      <c r="G287"/>
    </row>
    <row r="288" spans="7:7">
      <c r="G288"/>
    </row>
    <row r="289" spans="7:7">
      <c r="G289" s="3"/>
    </row>
    <row r="290" spans="7:7">
      <c r="G290" s="3"/>
    </row>
    <row r="291" spans="7:7">
      <c r="G291"/>
    </row>
    <row r="292" spans="7:7">
      <c r="G292" s="3"/>
    </row>
    <row r="293" spans="7:7">
      <c r="G293"/>
    </row>
    <row r="294" spans="7:7">
      <c r="G294" s="3"/>
    </row>
    <row r="295" spans="7:7">
      <c r="G295" s="3"/>
    </row>
    <row r="296" spans="7:7">
      <c r="G296"/>
    </row>
    <row r="297" spans="7:7">
      <c r="G297" s="3"/>
    </row>
    <row r="298" spans="7:7">
      <c r="G298"/>
    </row>
    <row r="299" spans="7:7">
      <c r="G299" s="3"/>
    </row>
    <row r="300" spans="7:7">
      <c r="G300"/>
    </row>
    <row r="301" spans="7:7">
      <c r="G301"/>
    </row>
    <row r="302" spans="7:7">
      <c r="G302"/>
    </row>
    <row r="303" spans="7:7">
      <c r="G303" s="3"/>
    </row>
    <row r="304" spans="7:7">
      <c r="G304"/>
    </row>
    <row r="305" spans="7:7">
      <c r="G305"/>
    </row>
    <row r="306" spans="7:7">
      <c r="G306" s="3"/>
    </row>
    <row r="307" spans="7:7">
      <c r="G307" s="3"/>
    </row>
    <row r="308" spans="7:7">
      <c r="G308"/>
    </row>
    <row r="309" spans="7:7">
      <c r="G309" s="3"/>
    </row>
    <row r="310" spans="7:7">
      <c r="G310" s="3"/>
    </row>
    <row r="311" spans="7:7">
      <c r="G311"/>
    </row>
    <row r="312" spans="7:7">
      <c r="G312" s="3"/>
    </row>
    <row r="313" spans="7:7">
      <c r="G313" s="3"/>
    </row>
    <row r="314" spans="7:7">
      <c r="G314"/>
    </row>
    <row r="315" spans="7:7">
      <c r="G315" s="3"/>
    </row>
    <row r="316" spans="7:7">
      <c r="G316"/>
    </row>
    <row r="317" spans="7:7">
      <c r="G317" s="3"/>
    </row>
    <row r="318" spans="7:7">
      <c r="G318" s="3"/>
    </row>
    <row r="319" spans="7:7">
      <c r="G319" s="3"/>
    </row>
    <row r="320" spans="7:7">
      <c r="G320" s="3"/>
    </row>
    <row r="321" spans="7:7">
      <c r="G321" s="3"/>
    </row>
    <row r="322" spans="7:7">
      <c r="G322"/>
    </row>
    <row r="323" spans="7:7">
      <c r="G323"/>
    </row>
    <row r="324" spans="7:7">
      <c r="G324"/>
    </row>
    <row r="325" spans="7:7">
      <c r="G325" s="3"/>
    </row>
    <row r="326" spans="7:7">
      <c r="G326" s="3"/>
    </row>
    <row r="327" spans="7:7">
      <c r="G327" s="3"/>
    </row>
    <row r="328" spans="7:7">
      <c r="G328" s="3"/>
    </row>
    <row r="329" spans="7:7">
      <c r="G329" s="3"/>
    </row>
    <row r="330" spans="7:7">
      <c r="G330" s="3"/>
    </row>
    <row r="331" spans="7:7">
      <c r="G331"/>
    </row>
    <row r="332" spans="7:7">
      <c r="G332"/>
    </row>
    <row r="333" spans="7:7">
      <c r="G333" s="3"/>
    </row>
    <row r="334" spans="7:7">
      <c r="G334"/>
    </row>
    <row r="335" spans="7:7">
      <c r="G335" s="3"/>
    </row>
    <row r="336" spans="7:7">
      <c r="G336"/>
    </row>
    <row r="337" spans="7:7">
      <c r="G337"/>
    </row>
    <row r="338" spans="7:7">
      <c r="G338" s="3"/>
    </row>
    <row r="339" spans="7:7">
      <c r="G339"/>
    </row>
    <row r="340" spans="7:7">
      <c r="G340" s="3"/>
    </row>
    <row r="341" spans="7:7">
      <c r="G341" s="3"/>
    </row>
    <row r="342" spans="7:7">
      <c r="G342"/>
    </row>
    <row r="343" spans="7:7">
      <c r="G343"/>
    </row>
    <row r="344" spans="7:7">
      <c r="G344" s="3"/>
    </row>
    <row r="345" spans="7:7">
      <c r="G345"/>
    </row>
    <row r="346" spans="7:7">
      <c r="G346"/>
    </row>
    <row r="347" spans="7:7">
      <c r="G347"/>
    </row>
    <row r="348" spans="7:7">
      <c r="G348" s="2"/>
    </row>
    <row r="349" spans="7:7">
      <c r="G349" s="3"/>
    </row>
    <row r="350" spans="7:7">
      <c r="G350" s="3"/>
    </row>
    <row r="351" spans="7:7">
      <c r="G351"/>
    </row>
    <row r="352" spans="7:7">
      <c r="G352" s="3"/>
    </row>
    <row r="353" spans="7:7">
      <c r="G353" s="3"/>
    </row>
    <row r="354" spans="7:7">
      <c r="G354"/>
    </row>
    <row r="355" spans="7:7">
      <c r="G355"/>
    </row>
    <row r="356" spans="7:7">
      <c r="G356"/>
    </row>
    <row r="357" spans="7:7">
      <c r="G357"/>
    </row>
    <row r="358" spans="7:7">
      <c r="G358" s="3"/>
    </row>
    <row r="359" spans="7:7">
      <c r="G359" s="3"/>
    </row>
    <row r="360" spans="7:7">
      <c r="G360" s="3"/>
    </row>
    <row r="361" spans="7:7">
      <c r="G361" s="3"/>
    </row>
    <row r="362" spans="7:7">
      <c r="G362"/>
    </row>
    <row r="363" spans="7:7">
      <c r="G363" s="3"/>
    </row>
    <row r="364" spans="7:7">
      <c r="G364" s="3"/>
    </row>
    <row r="365" spans="7:7">
      <c r="G365" s="3"/>
    </row>
    <row r="366" spans="7:7">
      <c r="G366"/>
    </row>
    <row r="367" spans="7:7">
      <c r="G367"/>
    </row>
    <row r="368" spans="7:7">
      <c r="G368"/>
    </row>
    <row r="369" spans="7:7">
      <c r="G369"/>
    </row>
    <row r="370" spans="7:7">
      <c r="G370"/>
    </row>
    <row r="371" spans="7:7">
      <c r="G371"/>
    </row>
    <row r="372" spans="7:7">
      <c r="G372"/>
    </row>
    <row r="373" spans="7:7">
      <c r="G373"/>
    </row>
    <row r="374" spans="7:7">
      <c r="G374"/>
    </row>
    <row r="375" spans="7:7">
      <c r="G375"/>
    </row>
    <row r="376" spans="7:7">
      <c r="G376"/>
    </row>
    <row r="377" spans="7:7">
      <c r="G377" s="3"/>
    </row>
    <row r="378" spans="7:7">
      <c r="G378"/>
    </row>
    <row r="379" spans="7:7">
      <c r="G379" s="3"/>
    </row>
    <row r="380" spans="7:7">
      <c r="G380" s="3"/>
    </row>
    <row r="381" spans="7:7">
      <c r="G381" s="3"/>
    </row>
    <row r="382" spans="7:7">
      <c r="G382"/>
    </row>
    <row r="383" spans="7:7">
      <c r="G383"/>
    </row>
    <row r="384" spans="7:7">
      <c r="G384"/>
    </row>
    <row r="385" spans="7:10">
      <c r="G385" s="3"/>
    </row>
    <row r="386" spans="7:10">
      <c r="G386" s="3"/>
    </row>
    <row r="387" spans="7:10">
      <c r="G387"/>
    </row>
    <row r="388" spans="7:10">
      <c r="G388" s="3"/>
    </row>
    <row r="389" spans="7:10">
      <c r="G389" s="3"/>
    </row>
    <row r="390" spans="7:10">
      <c r="G390"/>
    </row>
    <row r="391" spans="7:10">
      <c r="G391" s="3"/>
    </row>
    <row r="392" spans="7:10">
      <c r="G392"/>
      <c r="H392"/>
      <c r="I392"/>
      <c r="J392"/>
    </row>
    <row r="393" spans="7:10">
      <c r="G393"/>
      <c r="H393"/>
      <c r="I393"/>
      <c r="J393"/>
    </row>
    <row r="394" spans="7:10">
      <c r="G394"/>
      <c r="H394"/>
      <c r="I394"/>
      <c r="J394"/>
    </row>
    <row r="395" spans="7:10">
      <c r="G395"/>
      <c r="H395"/>
      <c r="I395"/>
      <c r="J395"/>
    </row>
    <row r="396" spans="7:10">
      <c r="G396"/>
      <c r="H396"/>
      <c r="I396"/>
      <c r="J396"/>
    </row>
  </sheetData>
  <sortState ref="F2:M33">
    <sortCondition ref="H2:H33"/>
    <sortCondition ref="M2:M33"/>
  </sortState>
  <dataConsolidate/>
  <conditionalFormatting sqref="D2:D101">
    <cfRule type="duplicateValues" dxfId="219" priority="9"/>
  </conditionalFormatting>
  <conditionalFormatting sqref="D102:D201">
    <cfRule type="duplicateValues" dxfId="218" priority="8"/>
  </conditionalFormatting>
  <conditionalFormatting sqref="J298:J391">
    <cfRule type="cellIs" dxfId="217" priority="7" operator="lessThan">
      <formula>0</formula>
    </cfRule>
  </conditionalFormatting>
  <conditionalFormatting sqref="J271:J391">
    <cfRule type="duplicateValues" dxfId="216" priority="10"/>
  </conditionalFormatting>
  <conditionalFormatting sqref="S102:S195">
    <cfRule type="cellIs" dxfId="215" priority="5" operator="lessThan">
      <formula>0</formula>
    </cfRule>
  </conditionalFormatting>
  <conditionalFormatting sqref="S2:S11 S13:S195">
    <cfRule type="duplicateValues" dxfId="214" priority="6"/>
  </conditionalFormatting>
  <conditionalFormatting sqref="S12">
    <cfRule type="duplicateValues" dxfId="213" priority="4"/>
  </conditionalFormatting>
  <conditionalFormatting sqref="I191:I270">
    <cfRule type="duplicateValues" dxfId="212" priority="3"/>
  </conditionalFormatting>
  <conditionalFormatting sqref="I77:I190">
    <cfRule type="duplicateValues" dxfId="211" priority="2"/>
  </conditionalFormatting>
  <conditionalFormatting sqref="J78:J190">
    <cfRule type="duplicateValues" dxfId="210" priority="1"/>
  </conditionalFormatting>
  <conditionalFormatting sqref="J34 J192:J270">
    <cfRule type="duplicateValues" dxfId="209" priority="11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C1:W396"/>
  <sheetViews>
    <sheetView topLeftCell="B209" zoomScale="80" zoomScaleNormal="80" zoomScalePageLayoutView="80" workbookViewId="0">
      <selection activeCell="M2" sqref="M2:M204"/>
    </sheetView>
  </sheetViews>
  <sheetFormatPr baseColWidth="10" defaultColWidth="11" defaultRowHeight="15" x14ac:dyDescent="0"/>
  <cols>
    <col min="3" max="3" width="16.1640625" bestFit="1" customWidth="1"/>
    <col min="5" max="5" width="7.5" customWidth="1"/>
    <col min="6" max="6" width="11" style="12"/>
    <col min="7" max="7" width="18.1640625" style="4" bestFit="1" customWidth="1"/>
    <col min="8" max="8" width="8.6640625" style="4" customWidth="1"/>
    <col min="9" max="9" width="18.5" style="9" bestFit="1" customWidth="1"/>
    <col min="10" max="10" width="11" style="8"/>
    <col min="11" max="11" width="8.5" style="4" bestFit="1" customWidth="1"/>
    <col min="12" max="12" width="4.5" style="4" customWidth="1"/>
    <col min="13" max="13" width="13.33203125" style="4" customWidth="1"/>
    <col min="14" max="14" width="18.1640625" bestFit="1" customWidth="1"/>
    <col min="19" max="19" width="14" style="2" customWidth="1"/>
    <col min="20" max="22" width="5.6640625" customWidth="1"/>
    <col min="23" max="23" width="16.1640625" bestFit="1" customWidth="1"/>
  </cols>
  <sheetData>
    <row r="1" spans="3:20" s="18" customFormat="1" ht="20">
      <c r="G1" s="19" t="s">
        <v>329</v>
      </c>
      <c r="H1" s="19" t="s">
        <v>334</v>
      </c>
      <c r="I1" s="20" t="s">
        <v>333</v>
      </c>
      <c r="J1" s="21" t="s">
        <v>332</v>
      </c>
      <c r="K1" s="19" t="s">
        <v>331</v>
      </c>
      <c r="L1" s="19" t="s">
        <v>1867</v>
      </c>
      <c r="M1" s="19" t="s">
        <v>1863</v>
      </c>
      <c r="N1" s="18" t="s">
        <v>329</v>
      </c>
      <c r="O1" s="18" t="s">
        <v>330</v>
      </c>
      <c r="S1" s="22"/>
    </row>
    <row r="2" spans="3:20">
      <c r="C2" s="3"/>
      <c r="F2" s="12">
        <v>35</v>
      </c>
      <c r="G2" s="48" t="s">
        <v>295</v>
      </c>
      <c r="H2" s="7">
        <f t="shared" ref="H2:H65" si="0">LOOKUP(G2,$N$2:$N$39,$O$2:$O$39)</f>
        <v>1</v>
      </c>
      <c r="I2" s="45">
        <v>40654.533437500002</v>
      </c>
      <c r="J2" s="44" t="s">
        <v>1495</v>
      </c>
      <c r="K2" s="4">
        <f t="shared" ref="K2:K65" si="1">IF(Q2&gt;Q1,1,K1+1)</f>
        <v>1</v>
      </c>
      <c r="L2" s="4">
        <v>4</v>
      </c>
      <c r="M2" s="4">
        <v>1</v>
      </c>
      <c r="N2" s="48" t="s">
        <v>295</v>
      </c>
      <c r="O2">
        <v>1</v>
      </c>
      <c r="Q2">
        <v>1</v>
      </c>
      <c r="S2" s="8"/>
      <c r="T2" s="10"/>
    </row>
    <row r="3" spans="3:20">
      <c r="C3" s="3"/>
      <c r="F3" s="12">
        <v>100</v>
      </c>
      <c r="G3" s="46" t="s">
        <v>295</v>
      </c>
      <c r="H3" s="7">
        <f t="shared" si="0"/>
        <v>1</v>
      </c>
      <c r="I3" s="45">
        <v>40682.70412037037</v>
      </c>
      <c r="J3" s="44" t="s">
        <v>474</v>
      </c>
      <c r="K3" s="4">
        <f t="shared" si="1"/>
        <v>2</v>
      </c>
      <c r="L3" s="4">
        <v>2</v>
      </c>
      <c r="M3" s="4">
        <v>2</v>
      </c>
      <c r="N3" s="56" t="s">
        <v>950</v>
      </c>
      <c r="O3">
        <v>2</v>
      </c>
      <c r="Q3">
        <v>1</v>
      </c>
      <c r="S3" s="8"/>
      <c r="T3" s="10"/>
    </row>
    <row r="4" spans="3:20">
      <c r="C4" s="3"/>
      <c r="F4" s="12">
        <v>102</v>
      </c>
      <c r="G4" s="56" t="s">
        <v>295</v>
      </c>
      <c r="H4" s="7">
        <f t="shared" si="0"/>
        <v>1</v>
      </c>
      <c r="I4" s="45">
        <v>40682.712372685186</v>
      </c>
      <c r="J4" s="44" t="s">
        <v>1470</v>
      </c>
      <c r="K4" s="4">
        <f t="shared" si="1"/>
        <v>3</v>
      </c>
      <c r="L4" s="4">
        <v>2</v>
      </c>
      <c r="M4" s="4">
        <v>3</v>
      </c>
      <c r="N4" s="56" t="s">
        <v>1580</v>
      </c>
      <c r="O4">
        <v>3</v>
      </c>
      <c r="Q4">
        <v>1</v>
      </c>
      <c r="S4" s="8"/>
      <c r="T4" s="10"/>
    </row>
    <row r="5" spans="3:20">
      <c r="C5" s="3"/>
      <c r="F5" s="12">
        <v>103</v>
      </c>
      <c r="G5" s="48" t="s">
        <v>295</v>
      </c>
      <c r="H5" s="7">
        <f t="shared" si="0"/>
        <v>1</v>
      </c>
      <c r="I5" s="45">
        <v>40682.713622685187</v>
      </c>
      <c r="J5" s="44" t="s">
        <v>453</v>
      </c>
      <c r="K5" s="4">
        <f t="shared" si="1"/>
        <v>4</v>
      </c>
      <c r="L5" s="4">
        <v>2</v>
      </c>
      <c r="M5" s="4">
        <v>4</v>
      </c>
      <c r="N5" s="48" t="s">
        <v>385</v>
      </c>
      <c r="O5">
        <v>4</v>
      </c>
      <c r="Q5">
        <v>1</v>
      </c>
      <c r="S5" s="8"/>
      <c r="T5" s="10"/>
    </row>
    <row r="6" spans="3:20">
      <c r="C6" s="3"/>
      <c r="F6" s="12">
        <v>112</v>
      </c>
      <c r="G6" s="56" t="s">
        <v>295</v>
      </c>
      <c r="H6" s="7">
        <f t="shared" si="0"/>
        <v>1</v>
      </c>
      <c r="I6" s="45">
        <v>40686.47278935185</v>
      </c>
      <c r="J6" s="44" t="s">
        <v>1449</v>
      </c>
      <c r="K6" s="4">
        <f t="shared" si="1"/>
        <v>5</v>
      </c>
      <c r="L6" s="4">
        <v>5</v>
      </c>
      <c r="M6" s="4">
        <v>5</v>
      </c>
      <c r="N6" s="48" t="s">
        <v>292</v>
      </c>
      <c r="O6">
        <v>5</v>
      </c>
      <c r="Q6">
        <v>1</v>
      </c>
      <c r="S6" s="8"/>
      <c r="T6" s="10"/>
    </row>
    <row r="7" spans="3:20">
      <c r="C7" s="3"/>
      <c r="F7" s="12">
        <v>173</v>
      </c>
      <c r="G7" s="56" t="s">
        <v>295</v>
      </c>
      <c r="H7" s="7">
        <f t="shared" si="0"/>
        <v>1</v>
      </c>
      <c r="I7" s="45">
        <v>40708.73978009259</v>
      </c>
      <c r="J7" s="44" t="s">
        <v>1305</v>
      </c>
      <c r="K7" s="4">
        <f t="shared" si="1"/>
        <v>6</v>
      </c>
      <c r="L7" s="4">
        <v>2</v>
      </c>
      <c r="M7" s="4">
        <v>6</v>
      </c>
      <c r="N7" s="48" t="s">
        <v>1447</v>
      </c>
      <c r="O7">
        <v>6</v>
      </c>
      <c r="Q7">
        <v>1</v>
      </c>
      <c r="S7" s="8"/>
      <c r="T7" s="10"/>
    </row>
    <row r="8" spans="3:20">
      <c r="C8" s="3"/>
      <c r="F8" s="12">
        <v>163</v>
      </c>
      <c r="G8" s="56" t="s">
        <v>950</v>
      </c>
      <c r="H8" s="7">
        <f t="shared" si="0"/>
        <v>2</v>
      </c>
      <c r="I8" s="45">
        <v>40707.271458333336</v>
      </c>
      <c r="J8" s="44" t="s">
        <v>949</v>
      </c>
      <c r="K8" s="4">
        <f t="shared" si="1"/>
        <v>1</v>
      </c>
      <c r="L8" s="4">
        <v>2</v>
      </c>
      <c r="M8" s="4">
        <v>1</v>
      </c>
      <c r="N8" s="56" t="s">
        <v>1175</v>
      </c>
      <c r="O8">
        <v>7</v>
      </c>
      <c r="Q8">
        <v>2</v>
      </c>
      <c r="S8" s="8"/>
      <c r="T8" s="10"/>
    </row>
    <row r="9" spans="3:20">
      <c r="C9" s="3"/>
      <c r="F9" s="12">
        <v>108</v>
      </c>
      <c r="G9" s="56" t="s">
        <v>1580</v>
      </c>
      <c r="H9" s="7">
        <f t="shared" si="0"/>
        <v>3</v>
      </c>
      <c r="I9" s="45">
        <v>40685.980069444442</v>
      </c>
      <c r="J9" s="44" t="s">
        <v>1331</v>
      </c>
      <c r="K9" s="4">
        <f t="shared" si="1"/>
        <v>1</v>
      </c>
      <c r="L9" s="4">
        <v>2</v>
      </c>
      <c r="M9" s="4">
        <v>1</v>
      </c>
      <c r="N9" s="48" t="s">
        <v>293</v>
      </c>
      <c r="O9">
        <v>8</v>
      </c>
      <c r="Q9">
        <v>3</v>
      </c>
      <c r="S9" s="8"/>
      <c r="T9" s="10"/>
    </row>
    <row r="10" spans="3:20">
      <c r="C10" s="3"/>
      <c r="D10" s="1"/>
      <c r="F10" s="12">
        <v>107</v>
      </c>
      <c r="G10" s="48" t="s">
        <v>385</v>
      </c>
      <c r="H10" s="7">
        <f t="shared" si="0"/>
        <v>4</v>
      </c>
      <c r="I10" s="45">
        <v>40685.980069444442</v>
      </c>
      <c r="J10" s="44" t="s">
        <v>1330</v>
      </c>
      <c r="K10" s="4">
        <f t="shared" si="1"/>
        <v>1</v>
      </c>
      <c r="L10" s="4">
        <v>2</v>
      </c>
      <c r="M10" s="4">
        <v>1</v>
      </c>
      <c r="N10" s="48" t="s">
        <v>1082</v>
      </c>
      <c r="O10">
        <v>9</v>
      </c>
      <c r="Q10">
        <v>4</v>
      </c>
      <c r="S10" s="8"/>
      <c r="T10" s="10"/>
    </row>
    <row r="11" spans="3:20">
      <c r="C11" s="3"/>
      <c r="F11" s="12">
        <v>115</v>
      </c>
      <c r="G11" s="48" t="s">
        <v>385</v>
      </c>
      <c r="H11" s="7">
        <f t="shared" si="0"/>
        <v>4</v>
      </c>
      <c r="I11" s="45">
        <v>40691.509375000001</v>
      </c>
      <c r="J11" s="44" t="s">
        <v>691</v>
      </c>
      <c r="K11" s="4">
        <f t="shared" si="1"/>
        <v>2</v>
      </c>
      <c r="L11" s="4">
        <v>2</v>
      </c>
      <c r="M11" s="4">
        <v>2</v>
      </c>
      <c r="N11" s="48" t="s">
        <v>857</v>
      </c>
      <c r="O11">
        <v>10</v>
      </c>
      <c r="Q11">
        <v>4</v>
      </c>
      <c r="S11" s="8"/>
    </row>
    <row r="12" spans="3:20">
      <c r="C12" s="3"/>
      <c r="F12" s="12">
        <v>117</v>
      </c>
      <c r="G12" s="48" t="s">
        <v>385</v>
      </c>
      <c r="H12" s="7">
        <f t="shared" si="0"/>
        <v>4</v>
      </c>
      <c r="I12" s="45">
        <v>40691.705914351849</v>
      </c>
      <c r="J12" s="44" t="s">
        <v>581</v>
      </c>
      <c r="K12" s="4">
        <f t="shared" si="1"/>
        <v>3</v>
      </c>
      <c r="L12" s="4">
        <v>6</v>
      </c>
      <c r="M12" s="4">
        <v>3</v>
      </c>
      <c r="N12" s="46" t="s">
        <v>583</v>
      </c>
      <c r="O12">
        <v>11</v>
      </c>
      <c r="Q12">
        <v>4</v>
      </c>
      <c r="S12" s="8"/>
    </row>
    <row r="13" spans="3:20">
      <c r="C13" s="3"/>
      <c r="F13" s="12">
        <v>123</v>
      </c>
      <c r="G13" s="48" t="s">
        <v>385</v>
      </c>
      <c r="H13" s="7">
        <f t="shared" si="0"/>
        <v>4</v>
      </c>
      <c r="I13" s="45">
        <v>40691.526828703703</v>
      </c>
      <c r="J13" s="44">
        <v>8714352</v>
      </c>
      <c r="K13" s="4">
        <f t="shared" si="1"/>
        <v>4</v>
      </c>
      <c r="L13" s="4">
        <v>2</v>
      </c>
      <c r="M13" s="4">
        <v>4</v>
      </c>
      <c r="N13" s="48" t="s">
        <v>887</v>
      </c>
      <c r="O13">
        <v>12</v>
      </c>
      <c r="Q13">
        <v>4</v>
      </c>
      <c r="S13" s="8"/>
    </row>
    <row r="14" spans="3:20">
      <c r="C14" s="3"/>
      <c r="D14" s="1"/>
      <c r="F14" s="12">
        <v>126</v>
      </c>
      <c r="G14" s="56" t="s">
        <v>385</v>
      </c>
      <c r="H14" s="7">
        <f t="shared" si="0"/>
        <v>4</v>
      </c>
      <c r="I14" s="45">
        <v>40694.421041666668</v>
      </c>
      <c r="J14" s="44" t="s">
        <v>1038</v>
      </c>
      <c r="K14" s="4">
        <f t="shared" si="1"/>
        <v>5</v>
      </c>
      <c r="L14" s="4">
        <v>7</v>
      </c>
      <c r="M14" s="4">
        <v>5</v>
      </c>
      <c r="N14" s="46" t="s">
        <v>488</v>
      </c>
      <c r="O14">
        <v>13</v>
      </c>
      <c r="Q14">
        <v>4</v>
      </c>
      <c r="S14" s="8"/>
      <c r="T14" s="10"/>
    </row>
    <row r="15" spans="3:20">
      <c r="C15" s="3"/>
      <c r="F15" s="12">
        <v>130</v>
      </c>
      <c r="G15" s="46" t="s">
        <v>385</v>
      </c>
      <c r="H15" s="7">
        <f t="shared" si="0"/>
        <v>4</v>
      </c>
      <c r="I15" s="45">
        <v>40695.972395833334</v>
      </c>
      <c r="J15" s="44">
        <v>454682</v>
      </c>
      <c r="K15" s="4">
        <f t="shared" si="1"/>
        <v>6</v>
      </c>
      <c r="L15" s="4">
        <v>0</v>
      </c>
      <c r="M15" s="4">
        <v>6</v>
      </c>
      <c r="N15" s="48" t="s">
        <v>294</v>
      </c>
      <c r="O15">
        <v>14</v>
      </c>
      <c r="Q15">
        <v>4</v>
      </c>
      <c r="S15" s="8"/>
      <c r="T15" s="10"/>
    </row>
    <row r="16" spans="3:20">
      <c r="C16" s="3"/>
      <c r="F16" s="12">
        <v>197</v>
      </c>
      <c r="G16" s="56" t="s">
        <v>385</v>
      </c>
      <c r="H16" s="7">
        <f t="shared" si="0"/>
        <v>4</v>
      </c>
      <c r="I16" s="45">
        <v>40717.465046296296</v>
      </c>
      <c r="J16" s="44" t="s">
        <v>940</v>
      </c>
      <c r="K16" s="4">
        <f t="shared" si="1"/>
        <v>7</v>
      </c>
      <c r="L16" s="4">
        <v>2</v>
      </c>
      <c r="M16" s="4">
        <v>7</v>
      </c>
      <c r="N16" s="48" t="s">
        <v>325</v>
      </c>
      <c r="O16">
        <v>15</v>
      </c>
      <c r="Q16">
        <v>4</v>
      </c>
      <c r="S16" s="8"/>
      <c r="T16" s="10"/>
    </row>
    <row r="17" spans="3:23">
      <c r="C17" s="3"/>
      <c r="F17" s="12">
        <v>8</v>
      </c>
      <c r="G17" s="48" t="s">
        <v>292</v>
      </c>
      <c r="H17" s="7">
        <f t="shared" si="0"/>
        <v>5</v>
      </c>
      <c r="I17" s="45">
        <v>40643.604108796295</v>
      </c>
      <c r="J17" s="44" t="s">
        <v>1179</v>
      </c>
      <c r="K17" s="4">
        <f t="shared" si="1"/>
        <v>1</v>
      </c>
      <c r="L17" s="4">
        <v>3</v>
      </c>
      <c r="M17" s="4">
        <v>1</v>
      </c>
      <c r="N17" s="48" t="s">
        <v>731</v>
      </c>
      <c r="O17">
        <v>16</v>
      </c>
      <c r="Q17">
        <v>5</v>
      </c>
      <c r="S17" s="8"/>
      <c r="T17" s="10"/>
    </row>
    <row r="18" spans="3:23">
      <c r="C18" s="3"/>
      <c r="F18" s="12">
        <v>96</v>
      </c>
      <c r="G18" s="56" t="s">
        <v>292</v>
      </c>
      <c r="H18" s="7">
        <f t="shared" si="0"/>
        <v>5</v>
      </c>
      <c r="I18" s="45">
        <v>40681.764039351852</v>
      </c>
      <c r="J18" s="44" t="s">
        <v>1278</v>
      </c>
      <c r="K18" s="4">
        <f t="shared" si="1"/>
        <v>2</v>
      </c>
      <c r="L18" s="4">
        <v>2</v>
      </c>
      <c r="M18" s="4">
        <v>2</v>
      </c>
      <c r="N18" s="56" t="s">
        <v>1499</v>
      </c>
      <c r="O18">
        <v>17</v>
      </c>
      <c r="Q18">
        <v>5</v>
      </c>
      <c r="S18" s="25" t="s">
        <v>1872</v>
      </c>
    </row>
    <row r="19" spans="3:23">
      <c r="C19" s="3"/>
      <c r="D19" s="1"/>
      <c r="F19" s="12">
        <v>99</v>
      </c>
      <c r="G19" s="48" t="s">
        <v>292</v>
      </c>
      <c r="H19" s="7">
        <f t="shared" si="0"/>
        <v>5</v>
      </c>
      <c r="I19" s="45">
        <v>40677.722604166665</v>
      </c>
      <c r="J19" s="57" t="s">
        <v>1572</v>
      </c>
      <c r="K19" s="4">
        <f t="shared" si="1"/>
        <v>3</v>
      </c>
      <c r="L19" s="4">
        <v>10</v>
      </c>
      <c r="M19" s="4">
        <v>3</v>
      </c>
      <c r="N19" s="46" t="s">
        <v>336</v>
      </c>
      <c r="O19">
        <v>18</v>
      </c>
      <c r="Q19">
        <v>5</v>
      </c>
      <c r="S19" s="25" t="s">
        <v>1870</v>
      </c>
      <c r="T19" t="s">
        <v>1869</v>
      </c>
    </row>
    <row r="20" spans="3:23">
      <c r="C20" s="3"/>
      <c r="F20" s="12">
        <v>131</v>
      </c>
      <c r="G20" s="48" t="s">
        <v>292</v>
      </c>
      <c r="H20" s="7">
        <f t="shared" si="0"/>
        <v>5</v>
      </c>
      <c r="I20" s="45">
        <v>40684.61209490741</v>
      </c>
      <c r="J20" s="44" t="s">
        <v>464</v>
      </c>
      <c r="K20" s="4">
        <f t="shared" si="1"/>
        <v>4</v>
      </c>
      <c r="L20" s="4">
        <v>3</v>
      </c>
      <c r="M20" s="4">
        <v>4</v>
      </c>
      <c r="N20" s="48" t="s">
        <v>288</v>
      </c>
      <c r="O20">
        <v>19</v>
      </c>
      <c r="Q20">
        <v>5</v>
      </c>
      <c r="S20" s="26">
        <v>1</v>
      </c>
      <c r="T20" s="4">
        <v>6</v>
      </c>
    </row>
    <row r="21" spans="3:23">
      <c r="C21" s="3"/>
      <c r="F21" s="12">
        <v>139</v>
      </c>
      <c r="G21" s="48" t="s">
        <v>292</v>
      </c>
      <c r="H21" s="7">
        <f t="shared" si="0"/>
        <v>5</v>
      </c>
      <c r="I21" s="45">
        <v>40697.853078703702</v>
      </c>
      <c r="J21" s="44" t="s">
        <v>897</v>
      </c>
      <c r="K21" s="4">
        <f t="shared" si="1"/>
        <v>5</v>
      </c>
      <c r="L21" s="4">
        <v>2</v>
      </c>
      <c r="M21" s="4">
        <v>5</v>
      </c>
      <c r="N21" s="56" t="s">
        <v>455</v>
      </c>
      <c r="O21">
        <v>20</v>
      </c>
      <c r="Q21">
        <v>5</v>
      </c>
      <c r="S21" s="26">
        <v>2</v>
      </c>
      <c r="T21" s="4">
        <v>1</v>
      </c>
    </row>
    <row r="22" spans="3:23">
      <c r="C22" s="3"/>
      <c r="F22" s="12">
        <v>111</v>
      </c>
      <c r="G22" s="48" t="s">
        <v>1447</v>
      </c>
      <c r="H22" s="7">
        <f t="shared" si="0"/>
        <v>6</v>
      </c>
      <c r="I22" s="45">
        <v>40666.680844907409</v>
      </c>
      <c r="J22" s="44" t="s">
        <v>1448</v>
      </c>
      <c r="K22" s="4">
        <f t="shared" si="1"/>
        <v>1</v>
      </c>
      <c r="L22" s="4">
        <v>2</v>
      </c>
      <c r="M22" s="4">
        <v>1</v>
      </c>
      <c r="N22" s="46" t="s">
        <v>543</v>
      </c>
      <c r="O22">
        <v>21</v>
      </c>
      <c r="Q22">
        <v>6</v>
      </c>
      <c r="S22" s="26">
        <v>3</v>
      </c>
      <c r="T22" s="4">
        <v>1</v>
      </c>
    </row>
    <row r="23" spans="3:23">
      <c r="C23" s="3"/>
      <c r="F23" s="12">
        <v>88</v>
      </c>
      <c r="G23" s="56" t="s">
        <v>1175</v>
      </c>
      <c r="H23" s="7">
        <f t="shared" si="0"/>
        <v>7</v>
      </c>
      <c r="I23" s="45">
        <v>40676.62903935185</v>
      </c>
      <c r="J23" s="44" t="s">
        <v>1174</v>
      </c>
      <c r="K23" s="4">
        <f t="shared" si="1"/>
        <v>1</v>
      </c>
      <c r="L23" s="4">
        <v>3</v>
      </c>
      <c r="M23" s="4">
        <v>1</v>
      </c>
      <c r="N23" s="56" t="s">
        <v>651</v>
      </c>
      <c r="O23">
        <v>22</v>
      </c>
      <c r="Q23">
        <v>7</v>
      </c>
      <c r="S23" s="26">
        <v>4</v>
      </c>
      <c r="T23" s="4">
        <v>7</v>
      </c>
    </row>
    <row r="24" spans="3:23">
      <c r="C24" s="3"/>
      <c r="F24" s="12">
        <v>105</v>
      </c>
      <c r="G24" s="48" t="s">
        <v>293</v>
      </c>
      <c r="H24" s="7">
        <f t="shared" si="0"/>
        <v>8</v>
      </c>
      <c r="I24" s="45">
        <v>40685.882372685184</v>
      </c>
      <c r="J24" s="44" t="s">
        <v>993</v>
      </c>
      <c r="K24" s="4">
        <f t="shared" si="1"/>
        <v>1</v>
      </c>
      <c r="L24" s="4">
        <v>2</v>
      </c>
      <c r="M24" s="4">
        <v>1</v>
      </c>
      <c r="N24" s="56" t="s">
        <v>1578</v>
      </c>
      <c r="O24">
        <v>23</v>
      </c>
      <c r="Q24">
        <v>8</v>
      </c>
      <c r="S24" s="26">
        <v>5</v>
      </c>
      <c r="T24" s="4">
        <v>5</v>
      </c>
    </row>
    <row r="25" spans="3:23">
      <c r="C25" s="3"/>
      <c r="F25" s="12">
        <v>132</v>
      </c>
      <c r="G25" s="56" t="s">
        <v>293</v>
      </c>
      <c r="H25" s="7">
        <f t="shared" si="0"/>
        <v>8</v>
      </c>
      <c r="I25" s="45">
        <v>40696.686469907407</v>
      </c>
      <c r="J25" s="44" t="s">
        <v>465</v>
      </c>
      <c r="K25" s="4">
        <f t="shared" si="1"/>
        <v>2</v>
      </c>
      <c r="L25" s="4">
        <v>4</v>
      </c>
      <c r="M25" s="4">
        <v>2</v>
      </c>
      <c r="N25" s="56" t="s">
        <v>306</v>
      </c>
      <c r="O25">
        <v>24</v>
      </c>
      <c r="Q25">
        <v>8</v>
      </c>
      <c r="S25" s="26">
        <v>6</v>
      </c>
      <c r="T25" s="4">
        <v>1</v>
      </c>
    </row>
    <row r="26" spans="3:23">
      <c r="C26" s="3"/>
      <c r="F26" s="12">
        <v>199</v>
      </c>
      <c r="G26" s="56" t="s">
        <v>293</v>
      </c>
      <c r="H26" s="7">
        <f t="shared" si="0"/>
        <v>8</v>
      </c>
      <c r="I26" s="45">
        <v>40718.919259259259</v>
      </c>
      <c r="J26" s="44" t="s">
        <v>814</v>
      </c>
      <c r="K26" s="4">
        <f t="shared" si="1"/>
        <v>3</v>
      </c>
      <c r="L26" s="4">
        <v>2</v>
      </c>
      <c r="M26" s="4">
        <v>3</v>
      </c>
      <c r="N26" s="48" t="s">
        <v>423</v>
      </c>
      <c r="O26">
        <v>25</v>
      </c>
      <c r="Q26">
        <v>8</v>
      </c>
      <c r="S26" s="26">
        <v>7</v>
      </c>
      <c r="T26" s="4">
        <v>1</v>
      </c>
    </row>
    <row r="27" spans="3:23">
      <c r="C27" s="3"/>
      <c r="F27" s="12">
        <v>97</v>
      </c>
      <c r="G27" s="48" t="s">
        <v>1082</v>
      </c>
      <c r="H27" s="7">
        <f t="shared" si="0"/>
        <v>9</v>
      </c>
      <c r="I27" s="45">
        <v>40680.06144675926</v>
      </c>
      <c r="J27" s="44" t="s">
        <v>1083</v>
      </c>
      <c r="K27" s="4">
        <f t="shared" si="1"/>
        <v>1</v>
      </c>
      <c r="L27" s="4">
        <v>2</v>
      </c>
      <c r="M27" s="4">
        <v>1</v>
      </c>
      <c r="N27" s="56" t="s">
        <v>300</v>
      </c>
      <c r="O27">
        <v>26</v>
      </c>
      <c r="Q27">
        <v>9</v>
      </c>
      <c r="S27" s="26">
        <v>8</v>
      </c>
      <c r="T27" s="4">
        <v>3</v>
      </c>
    </row>
    <row r="28" spans="3:23">
      <c r="C28" s="3"/>
      <c r="F28" s="12">
        <v>200</v>
      </c>
      <c r="G28" s="48" t="s">
        <v>857</v>
      </c>
      <c r="H28" s="7">
        <f t="shared" si="0"/>
        <v>10</v>
      </c>
      <c r="I28" s="45">
        <v>40716.208645833336</v>
      </c>
      <c r="J28" s="44" t="s">
        <v>858</v>
      </c>
      <c r="K28" s="4">
        <f t="shared" si="1"/>
        <v>1</v>
      </c>
      <c r="L28" s="4">
        <v>3</v>
      </c>
      <c r="M28" s="4">
        <v>1</v>
      </c>
      <c r="N28" s="48" t="s">
        <v>918</v>
      </c>
      <c r="O28">
        <v>27</v>
      </c>
      <c r="Q28">
        <v>10</v>
      </c>
      <c r="S28" s="26">
        <v>9</v>
      </c>
      <c r="T28" s="4">
        <v>1</v>
      </c>
    </row>
    <row r="29" spans="3:23">
      <c r="C29" s="3"/>
      <c r="F29" s="12">
        <v>118</v>
      </c>
      <c r="G29" s="46" t="s">
        <v>583</v>
      </c>
      <c r="H29" s="7">
        <f t="shared" si="0"/>
        <v>11</v>
      </c>
      <c r="I29" s="45">
        <v>40691.739444444444</v>
      </c>
      <c r="J29" s="44" t="s">
        <v>582</v>
      </c>
      <c r="K29" s="4">
        <f t="shared" si="1"/>
        <v>1</v>
      </c>
      <c r="L29" s="4">
        <v>5</v>
      </c>
      <c r="M29" s="4">
        <v>1</v>
      </c>
      <c r="N29" s="56" t="s">
        <v>1130</v>
      </c>
      <c r="O29">
        <v>28</v>
      </c>
      <c r="Q29">
        <v>11</v>
      </c>
      <c r="S29" s="26">
        <v>10</v>
      </c>
      <c r="T29" s="4">
        <v>1</v>
      </c>
    </row>
    <row r="30" spans="3:23">
      <c r="C30" s="3"/>
      <c r="F30" s="12">
        <v>143</v>
      </c>
      <c r="G30" s="48" t="s">
        <v>887</v>
      </c>
      <c r="H30" s="7">
        <f t="shared" si="0"/>
        <v>12</v>
      </c>
      <c r="I30" s="45">
        <v>40699.548449074071</v>
      </c>
      <c r="J30" s="44" t="s">
        <v>888</v>
      </c>
      <c r="K30" s="4">
        <f t="shared" si="1"/>
        <v>1</v>
      </c>
      <c r="L30" s="4">
        <v>2</v>
      </c>
      <c r="M30" s="4">
        <v>1</v>
      </c>
      <c r="N30" s="56" t="s">
        <v>416</v>
      </c>
      <c r="O30">
        <v>29</v>
      </c>
      <c r="Q30">
        <v>12</v>
      </c>
      <c r="S30" s="26">
        <v>11</v>
      </c>
      <c r="T30" s="4">
        <v>1</v>
      </c>
    </row>
    <row r="31" spans="3:23">
      <c r="C31" s="3"/>
      <c r="F31" s="12">
        <v>48</v>
      </c>
      <c r="G31" s="46" t="s">
        <v>488</v>
      </c>
      <c r="H31" s="7">
        <f t="shared" si="0"/>
        <v>13</v>
      </c>
      <c r="I31" s="45">
        <v>40661.900243055556</v>
      </c>
      <c r="J31" s="44" t="s">
        <v>487</v>
      </c>
      <c r="K31" s="4">
        <f t="shared" si="1"/>
        <v>1</v>
      </c>
      <c r="L31" s="4">
        <v>2</v>
      </c>
      <c r="M31" s="4">
        <v>1</v>
      </c>
      <c r="N31" s="56" t="s">
        <v>974</v>
      </c>
      <c r="O31">
        <v>30</v>
      </c>
      <c r="Q31">
        <v>13</v>
      </c>
      <c r="S31" s="26">
        <v>12</v>
      </c>
      <c r="T31" s="4">
        <v>1</v>
      </c>
      <c r="W31" t="s">
        <v>1873</v>
      </c>
    </row>
    <row r="32" spans="3:23">
      <c r="C32" s="3"/>
      <c r="F32" s="12">
        <v>10</v>
      </c>
      <c r="G32" s="48" t="s">
        <v>294</v>
      </c>
      <c r="H32" s="7">
        <f t="shared" si="0"/>
        <v>14</v>
      </c>
      <c r="I32" s="45">
        <v>40634.028726851851</v>
      </c>
      <c r="J32" s="44" t="s">
        <v>1043</v>
      </c>
      <c r="K32" s="4">
        <f t="shared" si="1"/>
        <v>1</v>
      </c>
      <c r="L32" s="4">
        <v>2</v>
      </c>
      <c r="M32" s="4">
        <v>1</v>
      </c>
      <c r="N32" s="56" t="s">
        <v>289</v>
      </c>
      <c r="O32">
        <v>31</v>
      </c>
      <c r="Q32">
        <v>14</v>
      </c>
      <c r="S32" s="26">
        <v>13</v>
      </c>
      <c r="T32" s="4">
        <v>1</v>
      </c>
      <c r="W32">
        <f>T58/S57</f>
        <v>5.3421052631578947</v>
      </c>
    </row>
    <row r="33" spans="3:20">
      <c r="C33" s="3"/>
      <c r="F33" s="12">
        <v>33</v>
      </c>
      <c r="G33" s="48" t="s">
        <v>294</v>
      </c>
      <c r="H33" s="7">
        <f t="shared" si="0"/>
        <v>14</v>
      </c>
      <c r="I33" s="45">
        <v>40647.134837962964</v>
      </c>
      <c r="J33" s="44" t="s">
        <v>806</v>
      </c>
      <c r="K33" s="4">
        <f t="shared" si="1"/>
        <v>2</v>
      </c>
      <c r="L33" s="4">
        <v>17</v>
      </c>
      <c r="M33" s="4">
        <v>2</v>
      </c>
      <c r="N33" s="48" t="s">
        <v>1468</v>
      </c>
      <c r="O33">
        <v>32</v>
      </c>
      <c r="Q33">
        <v>14</v>
      </c>
      <c r="S33" s="26">
        <v>14</v>
      </c>
      <c r="T33" s="4">
        <v>6</v>
      </c>
    </row>
    <row r="34" spans="3:20">
      <c r="C34" s="3"/>
      <c r="F34" s="12">
        <v>55</v>
      </c>
      <c r="G34" s="48" t="s">
        <v>294</v>
      </c>
      <c r="H34" s="7">
        <f t="shared" si="0"/>
        <v>14</v>
      </c>
      <c r="I34" s="45">
        <v>40653.032881944448</v>
      </c>
      <c r="J34" s="44" t="s">
        <v>1149</v>
      </c>
      <c r="K34" s="4">
        <f t="shared" si="1"/>
        <v>3</v>
      </c>
      <c r="L34" s="4">
        <v>5</v>
      </c>
      <c r="M34" s="4">
        <v>3</v>
      </c>
      <c r="N34" s="56" t="s">
        <v>299</v>
      </c>
      <c r="O34">
        <v>33</v>
      </c>
      <c r="Q34">
        <v>14</v>
      </c>
      <c r="S34" s="26">
        <v>15</v>
      </c>
      <c r="T34" s="4">
        <v>3</v>
      </c>
    </row>
    <row r="35" spans="3:20">
      <c r="C35" s="3"/>
      <c r="F35" s="12">
        <v>57</v>
      </c>
      <c r="G35" s="48" t="s">
        <v>294</v>
      </c>
      <c r="H35" s="7">
        <f t="shared" si="0"/>
        <v>14</v>
      </c>
      <c r="I35" s="45">
        <v>40664.292511574073</v>
      </c>
      <c r="J35" s="44" t="s">
        <v>1289</v>
      </c>
      <c r="K35" s="4">
        <f t="shared" si="1"/>
        <v>4</v>
      </c>
      <c r="L35" s="4">
        <v>2</v>
      </c>
      <c r="M35" s="4">
        <v>4</v>
      </c>
      <c r="N35" s="48" t="s">
        <v>438</v>
      </c>
      <c r="O35">
        <v>34</v>
      </c>
      <c r="Q35">
        <v>14</v>
      </c>
      <c r="S35" s="26">
        <v>16</v>
      </c>
      <c r="T35" s="4">
        <v>2</v>
      </c>
    </row>
    <row r="36" spans="3:20">
      <c r="C36" s="3"/>
      <c r="F36" s="12">
        <v>59</v>
      </c>
      <c r="G36" s="56" t="s">
        <v>294</v>
      </c>
      <c r="H36" s="7">
        <f t="shared" si="0"/>
        <v>14</v>
      </c>
      <c r="I36" s="45">
        <v>40664.665127314816</v>
      </c>
      <c r="J36" s="44" t="s">
        <v>1177</v>
      </c>
      <c r="K36" s="4">
        <f t="shared" si="1"/>
        <v>5</v>
      </c>
      <c r="L36" s="4">
        <v>2</v>
      </c>
      <c r="M36" s="4">
        <v>5</v>
      </c>
      <c r="N36" s="46" t="s">
        <v>297</v>
      </c>
      <c r="O36">
        <v>35</v>
      </c>
      <c r="Q36">
        <v>14</v>
      </c>
      <c r="S36" s="26">
        <v>17</v>
      </c>
      <c r="T36" s="4">
        <v>1</v>
      </c>
    </row>
    <row r="37" spans="3:20">
      <c r="C37" s="3"/>
      <c r="F37" s="12">
        <v>80</v>
      </c>
      <c r="G37" s="48" t="s">
        <v>294</v>
      </c>
      <c r="H37" s="7">
        <f t="shared" si="0"/>
        <v>14</v>
      </c>
      <c r="I37" s="45">
        <v>40673.141319444447</v>
      </c>
      <c r="J37" s="44" t="s">
        <v>436</v>
      </c>
      <c r="K37" s="4">
        <f t="shared" si="1"/>
        <v>6</v>
      </c>
      <c r="L37" s="4">
        <v>15</v>
      </c>
      <c r="M37" s="4">
        <v>6</v>
      </c>
      <c r="N37" s="48" t="s">
        <v>315</v>
      </c>
      <c r="O37">
        <v>36</v>
      </c>
      <c r="Q37">
        <v>14</v>
      </c>
      <c r="S37" s="26">
        <v>18</v>
      </c>
      <c r="T37" s="4">
        <v>17</v>
      </c>
    </row>
    <row r="38" spans="3:20">
      <c r="C38" s="3"/>
      <c r="F38" s="12">
        <v>53</v>
      </c>
      <c r="G38" s="48" t="s">
        <v>325</v>
      </c>
      <c r="H38" s="7">
        <f t="shared" si="0"/>
        <v>15</v>
      </c>
      <c r="I38" s="45">
        <v>40659.490567129629</v>
      </c>
      <c r="J38" s="44" t="s">
        <v>971</v>
      </c>
      <c r="K38" s="4">
        <f t="shared" si="1"/>
        <v>1</v>
      </c>
      <c r="L38" s="4">
        <v>2</v>
      </c>
      <c r="M38" s="4">
        <v>1</v>
      </c>
      <c r="N38" s="56" t="s">
        <v>291</v>
      </c>
      <c r="O38">
        <v>37</v>
      </c>
      <c r="Q38">
        <v>15</v>
      </c>
      <c r="S38" s="26">
        <v>19</v>
      </c>
      <c r="T38" s="4">
        <v>62</v>
      </c>
    </row>
    <row r="39" spans="3:20">
      <c r="C39" s="3"/>
      <c r="F39" s="12">
        <v>160</v>
      </c>
      <c r="G39" s="48" t="s">
        <v>325</v>
      </c>
      <c r="H39" s="7">
        <f t="shared" si="0"/>
        <v>15</v>
      </c>
      <c r="I39" s="45">
        <v>40703.655185185184</v>
      </c>
      <c r="J39" s="44" t="s">
        <v>1345</v>
      </c>
      <c r="K39" s="4">
        <f t="shared" si="1"/>
        <v>2</v>
      </c>
      <c r="L39" s="4">
        <v>2</v>
      </c>
      <c r="M39" s="4">
        <v>2</v>
      </c>
      <c r="N39" s="56" t="s">
        <v>812</v>
      </c>
      <c r="O39">
        <v>38</v>
      </c>
      <c r="Q39">
        <v>15</v>
      </c>
      <c r="S39" s="26">
        <v>20</v>
      </c>
      <c r="T39" s="4">
        <v>5</v>
      </c>
    </row>
    <row r="40" spans="3:20">
      <c r="C40" s="3"/>
      <c r="F40" s="12">
        <v>168</v>
      </c>
      <c r="G40" s="48" t="s">
        <v>325</v>
      </c>
      <c r="H40" s="7">
        <f t="shared" si="0"/>
        <v>15</v>
      </c>
      <c r="I40" s="45">
        <v>40707.867256944446</v>
      </c>
      <c r="J40" s="44" t="s">
        <v>1512</v>
      </c>
      <c r="K40" s="4">
        <f t="shared" si="1"/>
        <v>3</v>
      </c>
      <c r="L40" s="4">
        <v>3</v>
      </c>
      <c r="M40" s="4">
        <v>3</v>
      </c>
      <c r="Q40">
        <v>15</v>
      </c>
      <c r="S40" s="26">
        <v>21</v>
      </c>
      <c r="T40" s="4">
        <v>1</v>
      </c>
    </row>
    <row r="41" spans="3:20">
      <c r="C41" s="3"/>
      <c r="F41" s="12">
        <v>185</v>
      </c>
      <c r="G41" s="48" t="s">
        <v>731</v>
      </c>
      <c r="H41" s="7">
        <f t="shared" si="0"/>
        <v>16</v>
      </c>
      <c r="I41" s="45">
        <v>40700.962083333332</v>
      </c>
      <c r="J41" s="44" t="s">
        <v>800</v>
      </c>
      <c r="K41" s="4">
        <f t="shared" si="1"/>
        <v>1</v>
      </c>
      <c r="L41" s="4">
        <v>2</v>
      </c>
      <c r="M41" s="4">
        <v>1</v>
      </c>
      <c r="Q41">
        <v>16</v>
      </c>
      <c r="S41" s="26">
        <v>22</v>
      </c>
      <c r="T41" s="4">
        <v>3</v>
      </c>
    </row>
    <row r="42" spans="3:20">
      <c r="C42" s="3"/>
      <c r="F42" s="12">
        <v>187</v>
      </c>
      <c r="G42" s="48" t="s">
        <v>731</v>
      </c>
      <c r="H42" s="7">
        <f t="shared" si="0"/>
        <v>16</v>
      </c>
      <c r="I42" s="45">
        <v>40714.548356481479</v>
      </c>
      <c r="J42" s="44" t="s">
        <v>732</v>
      </c>
      <c r="K42" s="4">
        <f t="shared" si="1"/>
        <v>2</v>
      </c>
      <c r="L42" s="4">
        <v>2</v>
      </c>
      <c r="M42" s="4">
        <v>2</v>
      </c>
      <c r="Q42">
        <v>16</v>
      </c>
      <c r="S42" s="26">
        <v>23</v>
      </c>
      <c r="T42" s="4">
        <v>1</v>
      </c>
    </row>
    <row r="43" spans="3:20">
      <c r="C43" s="3"/>
      <c r="F43" s="12">
        <v>167</v>
      </c>
      <c r="G43" s="56" t="s">
        <v>1499</v>
      </c>
      <c r="H43" s="7">
        <f t="shared" si="0"/>
        <v>17</v>
      </c>
      <c r="I43" s="45">
        <v>40707.935057870367</v>
      </c>
      <c r="J43" s="44" t="s">
        <v>1498</v>
      </c>
      <c r="K43" s="4">
        <f t="shared" si="1"/>
        <v>1</v>
      </c>
      <c r="L43" s="4">
        <v>2</v>
      </c>
      <c r="M43" s="4">
        <v>1</v>
      </c>
      <c r="Q43">
        <v>17</v>
      </c>
      <c r="S43" s="26">
        <v>24</v>
      </c>
      <c r="T43" s="4">
        <v>6</v>
      </c>
    </row>
    <row r="44" spans="3:20">
      <c r="C44" s="3"/>
      <c r="F44" s="12">
        <v>13</v>
      </c>
      <c r="G44" s="46" t="s">
        <v>336</v>
      </c>
      <c r="H44" s="7">
        <f t="shared" si="0"/>
        <v>18</v>
      </c>
      <c r="I44" s="45">
        <v>40648.841087962966</v>
      </c>
      <c r="J44" s="44" t="s">
        <v>1165</v>
      </c>
      <c r="K44" s="4">
        <f t="shared" si="1"/>
        <v>1</v>
      </c>
      <c r="L44" s="4">
        <v>2</v>
      </c>
      <c r="M44" s="4">
        <v>1</v>
      </c>
      <c r="Q44">
        <v>18</v>
      </c>
      <c r="S44" s="26">
        <v>25</v>
      </c>
      <c r="T44" s="4">
        <v>4</v>
      </c>
    </row>
    <row r="45" spans="3:20">
      <c r="C45" s="3"/>
      <c r="F45" s="12">
        <v>17</v>
      </c>
      <c r="G45" s="46" t="s">
        <v>336</v>
      </c>
      <c r="H45" s="7">
        <f t="shared" si="0"/>
        <v>18</v>
      </c>
      <c r="I45" s="45">
        <v>40648.935798611114</v>
      </c>
      <c r="J45" s="44" t="s">
        <v>1153</v>
      </c>
      <c r="K45" s="4">
        <f t="shared" si="1"/>
        <v>2</v>
      </c>
      <c r="L45" s="4">
        <v>2</v>
      </c>
      <c r="M45" s="4">
        <v>2</v>
      </c>
      <c r="Q45">
        <v>18</v>
      </c>
      <c r="S45" s="26">
        <v>26</v>
      </c>
      <c r="T45" s="4">
        <v>20</v>
      </c>
    </row>
    <row r="46" spans="3:20">
      <c r="C46" s="3"/>
      <c r="F46" s="12">
        <v>19</v>
      </c>
      <c r="G46" s="46" t="s">
        <v>336</v>
      </c>
      <c r="H46" s="7">
        <f t="shared" si="0"/>
        <v>18</v>
      </c>
      <c r="I46" s="45">
        <v>40648.95753472222</v>
      </c>
      <c r="J46" s="44" t="s">
        <v>538</v>
      </c>
      <c r="K46" s="4">
        <f t="shared" si="1"/>
        <v>3</v>
      </c>
      <c r="L46" s="4">
        <v>2</v>
      </c>
      <c r="M46" s="4">
        <v>3</v>
      </c>
      <c r="Q46">
        <v>18</v>
      </c>
      <c r="S46" s="26">
        <v>27</v>
      </c>
      <c r="T46" s="4">
        <v>2</v>
      </c>
    </row>
    <row r="47" spans="3:20">
      <c r="C47" s="3"/>
      <c r="F47" s="12">
        <v>20</v>
      </c>
      <c r="G47" s="46" t="s">
        <v>336</v>
      </c>
      <c r="H47" s="7">
        <f t="shared" si="0"/>
        <v>18</v>
      </c>
      <c r="I47" s="45">
        <v>40651.553437499999</v>
      </c>
      <c r="J47" s="44" t="s">
        <v>539</v>
      </c>
      <c r="K47" s="4">
        <f t="shared" si="1"/>
        <v>4</v>
      </c>
      <c r="L47" s="4">
        <v>2</v>
      </c>
      <c r="M47" s="4">
        <v>4</v>
      </c>
      <c r="Q47">
        <v>18</v>
      </c>
      <c r="S47" s="26">
        <v>28</v>
      </c>
      <c r="T47" s="4">
        <v>1</v>
      </c>
    </row>
    <row r="48" spans="3:20">
      <c r="C48" s="3"/>
      <c r="F48" s="12">
        <v>22</v>
      </c>
      <c r="G48" s="46" t="s">
        <v>336</v>
      </c>
      <c r="H48" s="7">
        <f t="shared" si="0"/>
        <v>18</v>
      </c>
      <c r="I48" s="45">
        <v>40651.559212962966</v>
      </c>
      <c r="J48" s="44" t="s">
        <v>1479</v>
      </c>
      <c r="K48" s="4">
        <f t="shared" si="1"/>
        <v>5</v>
      </c>
      <c r="L48" s="4">
        <v>2</v>
      </c>
      <c r="M48" s="4">
        <v>5</v>
      </c>
      <c r="Q48">
        <v>18</v>
      </c>
      <c r="S48" s="26">
        <v>29</v>
      </c>
      <c r="T48" s="4">
        <v>3</v>
      </c>
    </row>
    <row r="49" spans="3:20">
      <c r="C49" s="3"/>
      <c r="F49" s="12">
        <v>26</v>
      </c>
      <c r="G49" s="46" t="s">
        <v>336</v>
      </c>
      <c r="H49" s="7">
        <f t="shared" si="0"/>
        <v>18</v>
      </c>
      <c r="I49" s="45">
        <v>40651.562523148146</v>
      </c>
      <c r="J49" s="44" t="s">
        <v>795</v>
      </c>
      <c r="K49" s="4">
        <f t="shared" si="1"/>
        <v>6</v>
      </c>
      <c r="L49" s="4">
        <v>2</v>
      </c>
      <c r="M49" s="4">
        <v>6</v>
      </c>
      <c r="Q49">
        <v>18</v>
      </c>
      <c r="S49" s="26">
        <v>30</v>
      </c>
      <c r="T49" s="4">
        <v>2</v>
      </c>
    </row>
    <row r="50" spans="3:20">
      <c r="C50" s="3"/>
      <c r="F50" s="12">
        <v>32</v>
      </c>
      <c r="G50" s="46" t="s">
        <v>336</v>
      </c>
      <c r="H50" s="7">
        <f t="shared" si="0"/>
        <v>18</v>
      </c>
      <c r="I50" s="45">
        <v>40652.485671296294</v>
      </c>
      <c r="J50" s="44" t="s">
        <v>755</v>
      </c>
      <c r="K50" s="4">
        <f t="shared" si="1"/>
        <v>7</v>
      </c>
      <c r="L50" s="4">
        <v>3</v>
      </c>
      <c r="M50" s="4">
        <v>7</v>
      </c>
      <c r="Q50">
        <v>18</v>
      </c>
      <c r="S50" s="26">
        <v>31</v>
      </c>
      <c r="T50" s="4">
        <v>13</v>
      </c>
    </row>
    <row r="51" spans="3:20">
      <c r="C51" s="3"/>
      <c r="F51" s="12">
        <v>38</v>
      </c>
      <c r="G51" s="46" t="s">
        <v>336</v>
      </c>
      <c r="H51" s="7">
        <f t="shared" si="0"/>
        <v>18</v>
      </c>
      <c r="I51" s="45">
        <v>40655.539456018516</v>
      </c>
      <c r="J51" s="44" t="s">
        <v>1060</v>
      </c>
      <c r="K51" s="4">
        <f t="shared" si="1"/>
        <v>8</v>
      </c>
      <c r="L51" s="4">
        <v>3</v>
      </c>
      <c r="M51" s="4">
        <v>8</v>
      </c>
      <c r="Q51">
        <v>18</v>
      </c>
      <c r="S51" s="26">
        <v>32</v>
      </c>
      <c r="T51" s="4">
        <v>2</v>
      </c>
    </row>
    <row r="52" spans="3:20">
      <c r="C52" s="3"/>
      <c r="F52" s="12">
        <v>83</v>
      </c>
      <c r="G52" s="46" t="s">
        <v>336</v>
      </c>
      <c r="H52" s="7">
        <f t="shared" si="0"/>
        <v>18</v>
      </c>
      <c r="I52" s="45">
        <v>40673.77412037037</v>
      </c>
      <c r="J52" s="44" t="s">
        <v>472</v>
      </c>
      <c r="K52" s="4">
        <f t="shared" si="1"/>
        <v>9</v>
      </c>
      <c r="L52" s="4">
        <v>6</v>
      </c>
      <c r="M52" s="4">
        <v>9</v>
      </c>
      <c r="Q52">
        <v>18</v>
      </c>
      <c r="S52" s="26">
        <v>33</v>
      </c>
      <c r="T52" s="4">
        <v>3</v>
      </c>
    </row>
    <row r="53" spans="3:20">
      <c r="C53" s="3"/>
      <c r="F53" s="12">
        <v>90</v>
      </c>
      <c r="G53" s="46" t="s">
        <v>336</v>
      </c>
      <c r="H53" s="7">
        <f t="shared" si="0"/>
        <v>18</v>
      </c>
      <c r="I53" s="45">
        <v>40679.414722222224</v>
      </c>
      <c r="J53" s="44" t="s">
        <v>1265</v>
      </c>
      <c r="K53" s="4">
        <f t="shared" si="1"/>
        <v>10</v>
      </c>
      <c r="L53" s="4">
        <v>2</v>
      </c>
      <c r="M53" s="4">
        <v>10</v>
      </c>
      <c r="Q53">
        <v>18</v>
      </c>
      <c r="S53" s="26">
        <v>34</v>
      </c>
      <c r="T53" s="4">
        <v>5</v>
      </c>
    </row>
    <row r="54" spans="3:20">
      <c r="C54" s="3"/>
      <c r="F54" s="12">
        <v>92</v>
      </c>
      <c r="G54" s="46" t="s">
        <v>336</v>
      </c>
      <c r="H54" s="7">
        <f t="shared" si="0"/>
        <v>18</v>
      </c>
      <c r="I54" s="45">
        <v>40679.624884259261</v>
      </c>
      <c r="J54" s="44" t="s">
        <v>928</v>
      </c>
      <c r="K54" s="4">
        <f t="shared" si="1"/>
        <v>11</v>
      </c>
      <c r="L54" s="4">
        <v>3</v>
      </c>
      <c r="M54" s="4">
        <v>11</v>
      </c>
      <c r="Q54">
        <v>18</v>
      </c>
      <c r="S54" s="26">
        <v>35</v>
      </c>
      <c r="T54" s="4">
        <v>5</v>
      </c>
    </row>
    <row r="55" spans="3:20">
      <c r="C55" s="3"/>
      <c r="F55" s="12">
        <v>142</v>
      </c>
      <c r="G55" s="46" t="s">
        <v>336</v>
      </c>
      <c r="H55" s="7">
        <f t="shared" si="0"/>
        <v>18</v>
      </c>
      <c r="I55" s="45">
        <v>40698.475648148145</v>
      </c>
      <c r="J55" s="44" t="s">
        <v>892</v>
      </c>
      <c r="K55" s="4">
        <f t="shared" si="1"/>
        <v>12</v>
      </c>
      <c r="L55" s="4">
        <v>10</v>
      </c>
      <c r="M55" s="4">
        <v>12</v>
      </c>
      <c r="Q55">
        <v>18</v>
      </c>
      <c r="S55" s="26">
        <v>36</v>
      </c>
      <c r="T55" s="4">
        <v>1</v>
      </c>
    </row>
    <row r="56" spans="3:20">
      <c r="C56" s="3"/>
      <c r="D56" s="1"/>
      <c r="F56" s="12">
        <v>154</v>
      </c>
      <c r="G56" s="46" t="s">
        <v>336</v>
      </c>
      <c r="H56" s="7">
        <f t="shared" si="0"/>
        <v>18</v>
      </c>
      <c r="I56" s="45">
        <v>40701.623217592591</v>
      </c>
      <c r="J56" s="44" t="s">
        <v>1262</v>
      </c>
      <c r="K56" s="4">
        <f t="shared" si="1"/>
        <v>13</v>
      </c>
      <c r="L56" s="4">
        <v>4</v>
      </c>
      <c r="M56" s="4">
        <v>13</v>
      </c>
      <c r="Q56">
        <v>18</v>
      </c>
      <c r="S56" s="26">
        <v>37</v>
      </c>
      <c r="T56" s="4">
        <v>3</v>
      </c>
    </row>
    <row r="57" spans="3:20">
      <c r="C57" s="3"/>
      <c r="F57" s="12">
        <v>177</v>
      </c>
      <c r="G57" s="46" t="s">
        <v>336</v>
      </c>
      <c r="H57" s="7">
        <f t="shared" si="0"/>
        <v>18</v>
      </c>
      <c r="I57" s="45">
        <v>40711.575810185182</v>
      </c>
      <c r="J57" s="44" t="s">
        <v>1192</v>
      </c>
      <c r="K57" s="4">
        <f t="shared" si="1"/>
        <v>14</v>
      </c>
      <c r="L57" s="4">
        <v>3</v>
      </c>
      <c r="M57" s="4">
        <v>14</v>
      </c>
      <c r="Q57">
        <v>18</v>
      </c>
      <c r="S57" s="26">
        <v>38</v>
      </c>
      <c r="T57" s="4">
        <v>2</v>
      </c>
    </row>
    <row r="58" spans="3:20">
      <c r="C58" s="3"/>
      <c r="F58" s="12">
        <v>179</v>
      </c>
      <c r="G58" s="46" t="s">
        <v>336</v>
      </c>
      <c r="H58" s="7">
        <f t="shared" si="0"/>
        <v>18</v>
      </c>
      <c r="I58" s="45">
        <v>40711.911956018521</v>
      </c>
      <c r="J58" s="44" t="s">
        <v>1005</v>
      </c>
      <c r="K58" s="4">
        <f t="shared" si="1"/>
        <v>15</v>
      </c>
      <c r="L58" s="4">
        <v>13</v>
      </c>
      <c r="M58" s="4">
        <v>15</v>
      </c>
      <c r="Q58">
        <v>18</v>
      </c>
      <c r="S58" s="26" t="s">
        <v>1871</v>
      </c>
      <c r="T58" s="4">
        <v>203</v>
      </c>
    </row>
    <row r="59" spans="3:20">
      <c r="C59" s="3"/>
      <c r="F59" s="12">
        <v>181</v>
      </c>
      <c r="G59" s="46" t="s">
        <v>336</v>
      </c>
      <c r="H59" s="7">
        <f t="shared" si="0"/>
        <v>18</v>
      </c>
      <c r="I59" s="45">
        <v>40711.972175925926</v>
      </c>
      <c r="J59" s="44" t="s">
        <v>1314</v>
      </c>
      <c r="K59" s="4">
        <f t="shared" si="1"/>
        <v>16</v>
      </c>
      <c r="L59" s="4">
        <v>2</v>
      </c>
      <c r="M59" s="4">
        <v>16</v>
      </c>
      <c r="Q59">
        <v>18</v>
      </c>
      <c r="S59" s="8"/>
      <c r="T59" s="10"/>
    </row>
    <row r="60" spans="3:20">
      <c r="C60" s="3"/>
      <c r="F60" s="12">
        <v>183</v>
      </c>
      <c r="G60" s="46" t="s">
        <v>336</v>
      </c>
      <c r="H60" s="7">
        <f t="shared" si="0"/>
        <v>18</v>
      </c>
      <c r="I60" s="45">
        <v>40712.394745370373</v>
      </c>
      <c r="J60" s="44" t="s">
        <v>810</v>
      </c>
      <c r="K60" s="4">
        <f t="shared" si="1"/>
        <v>17</v>
      </c>
      <c r="L60" s="4">
        <v>23</v>
      </c>
      <c r="M60" s="4">
        <v>17</v>
      </c>
      <c r="Q60">
        <v>18</v>
      </c>
      <c r="S60" s="8"/>
      <c r="T60" s="10"/>
    </row>
    <row r="61" spans="3:20">
      <c r="C61" s="3"/>
      <c r="F61" s="12">
        <v>1</v>
      </c>
      <c r="G61" s="48" t="s">
        <v>288</v>
      </c>
      <c r="H61" s="7">
        <f t="shared" si="0"/>
        <v>19</v>
      </c>
      <c r="I61" s="45">
        <v>40634.62972222222</v>
      </c>
      <c r="J61" s="44" t="s">
        <v>579</v>
      </c>
      <c r="K61" s="4">
        <f t="shared" si="1"/>
        <v>1</v>
      </c>
      <c r="L61" s="4">
        <v>2</v>
      </c>
      <c r="M61" s="4">
        <v>1</v>
      </c>
      <c r="Q61">
        <v>19</v>
      </c>
      <c r="S61" s="8"/>
      <c r="T61" s="10"/>
    </row>
    <row r="62" spans="3:20">
      <c r="C62" s="3"/>
      <c r="F62" s="12">
        <v>2</v>
      </c>
      <c r="G62" s="48" t="s">
        <v>288</v>
      </c>
      <c r="H62" s="7">
        <f t="shared" si="0"/>
        <v>19</v>
      </c>
      <c r="I62" s="45">
        <v>40634.601226851853</v>
      </c>
      <c r="J62" s="44" t="s">
        <v>1108</v>
      </c>
      <c r="K62" s="4">
        <f t="shared" si="1"/>
        <v>2</v>
      </c>
      <c r="L62" s="4">
        <v>6</v>
      </c>
      <c r="M62" s="4">
        <v>2</v>
      </c>
      <c r="Q62">
        <v>19</v>
      </c>
      <c r="S62" s="8"/>
      <c r="T62" s="10"/>
    </row>
    <row r="63" spans="3:20">
      <c r="C63" s="3"/>
      <c r="F63" s="12">
        <v>4</v>
      </c>
      <c r="G63" s="48" t="s">
        <v>288</v>
      </c>
      <c r="H63" s="7">
        <f t="shared" si="0"/>
        <v>19</v>
      </c>
      <c r="I63" s="45">
        <v>40634.634675925925</v>
      </c>
      <c r="J63" s="44" t="s">
        <v>433</v>
      </c>
      <c r="K63" s="4">
        <f t="shared" si="1"/>
        <v>3</v>
      </c>
      <c r="L63" s="4">
        <v>2</v>
      </c>
      <c r="M63" s="4">
        <v>3</v>
      </c>
      <c r="Q63">
        <v>19</v>
      </c>
      <c r="S63" s="8"/>
      <c r="T63" s="10"/>
    </row>
    <row r="64" spans="3:20">
      <c r="C64" s="3"/>
      <c r="F64" s="12">
        <v>7</v>
      </c>
      <c r="G64" s="56" t="s">
        <v>288</v>
      </c>
      <c r="H64" s="7">
        <f t="shared" si="0"/>
        <v>19</v>
      </c>
      <c r="I64" s="45">
        <v>40637.410833333335</v>
      </c>
      <c r="J64" s="44" t="s">
        <v>1002</v>
      </c>
      <c r="K64" s="4">
        <f t="shared" si="1"/>
        <v>4</v>
      </c>
      <c r="L64" s="4">
        <v>2</v>
      </c>
      <c r="M64" s="4">
        <v>4</v>
      </c>
      <c r="Q64">
        <v>19</v>
      </c>
      <c r="S64" s="8"/>
      <c r="T64" s="10"/>
    </row>
    <row r="65" spans="3:20">
      <c r="C65" s="3"/>
      <c r="F65" s="12">
        <v>9</v>
      </c>
      <c r="G65" s="56" t="s">
        <v>288</v>
      </c>
      <c r="H65" s="7">
        <f t="shared" si="0"/>
        <v>19</v>
      </c>
      <c r="I65" s="45">
        <v>40644.391863425924</v>
      </c>
      <c r="J65" s="44" t="s">
        <v>1180</v>
      </c>
      <c r="K65" s="4">
        <f t="shared" si="1"/>
        <v>5</v>
      </c>
      <c r="L65" s="4">
        <v>2</v>
      </c>
      <c r="M65" s="4">
        <v>5</v>
      </c>
      <c r="Q65">
        <v>19</v>
      </c>
      <c r="S65" s="8"/>
      <c r="T65" s="10"/>
    </row>
    <row r="66" spans="3:20">
      <c r="C66" s="3"/>
      <c r="F66" s="12">
        <v>11</v>
      </c>
      <c r="G66" s="56" t="s">
        <v>288</v>
      </c>
      <c r="H66" s="7">
        <f t="shared" ref="H66:H129" si="2">LOOKUP(G66,$N$2:$N$39,$O$2:$O$39)</f>
        <v>19</v>
      </c>
      <c r="I66" s="45">
        <v>40646.385740740741</v>
      </c>
      <c r="J66" s="44" t="s">
        <v>1044</v>
      </c>
      <c r="K66" s="4">
        <f t="shared" ref="K66:K129" si="3">IF(Q66&gt;Q65,1,K65+1)</f>
        <v>6</v>
      </c>
      <c r="L66" s="4">
        <v>5</v>
      </c>
      <c r="M66" s="4">
        <v>6</v>
      </c>
      <c r="Q66">
        <v>19</v>
      </c>
      <c r="S66" s="8"/>
      <c r="T66" s="10"/>
    </row>
    <row r="67" spans="3:20">
      <c r="C67" s="3"/>
      <c r="F67" s="12">
        <v>12</v>
      </c>
      <c r="G67" s="48" t="s">
        <v>288</v>
      </c>
      <c r="H67" s="7">
        <f t="shared" si="2"/>
        <v>19</v>
      </c>
      <c r="I67" s="45">
        <v>40648.731712962966</v>
      </c>
      <c r="J67" s="44" t="s">
        <v>1164</v>
      </c>
      <c r="K67" s="4">
        <f t="shared" si="3"/>
        <v>7</v>
      </c>
      <c r="L67" s="4">
        <v>2</v>
      </c>
      <c r="M67" s="4">
        <v>7</v>
      </c>
      <c r="Q67">
        <v>19</v>
      </c>
      <c r="S67" s="8"/>
      <c r="T67" s="10"/>
    </row>
    <row r="68" spans="3:20">
      <c r="C68" s="3"/>
      <c r="F68" s="12">
        <v>14</v>
      </c>
      <c r="G68" s="48" t="s">
        <v>288</v>
      </c>
      <c r="H68" s="7">
        <f t="shared" si="2"/>
        <v>19</v>
      </c>
      <c r="I68" s="45">
        <v>40648.621666666666</v>
      </c>
      <c r="J68" s="44" t="s">
        <v>1132</v>
      </c>
      <c r="K68" s="4">
        <f t="shared" si="3"/>
        <v>8</v>
      </c>
      <c r="L68" s="4">
        <v>4</v>
      </c>
      <c r="M68" s="4">
        <v>8</v>
      </c>
      <c r="Q68">
        <v>19</v>
      </c>
      <c r="S68" s="8"/>
      <c r="T68" s="10"/>
    </row>
    <row r="69" spans="3:20">
      <c r="C69" s="3"/>
      <c r="F69" s="12">
        <v>16</v>
      </c>
      <c r="G69" s="48" t="s">
        <v>288</v>
      </c>
      <c r="H69" s="7">
        <f t="shared" si="2"/>
        <v>19</v>
      </c>
      <c r="I69" s="45">
        <v>40648.902824074074</v>
      </c>
      <c r="J69" s="44" t="s">
        <v>1152</v>
      </c>
      <c r="K69" s="4">
        <f t="shared" si="3"/>
        <v>9</v>
      </c>
      <c r="L69" s="4">
        <v>10</v>
      </c>
      <c r="M69" s="4">
        <v>9</v>
      </c>
      <c r="Q69">
        <v>19</v>
      </c>
      <c r="S69" s="8"/>
      <c r="T69" s="10"/>
    </row>
    <row r="70" spans="3:20">
      <c r="C70" s="3"/>
      <c r="F70" s="12">
        <v>18</v>
      </c>
      <c r="G70" s="48" t="s">
        <v>288</v>
      </c>
      <c r="H70" s="7">
        <f t="shared" si="2"/>
        <v>19</v>
      </c>
      <c r="I70" s="45">
        <v>40648.955590277779</v>
      </c>
      <c r="J70" s="44" t="s">
        <v>1062</v>
      </c>
      <c r="K70" s="4">
        <f t="shared" si="3"/>
        <v>10</v>
      </c>
      <c r="L70" s="4">
        <v>2</v>
      </c>
      <c r="M70" s="4">
        <v>10</v>
      </c>
      <c r="Q70">
        <v>19</v>
      </c>
      <c r="S70" s="8"/>
      <c r="T70" s="10"/>
    </row>
    <row r="71" spans="3:20">
      <c r="C71" s="3"/>
      <c r="F71" s="12">
        <v>21</v>
      </c>
      <c r="G71" s="48" t="s">
        <v>288</v>
      </c>
      <c r="H71" s="7">
        <f t="shared" si="2"/>
        <v>19</v>
      </c>
      <c r="I71" s="45">
        <v>40651.556504629632</v>
      </c>
      <c r="J71" s="44" t="s">
        <v>1478</v>
      </c>
      <c r="K71" s="4">
        <f t="shared" si="3"/>
        <v>11</v>
      </c>
      <c r="L71" s="4">
        <v>9</v>
      </c>
      <c r="M71" s="4">
        <v>11</v>
      </c>
      <c r="Q71">
        <v>19</v>
      </c>
      <c r="S71" s="8"/>
      <c r="T71" s="10"/>
    </row>
    <row r="72" spans="3:20">
      <c r="C72" s="3"/>
      <c r="F72" s="12">
        <v>24</v>
      </c>
      <c r="G72" s="56" t="s">
        <v>288</v>
      </c>
      <c r="H72" s="7">
        <f t="shared" si="2"/>
        <v>19</v>
      </c>
      <c r="I72" s="45">
        <v>40651.561539351853</v>
      </c>
      <c r="J72" s="44" t="s">
        <v>1025</v>
      </c>
      <c r="K72" s="4">
        <f t="shared" si="3"/>
        <v>12</v>
      </c>
      <c r="L72" s="4">
        <v>10</v>
      </c>
      <c r="M72" s="4">
        <v>12</v>
      </c>
      <c r="Q72">
        <v>19</v>
      </c>
      <c r="S72" s="8"/>
      <c r="T72" s="10"/>
    </row>
    <row r="73" spans="3:20">
      <c r="C73" s="3"/>
      <c r="F73" s="12">
        <v>25</v>
      </c>
      <c r="G73" s="48" t="s">
        <v>288</v>
      </c>
      <c r="H73" s="7">
        <f t="shared" si="2"/>
        <v>19</v>
      </c>
      <c r="I73" s="45">
        <v>40651.562025462961</v>
      </c>
      <c r="J73" s="44" t="s">
        <v>794</v>
      </c>
      <c r="K73" s="4">
        <f t="shared" si="3"/>
        <v>13</v>
      </c>
      <c r="L73" s="4">
        <v>10</v>
      </c>
      <c r="M73" s="4">
        <v>13</v>
      </c>
      <c r="Q73">
        <v>19</v>
      </c>
      <c r="S73" s="8"/>
      <c r="T73" s="10"/>
    </row>
    <row r="74" spans="3:20">
      <c r="C74" s="3"/>
      <c r="F74" s="12">
        <v>27</v>
      </c>
      <c r="G74" s="48" t="s">
        <v>288</v>
      </c>
      <c r="H74" s="7">
        <f t="shared" si="2"/>
        <v>19</v>
      </c>
      <c r="I74" s="45">
        <v>40651.558622685188</v>
      </c>
      <c r="J74" s="44" t="s">
        <v>595</v>
      </c>
      <c r="K74" s="4">
        <f t="shared" si="3"/>
        <v>14</v>
      </c>
      <c r="L74" s="4">
        <v>2</v>
      </c>
      <c r="M74" s="4">
        <v>14</v>
      </c>
      <c r="Q74">
        <v>19</v>
      </c>
      <c r="S74" s="8"/>
      <c r="T74" s="10"/>
    </row>
    <row r="75" spans="3:20">
      <c r="C75" s="3"/>
      <c r="F75" s="12">
        <v>29</v>
      </c>
      <c r="G75" s="48" t="s">
        <v>288</v>
      </c>
      <c r="H75" s="7">
        <f t="shared" si="2"/>
        <v>19</v>
      </c>
      <c r="I75" s="45">
        <v>40651.918217592596</v>
      </c>
      <c r="J75" s="44" t="s">
        <v>1092</v>
      </c>
      <c r="K75" s="4">
        <f t="shared" si="3"/>
        <v>15</v>
      </c>
      <c r="L75" s="4">
        <v>2</v>
      </c>
      <c r="M75" s="4">
        <v>15</v>
      </c>
      <c r="Q75">
        <v>19</v>
      </c>
      <c r="S75" s="8"/>
      <c r="T75" s="10"/>
    </row>
    <row r="76" spans="3:20">
      <c r="C76" s="3"/>
      <c r="F76" s="12">
        <v>31</v>
      </c>
      <c r="G76" s="48" t="s">
        <v>288</v>
      </c>
      <c r="H76" s="7">
        <f t="shared" si="2"/>
        <v>19</v>
      </c>
      <c r="I76" s="45">
        <v>40652.437719907408</v>
      </c>
      <c r="J76" s="44" t="s">
        <v>754</v>
      </c>
      <c r="K76" s="4">
        <f t="shared" si="3"/>
        <v>16</v>
      </c>
      <c r="L76" s="4">
        <v>2</v>
      </c>
      <c r="M76" s="4">
        <v>16</v>
      </c>
      <c r="Q76">
        <v>19</v>
      </c>
      <c r="S76" s="8"/>
      <c r="T76" s="10"/>
    </row>
    <row r="77" spans="3:20">
      <c r="C77" s="3"/>
      <c r="F77" s="12">
        <v>36</v>
      </c>
      <c r="G77" s="56" t="s">
        <v>288</v>
      </c>
      <c r="H77" s="7">
        <f t="shared" si="2"/>
        <v>19</v>
      </c>
      <c r="I77" s="45">
        <v>40654.639826388891</v>
      </c>
      <c r="J77" s="44" t="s">
        <v>1496</v>
      </c>
      <c r="K77" s="4">
        <f t="shared" si="3"/>
        <v>17</v>
      </c>
      <c r="L77" s="16">
        <v>2</v>
      </c>
      <c r="M77" s="4">
        <v>17</v>
      </c>
      <c r="Q77">
        <v>19</v>
      </c>
      <c r="S77" s="8"/>
      <c r="T77" s="10"/>
    </row>
    <row r="78" spans="3:20">
      <c r="C78" s="3"/>
      <c r="F78" s="12">
        <v>37</v>
      </c>
      <c r="G78" s="48" t="s">
        <v>288</v>
      </c>
      <c r="H78" s="7">
        <f t="shared" si="2"/>
        <v>19</v>
      </c>
      <c r="I78" s="45">
        <v>40655.459537037037</v>
      </c>
      <c r="J78" s="44" t="s">
        <v>1059</v>
      </c>
      <c r="K78" s="4">
        <f t="shared" si="3"/>
        <v>18</v>
      </c>
      <c r="L78" s="4">
        <v>3</v>
      </c>
      <c r="M78" s="4">
        <v>18</v>
      </c>
      <c r="Q78">
        <v>19</v>
      </c>
      <c r="S78" s="8"/>
      <c r="T78" s="10"/>
    </row>
    <row r="79" spans="3:20">
      <c r="C79" s="3"/>
      <c r="F79" s="12">
        <v>39</v>
      </c>
      <c r="G79" s="48" t="s">
        <v>288</v>
      </c>
      <c r="H79" s="7">
        <f t="shared" si="2"/>
        <v>19</v>
      </c>
      <c r="I79" s="45">
        <v>40654.878101851849</v>
      </c>
      <c r="J79" s="44" t="s">
        <v>1105</v>
      </c>
      <c r="K79" s="4">
        <f t="shared" si="3"/>
        <v>19</v>
      </c>
      <c r="L79" s="4">
        <v>2</v>
      </c>
      <c r="M79" s="4">
        <v>19</v>
      </c>
      <c r="Q79">
        <v>19</v>
      </c>
      <c r="S79" s="8"/>
      <c r="T79" s="10"/>
    </row>
    <row r="80" spans="3:20">
      <c r="C80" s="3"/>
      <c r="F80" s="12">
        <v>42</v>
      </c>
      <c r="G80" s="56" t="s">
        <v>288</v>
      </c>
      <c r="H80" s="7">
        <f t="shared" si="2"/>
        <v>19</v>
      </c>
      <c r="I80" s="45">
        <v>40658.514502314814</v>
      </c>
      <c r="J80" s="44" t="s">
        <v>855</v>
      </c>
      <c r="K80" s="4">
        <f t="shared" si="3"/>
        <v>20</v>
      </c>
      <c r="L80" s="4">
        <v>2</v>
      </c>
      <c r="M80" s="4">
        <v>20</v>
      </c>
      <c r="Q80">
        <v>19</v>
      </c>
      <c r="S80" s="8"/>
      <c r="T80" s="10"/>
    </row>
    <row r="81" spans="3:20">
      <c r="C81" s="3"/>
      <c r="F81" s="12">
        <v>43</v>
      </c>
      <c r="G81" s="48" t="s">
        <v>288</v>
      </c>
      <c r="H81" s="7">
        <f t="shared" si="2"/>
        <v>19</v>
      </c>
      <c r="I81" s="45">
        <v>40658.560115740744</v>
      </c>
      <c r="J81" s="44" t="s">
        <v>1472</v>
      </c>
      <c r="K81" s="4">
        <f t="shared" si="3"/>
        <v>21</v>
      </c>
      <c r="L81" s="4">
        <v>10</v>
      </c>
      <c r="M81" s="4">
        <v>21</v>
      </c>
      <c r="Q81">
        <v>19</v>
      </c>
      <c r="S81" s="8"/>
      <c r="T81" s="10"/>
    </row>
    <row r="82" spans="3:20">
      <c r="C82" s="3"/>
      <c r="D82" s="1"/>
      <c r="F82" s="12">
        <v>45</v>
      </c>
      <c r="G82" s="48" t="s">
        <v>288</v>
      </c>
      <c r="H82" s="7">
        <f t="shared" si="2"/>
        <v>19</v>
      </c>
      <c r="I82" s="45">
        <v>40659.734965277778</v>
      </c>
      <c r="J82" s="44" t="s">
        <v>1054</v>
      </c>
      <c r="K82" s="4">
        <f t="shared" si="3"/>
        <v>22</v>
      </c>
      <c r="L82" s="4">
        <v>10</v>
      </c>
      <c r="M82" s="4">
        <v>22</v>
      </c>
      <c r="Q82">
        <v>19</v>
      </c>
      <c r="S82" s="8"/>
      <c r="T82" s="10"/>
    </row>
    <row r="83" spans="3:20">
      <c r="C83" s="3"/>
      <c r="F83" s="12">
        <v>47</v>
      </c>
      <c r="G83" s="48" t="s">
        <v>288</v>
      </c>
      <c r="H83" s="7">
        <f t="shared" si="2"/>
        <v>19</v>
      </c>
      <c r="I83" s="45">
        <v>40661.711574074077</v>
      </c>
      <c r="J83" s="44" t="s">
        <v>486</v>
      </c>
      <c r="K83" s="4">
        <f t="shared" si="3"/>
        <v>23</v>
      </c>
      <c r="L83" s="4">
        <v>3</v>
      </c>
      <c r="M83" s="4">
        <v>23</v>
      </c>
      <c r="Q83">
        <v>19</v>
      </c>
      <c r="S83" s="8"/>
      <c r="T83" s="10"/>
    </row>
    <row r="84" spans="3:20">
      <c r="C84" s="3"/>
      <c r="F84" s="12">
        <v>58</v>
      </c>
      <c r="G84" s="56" t="s">
        <v>288</v>
      </c>
      <c r="H84" s="7">
        <f t="shared" si="2"/>
        <v>19</v>
      </c>
      <c r="I84" s="45">
        <v>40664.63554398148</v>
      </c>
      <c r="J84" s="44" t="s">
        <v>1290</v>
      </c>
      <c r="K84" s="4">
        <f t="shared" si="3"/>
        <v>24</v>
      </c>
      <c r="L84" s="4">
        <v>2</v>
      </c>
      <c r="M84" s="4">
        <v>24</v>
      </c>
      <c r="Q84">
        <v>19</v>
      </c>
      <c r="S84" s="8"/>
      <c r="T84" s="10"/>
    </row>
    <row r="85" spans="3:20">
      <c r="C85" s="3"/>
      <c r="F85" s="12">
        <v>60</v>
      </c>
      <c r="G85" s="48" t="s">
        <v>288</v>
      </c>
      <c r="H85" s="7">
        <f t="shared" si="2"/>
        <v>19</v>
      </c>
      <c r="I85" s="45">
        <v>40664.679166666669</v>
      </c>
      <c r="J85" s="44">
        <v>7149903</v>
      </c>
      <c r="K85" s="4">
        <f t="shared" si="3"/>
        <v>25</v>
      </c>
      <c r="L85" s="4">
        <v>2</v>
      </c>
      <c r="M85" s="4">
        <v>25</v>
      </c>
      <c r="Q85">
        <v>19</v>
      </c>
      <c r="S85" s="8"/>
      <c r="T85" s="10"/>
    </row>
    <row r="86" spans="3:20">
      <c r="C86" s="3"/>
      <c r="F86" s="12">
        <v>62</v>
      </c>
      <c r="G86" s="48" t="s">
        <v>288</v>
      </c>
      <c r="H86" s="7">
        <f t="shared" si="2"/>
        <v>19</v>
      </c>
      <c r="I86" s="45">
        <v>40664.537835648145</v>
      </c>
      <c r="J86" s="44" t="s">
        <v>952</v>
      </c>
      <c r="K86" s="4">
        <f t="shared" si="3"/>
        <v>26</v>
      </c>
      <c r="L86" s="4">
        <v>3</v>
      </c>
      <c r="M86" s="4">
        <v>26</v>
      </c>
      <c r="Q86">
        <v>19</v>
      </c>
      <c r="S86" s="8"/>
      <c r="T86" s="10"/>
    </row>
    <row r="87" spans="3:20">
      <c r="C87" s="3"/>
      <c r="F87" s="12">
        <v>68</v>
      </c>
      <c r="G87" s="48" t="s">
        <v>288</v>
      </c>
      <c r="H87" s="7">
        <f t="shared" si="2"/>
        <v>19</v>
      </c>
      <c r="I87" s="45">
        <v>40667.482488425929</v>
      </c>
      <c r="J87" s="44" t="s">
        <v>1381</v>
      </c>
      <c r="K87" s="4">
        <f t="shared" si="3"/>
        <v>27</v>
      </c>
      <c r="L87" s="4">
        <v>2</v>
      </c>
      <c r="M87" s="4">
        <v>27</v>
      </c>
      <c r="Q87">
        <v>19</v>
      </c>
      <c r="S87" s="8"/>
      <c r="T87" s="10"/>
    </row>
    <row r="88" spans="3:20">
      <c r="C88" s="3"/>
      <c r="F88" s="12">
        <v>70</v>
      </c>
      <c r="G88" s="48" t="s">
        <v>288</v>
      </c>
      <c r="H88" s="7">
        <f t="shared" si="2"/>
        <v>19</v>
      </c>
      <c r="I88" s="45">
        <v>40645.58189814815</v>
      </c>
      <c r="J88" s="44" t="s">
        <v>1366</v>
      </c>
      <c r="K88" s="4">
        <f t="shared" si="3"/>
        <v>28</v>
      </c>
      <c r="L88" s="4">
        <v>10</v>
      </c>
      <c r="M88" s="4">
        <v>28</v>
      </c>
      <c r="Q88">
        <v>19</v>
      </c>
      <c r="S88" s="8"/>
      <c r="T88" s="10"/>
    </row>
    <row r="89" spans="3:20">
      <c r="C89" s="3"/>
      <c r="F89" s="12">
        <v>76</v>
      </c>
      <c r="G89" s="48" t="s">
        <v>288</v>
      </c>
      <c r="H89" s="7">
        <f t="shared" si="2"/>
        <v>19</v>
      </c>
      <c r="I89" s="45">
        <v>40672.400185185186</v>
      </c>
      <c r="J89" s="44" t="s">
        <v>1417</v>
      </c>
      <c r="K89" s="4">
        <f t="shared" si="3"/>
        <v>29</v>
      </c>
      <c r="L89" s="4">
        <v>2</v>
      </c>
      <c r="M89" s="4">
        <v>29</v>
      </c>
      <c r="Q89">
        <v>19</v>
      </c>
      <c r="S89" s="8"/>
      <c r="T89" s="10"/>
    </row>
    <row r="90" spans="3:20">
      <c r="C90" s="3"/>
      <c r="F90" s="12">
        <v>79</v>
      </c>
      <c r="G90" s="56" t="s">
        <v>288</v>
      </c>
      <c r="H90" s="7">
        <f t="shared" si="2"/>
        <v>19</v>
      </c>
      <c r="I90" s="45">
        <v>40673.445381944446</v>
      </c>
      <c r="J90" s="44" t="s">
        <v>674</v>
      </c>
      <c r="K90" s="4">
        <f t="shared" si="3"/>
        <v>30</v>
      </c>
      <c r="L90" s="4">
        <v>2</v>
      </c>
      <c r="M90" s="4">
        <v>30</v>
      </c>
      <c r="Q90">
        <v>19</v>
      </c>
      <c r="S90" s="8"/>
      <c r="T90" s="10"/>
    </row>
    <row r="91" spans="3:20">
      <c r="C91" s="3"/>
      <c r="F91" s="12">
        <v>82</v>
      </c>
      <c r="G91" s="48" t="s">
        <v>288</v>
      </c>
      <c r="H91" s="7">
        <f t="shared" si="2"/>
        <v>19</v>
      </c>
      <c r="I91" s="45">
        <v>40621.917812500003</v>
      </c>
      <c r="J91" s="44" t="s">
        <v>471</v>
      </c>
      <c r="K91" s="4">
        <f t="shared" si="3"/>
        <v>31</v>
      </c>
      <c r="L91" s="4">
        <v>2</v>
      </c>
      <c r="M91" s="4">
        <v>31</v>
      </c>
      <c r="Q91">
        <v>19</v>
      </c>
      <c r="S91" s="8"/>
      <c r="T91" s="10"/>
    </row>
    <row r="92" spans="3:20">
      <c r="C92" s="3"/>
      <c r="F92" s="12">
        <v>84</v>
      </c>
      <c r="G92" s="48" t="s">
        <v>288</v>
      </c>
      <c r="H92" s="7">
        <f t="shared" si="2"/>
        <v>19</v>
      </c>
      <c r="I92" s="45">
        <v>40674.728252314817</v>
      </c>
      <c r="J92" s="44" t="s">
        <v>1120</v>
      </c>
      <c r="K92" s="4">
        <f t="shared" si="3"/>
        <v>32</v>
      </c>
      <c r="L92" s="4">
        <v>2</v>
      </c>
      <c r="M92" s="4">
        <v>32</v>
      </c>
      <c r="Q92">
        <v>19</v>
      </c>
      <c r="S92" s="8"/>
      <c r="T92" s="10"/>
    </row>
    <row r="93" spans="3:20">
      <c r="C93" s="3"/>
      <c r="F93" s="12">
        <v>87</v>
      </c>
      <c r="G93" s="56" t="s">
        <v>288</v>
      </c>
      <c r="H93" s="7">
        <f t="shared" si="2"/>
        <v>19</v>
      </c>
      <c r="I93" s="45">
        <v>40676.600868055553</v>
      </c>
      <c r="J93" s="44" t="s">
        <v>1875</v>
      </c>
      <c r="K93" s="4">
        <f t="shared" si="3"/>
        <v>33</v>
      </c>
      <c r="L93" s="4">
        <v>2</v>
      </c>
      <c r="M93" s="4">
        <v>33</v>
      </c>
      <c r="Q93">
        <v>19</v>
      </c>
      <c r="S93" s="8"/>
      <c r="T93" s="10"/>
    </row>
    <row r="94" spans="3:20">
      <c r="C94" s="3"/>
      <c r="F94" s="12">
        <v>89</v>
      </c>
      <c r="G94" s="48" t="s">
        <v>288</v>
      </c>
      <c r="H94" s="7">
        <f t="shared" si="2"/>
        <v>19</v>
      </c>
      <c r="I94" s="45">
        <v>40676.601805555554</v>
      </c>
      <c r="J94" s="44" t="s">
        <v>1264</v>
      </c>
      <c r="K94" s="4">
        <f t="shared" si="3"/>
        <v>34</v>
      </c>
      <c r="L94" s="4">
        <v>2</v>
      </c>
      <c r="M94" s="4">
        <v>34</v>
      </c>
      <c r="Q94">
        <v>19</v>
      </c>
      <c r="S94" s="8"/>
      <c r="T94" s="10"/>
    </row>
    <row r="95" spans="3:20">
      <c r="C95" s="3"/>
      <c r="F95" s="12">
        <v>91</v>
      </c>
      <c r="G95" s="48" t="s">
        <v>288</v>
      </c>
      <c r="H95" s="7">
        <f t="shared" si="2"/>
        <v>19</v>
      </c>
      <c r="I95" s="45">
        <v>40679.608263888891</v>
      </c>
      <c r="J95" s="44">
        <v>2741433</v>
      </c>
      <c r="K95" s="4">
        <f t="shared" si="3"/>
        <v>35</v>
      </c>
      <c r="L95" s="4">
        <v>10</v>
      </c>
      <c r="M95" s="4">
        <v>35</v>
      </c>
      <c r="Q95">
        <v>19</v>
      </c>
      <c r="S95" s="8"/>
      <c r="T95" s="10"/>
    </row>
    <row r="96" spans="3:20">
      <c r="C96" s="3"/>
      <c r="F96" s="12">
        <v>94</v>
      </c>
      <c r="G96" s="56" t="s">
        <v>288</v>
      </c>
      <c r="H96" s="7">
        <f t="shared" si="2"/>
        <v>19</v>
      </c>
      <c r="I96" s="45">
        <v>40679.646574074075</v>
      </c>
      <c r="J96" s="44" t="s">
        <v>1435</v>
      </c>
      <c r="K96" s="4">
        <f t="shared" si="3"/>
        <v>36</v>
      </c>
      <c r="L96" s="4">
        <v>3</v>
      </c>
      <c r="M96" s="4">
        <v>36</v>
      </c>
      <c r="Q96">
        <v>19</v>
      </c>
      <c r="S96" s="8"/>
      <c r="T96" s="10"/>
    </row>
    <row r="97" spans="3:20">
      <c r="C97" s="3"/>
      <c r="F97" s="12">
        <v>106</v>
      </c>
      <c r="G97" s="56" t="s">
        <v>288</v>
      </c>
      <c r="H97" s="7">
        <f t="shared" si="2"/>
        <v>19</v>
      </c>
      <c r="I97" s="45">
        <v>40685.921053240738</v>
      </c>
      <c r="J97" s="44" t="s">
        <v>994</v>
      </c>
      <c r="K97" s="4">
        <f t="shared" si="3"/>
        <v>37</v>
      </c>
      <c r="L97" s="4">
        <v>2</v>
      </c>
      <c r="M97" s="4">
        <v>37</v>
      </c>
      <c r="Q97">
        <v>19</v>
      </c>
      <c r="S97" s="8"/>
      <c r="T97" s="10"/>
    </row>
    <row r="98" spans="3:20">
      <c r="C98" s="3"/>
      <c r="F98" s="12">
        <v>109</v>
      </c>
      <c r="G98" s="48" t="s">
        <v>288</v>
      </c>
      <c r="H98" s="7">
        <f t="shared" si="2"/>
        <v>19</v>
      </c>
      <c r="I98" s="45">
        <v>40686.084872685184</v>
      </c>
      <c r="J98" s="44" t="s">
        <v>1207</v>
      </c>
      <c r="K98" s="4">
        <f t="shared" si="3"/>
        <v>38</v>
      </c>
      <c r="L98" s="4">
        <v>10</v>
      </c>
      <c r="M98" s="4">
        <v>38</v>
      </c>
      <c r="Q98">
        <v>19</v>
      </c>
      <c r="S98" s="8"/>
      <c r="T98" s="10"/>
    </row>
    <row r="99" spans="3:20">
      <c r="C99" s="3"/>
      <c r="F99" s="12">
        <v>136</v>
      </c>
      <c r="G99" s="56" t="s">
        <v>288</v>
      </c>
      <c r="H99" s="7">
        <f t="shared" si="2"/>
        <v>19</v>
      </c>
      <c r="I99" s="45">
        <v>40697.648645833331</v>
      </c>
      <c r="J99" s="44" t="s">
        <v>1014</v>
      </c>
      <c r="K99" s="4">
        <f t="shared" si="3"/>
        <v>39</v>
      </c>
      <c r="L99" s="4">
        <v>3</v>
      </c>
      <c r="M99" s="4">
        <v>39</v>
      </c>
      <c r="Q99">
        <v>19</v>
      </c>
      <c r="S99" s="8"/>
      <c r="T99" s="10"/>
    </row>
    <row r="100" spans="3:20">
      <c r="C100" s="3"/>
      <c r="F100" s="12">
        <v>137</v>
      </c>
      <c r="G100" s="48" t="s">
        <v>288</v>
      </c>
      <c r="H100" s="7">
        <f t="shared" si="2"/>
        <v>19</v>
      </c>
      <c r="I100" s="45">
        <v>40676.575289351851</v>
      </c>
      <c r="J100" s="44" t="s">
        <v>1086</v>
      </c>
      <c r="K100" s="4">
        <f t="shared" si="3"/>
        <v>40</v>
      </c>
      <c r="L100" s="4">
        <v>3</v>
      </c>
      <c r="M100" s="4">
        <v>40</v>
      </c>
      <c r="Q100">
        <v>19</v>
      </c>
      <c r="S100" s="8"/>
      <c r="T100" s="10"/>
    </row>
    <row r="101" spans="3:20">
      <c r="C101" s="3"/>
      <c r="F101" s="12">
        <v>140</v>
      </c>
      <c r="G101" s="56" t="s">
        <v>288</v>
      </c>
      <c r="H101" s="7">
        <f t="shared" si="2"/>
        <v>19</v>
      </c>
      <c r="I101" s="45">
        <v>40698.44259259259</v>
      </c>
      <c r="J101" s="44" t="s">
        <v>898</v>
      </c>
      <c r="K101" s="4">
        <f t="shared" si="3"/>
        <v>41</v>
      </c>
      <c r="L101" s="4">
        <v>2</v>
      </c>
      <c r="M101" s="4">
        <v>41</v>
      </c>
      <c r="Q101">
        <v>19</v>
      </c>
      <c r="S101" s="8"/>
      <c r="T101" s="10"/>
    </row>
    <row r="102" spans="3:20">
      <c r="C102" s="3"/>
      <c r="F102" s="12">
        <v>141</v>
      </c>
      <c r="G102" s="48" t="s">
        <v>288</v>
      </c>
      <c r="H102" s="7">
        <f t="shared" si="2"/>
        <v>19</v>
      </c>
      <c r="I102" s="45">
        <v>40697.485046296293</v>
      </c>
      <c r="J102" s="44" t="s">
        <v>891</v>
      </c>
      <c r="K102" s="4">
        <f t="shared" si="3"/>
        <v>42</v>
      </c>
      <c r="L102" s="4">
        <v>7</v>
      </c>
      <c r="M102" s="4">
        <v>42</v>
      </c>
      <c r="Q102">
        <v>19</v>
      </c>
      <c r="S102" s="8"/>
      <c r="T102" s="10"/>
    </row>
    <row r="103" spans="3:20">
      <c r="C103" s="3"/>
      <c r="F103" s="12">
        <v>144</v>
      </c>
      <c r="G103" s="56" t="s">
        <v>288</v>
      </c>
      <c r="H103" s="7">
        <f t="shared" si="2"/>
        <v>19</v>
      </c>
      <c r="I103" s="45">
        <v>40699.677581018521</v>
      </c>
      <c r="J103" s="44" t="s">
        <v>889</v>
      </c>
      <c r="K103" s="4">
        <f t="shared" si="3"/>
        <v>43</v>
      </c>
      <c r="L103" s="4">
        <v>4</v>
      </c>
      <c r="M103" s="4">
        <v>43</v>
      </c>
      <c r="Q103">
        <v>19</v>
      </c>
      <c r="S103" s="8"/>
      <c r="T103" s="10"/>
    </row>
    <row r="104" spans="3:20">
      <c r="C104" s="3"/>
      <c r="F104" s="12">
        <v>147</v>
      </c>
      <c r="G104" s="48" t="s">
        <v>288</v>
      </c>
      <c r="H104" s="7">
        <f t="shared" si="2"/>
        <v>19</v>
      </c>
      <c r="I104" s="45">
        <v>40700.679039351853</v>
      </c>
      <c r="J104" s="44" t="s">
        <v>394</v>
      </c>
      <c r="K104" s="4">
        <f t="shared" si="3"/>
        <v>44</v>
      </c>
      <c r="L104" s="4">
        <v>3</v>
      </c>
      <c r="M104" s="4">
        <v>44</v>
      </c>
      <c r="Q104">
        <v>19</v>
      </c>
      <c r="S104" s="8"/>
      <c r="T104" s="10"/>
    </row>
    <row r="105" spans="3:20">
      <c r="C105" s="3"/>
      <c r="F105" s="12">
        <v>149</v>
      </c>
      <c r="G105" s="48" t="s">
        <v>288</v>
      </c>
      <c r="H105" s="7">
        <f t="shared" si="2"/>
        <v>19</v>
      </c>
      <c r="I105" s="45">
        <v>40700.768090277779</v>
      </c>
      <c r="J105" s="44" t="s">
        <v>548</v>
      </c>
      <c r="K105" s="4">
        <f t="shared" si="3"/>
        <v>45</v>
      </c>
      <c r="L105" s="4">
        <v>2</v>
      </c>
      <c r="M105" s="4">
        <v>45</v>
      </c>
      <c r="Q105">
        <v>19</v>
      </c>
      <c r="S105" s="8"/>
      <c r="T105" s="10"/>
    </row>
    <row r="106" spans="3:20">
      <c r="C106" s="3"/>
      <c r="F106" s="12">
        <v>152</v>
      </c>
      <c r="G106" s="46" t="s">
        <v>288</v>
      </c>
      <c r="H106" s="7">
        <f t="shared" si="2"/>
        <v>19</v>
      </c>
      <c r="I106" s="45">
        <v>40701.436886574076</v>
      </c>
      <c r="J106" s="44" t="s">
        <v>425</v>
      </c>
      <c r="K106" s="4">
        <f t="shared" si="3"/>
        <v>46</v>
      </c>
      <c r="L106" s="4">
        <v>2</v>
      </c>
      <c r="M106" s="4">
        <v>46</v>
      </c>
      <c r="Q106">
        <v>19</v>
      </c>
      <c r="S106" s="8"/>
      <c r="T106" s="10"/>
    </row>
    <row r="107" spans="3:20">
      <c r="C107" s="3"/>
      <c r="F107" s="12">
        <v>153</v>
      </c>
      <c r="G107" s="48" t="s">
        <v>288</v>
      </c>
      <c r="H107" s="7">
        <f t="shared" si="2"/>
        <v>19</v>
      </c>
      <c r="I107" s="45">
        <v>40701.602673611109</v>
      </c>
      <c r="J107" s="44">
        <v>8291720</v>
      </c>
      <c r="K107" s="4">
        <f t="shared" si="3"/>
        <v>47</v>
      </c>
      <c r="L107" s="4">
        <v>2</v>
      </c>
      <c r="M107" s="4">
        <v>47</v>
      </c>
      <c r="Q107">
        <v>19</v>
      </c>
      <c r="S107" s="8"/>
      <c r="T107" s="10"/>
    </row>
    <row r="108" spans="3:20">
      <c r="C108" s="3"/>
      <c r="F108" s="12">
        <v>161</v>
      </c>
      <c r="G108" s="56" t="s">
        <v>288</v>
      </c>
      <c r="H108" s="7">
        <f t="shared" si="2"/>
        <v>19</v>
      </c>
      <c r="I108" s="45">
        <v>40706.922083333331</v>
      </c>
      <c r="J108" s="44" t="s">
        <v>1346</v>
      </c>
      <c r="K108" s="4">
        <f t="shared" si="3"/>
        <v>48</v>
      </c>
      <c r="L108" s="4">
        <v>2</v>
      </c>
      <c r="M108" s="4">
        <v>48</v>
      </c>
      <c r="Q108">
        <v>19</v>
      </c>
      <c r="S108" s="8"/>
      <c r="T108" s="10"/>
    </row>
    <row r="109" spans="3:20">
      <c r="C109" s="3"/>
      <c r="F109" s="12">
        <v>162</v>
      </c>
      <c r="G109" s="48" t="s">
        <v>288</v>
      </c>
      <c r="H109" s="7">
        <f t="shared" si="2"/>
        <v>19</v>
      </c>
      <c r="I109" s="45">
        <v>40705.777488425927</v>
      </c>
      <c r="J109" s="44" t="s">
        <v>948</v>
      </c>
      <c r="K109" s="4">
        <f t="shared" si="3"/>
        <v>49</v>
      </c>
      <c r="L109" s="4">
        <v>6</v>
      </c>
      <c r="M109" s="4">
        <v>49</v>
      </c>
      <c r="Q109">
        <v>19</v>
      </c>
      <c r="S109" s="8"/>
      <c r="T109" s="10"/>
    </row>
    <row r="110" spans="3:20">
      <c r="C110" s="3"/>
      <c r="F110" s="12">
        <v>165</v>
      </c>
      <c r="G110" s="56" t="s">
        <v>288</v>
      </c>
      <c r="H110" s="7">
        <f t="shared" si="2"/>
        <v>19</v>
      </c>
      <c r="I110" s="45">
        <v>40707.390694444446</v>
      </c>
      <c r="J110" s="44" t="s">
        <v>646</v>
      </c>
      <c r="K110" s="4">
        <f t="shared" si="3"/>
        <v>50</v>
      </c>
      <c r="L110" s="4">
        <v>2</v>
      </c>
      <c r="M110" s="4">
        <v>50</v>
      </c>
      <c r="Q110">
        <v>19</v>
      </c>
      <c r="S110" s="8"/>
      <c r="T110" s="10"/>
    </row>
    <row r="111" spans="3:20">
      <c r="C111" s="3"/>
      <c r="F111" s="12">
        <v>166</v>
      </c>
      <c r="G111" s="48" t="s">
        <v>288</v>
      </c>
      <c r="H111" s="7">
        <f t="shared" si="2"/>
        <v>19</v>
      </c>
      <c r="I111" s="45">
        <v>40707.402453703704</v>
      </c>
      <c r="J111" s="44">
        <v>6464917</v>
      </c>
      <c r="K111" s="4">
        <f t="shared" si="3"/>
        <v>51</v>
      </c>
      <c r="L111" s="4">
        <v>10</v>
      </c>
      <c r="M111" s="4">
        <v>51</v>
      </c>
      <c r="Q111">
        <v>19</v>
      </c>
      <c r="S111" s="8"/>
      <c r="T111" s="10"/>
    </row>
    <row r="112" spans="3:20">
      <c r="C112" s="3"/>
      <c r="F112" s="12">
        <v>176</v>
      </c>
      <c r="G112" s="48" t="s">
        <v>288</v>
      </c>
      <c r="H112" s="7">
        <f t="shared" si="2"/>
        <v>19</v>
      </c>
      <c r="I112" s="45">
        <v>40711.476921296293</v>
      </c>
      <c r="J112" s="44" t="s">
        <v>1191</v>
      </c>
      <c r="K112" s="4">
        <f t="shared" si="3"/>
        <v>52</v>
      </c>
      <c r="L112" s="4">
        <v>11</v>
      </c>
      <c r="M112" s="4">
        <v>52</v>
      </c>
      <c r="Q112">
        <v>19</v>
      </c>
      <c r="S112" s="8"/>
      <c r="T112" s="10"/>
    </row>
    <row r="113" spans="3:20">
      <c r="C113" s="3"/>
      <c r="F113" s="12">
        <v>178</v>
      </c>
      <c r="G113" s="48" t="s">
        <v>288</v>
      </c>
      <c r="H113" s="7">
        <f t="shared" si="2"/>
        <v>19</v>
      </c>
      <c r="I113" s="45">
        <v>40711.777349537035</v>
      </c>
      <c r="J113" s="44" t="s">
        <v>1004</v>
      </c>
      <c r="K113" s="4">
        <f t="shared" si="3"/>
        <v>53</v>
      </c>
      <c r="L113" s="4">
        <v>7</v>
      </c>
      <c r="M113" s="4">
        <v>53</v>
      </c>
      <c r="Q113">
        <v>19</v>
      </c>
      <c r="S113" s="8"/>
      <c r="T113" s="10"/>
    </row>
    <row r="114" spans="3:20">
      <c r="C114" s="3"/>
      <c r="F114" s="12">
        <v>180</v>
      </c>
      <c r="G114" s="48" t="s">
        <v>288</v>
      </c>
      <c r="H114" s="7">
        <f t="shared" si="2"/>
        <v>19</v>
      </c>
      <c r="I114" s="45">
        <v>40711.925393518519</v>
      </c>
      <c r="J114" s="44" t="s">
        <v>1313</v>
      </c>
      <c r="K114" s="4">
        <f t="shared" si="3"/>
        <v>54</v>
      </c>
      <c r="L114" s="4">
        <v>13</v>
      </c>
      <c r="M114" s="4">
        <v>54</v>
      </c>
      <c r="Q114">
        <v>19</v>
      </c>
      <c r="S114" s="8"/>
      <c r="T114" s="10"/>
    </row>
    <row r="115" spans="3:20">
      <c r="C115" s="3"/>
      <c r="F115" s="12">
        <v>182</v>
      </c>
      <c r="G115" s="48" t="s">
        <v>288</v>
      </c>
      <c r="H115" s="7">
        <f t="shared" si="2"/>
        <v>19</v>
      </c>
      <c r="I115" s="45">
        <v>40711.972210648149</v>
      </c>
      <c r="J115" s="44" t="s">
        <v>809</v>
      </c>
      <c r="K115" s="4">
        <f t="shared" si="3"/>
        <v>55</v>
      </c>
      <c r="L115" s="4">
        <v>2</v>
      </c>
      <c r="M115" s="4">
        <v>55</v>
      </c>
      <c r="Q115">
        <v>19</v>
      </c>
      <c r="S115" s="8"/>
      <c r="T115" s="10"/>
    </row>
    <row r="116" spans="3:20">
      <c r="C116" s="3"/>
      <c r="F116" s="12">
        <v>186</v>
      </c>
      <c r="G116" s="56" t="s">
        <v>288</v>
      </c>
      <c r="H116" s="7">
        <f t="shared" si="2"/>
        <v>19</v>
      </c>
      <c r="I116" s="45">
        <v>40714.46402777778</v>
      </c>
      <c r="J116" s="44" t="s">
        <v>801</v>
      </c>
      <c r="K116" s="4">
        <f t="shared" si="3"/>
        <v>56</v>
      </c>
      <c r="L116" s="4">
        <v>2</v>
      </c>
      <c r="M116" s="4">
        <v>56</v>
      </c>
      <c r="Q116">
        <v>19</v>
      </c>
      <c r="S116" s="8"/>
      <c r="T116" s="10"/>
    </row>
    <row r="117" spans="3:20">
      <c r="C117" s="3"/>
      <c r="F117" s="12">
        <v>188</v>
      </c>
      <c r="G117" s="56" t="s">
        <v>288</v>
      </c>
      <c r="H117" s="7">
        <f t="shared" si="2"/>
        <v>19</v>
      </c>
      <c r="I117" s="45">
        <v>40714.74690972222</v>
      </c>
      <c r="J117" s="44" t="s">
        <v>733</v>
      </c>
      <c r="K117" s="4">
        <f t="shared" si="3"/>
        <v>57</v>
      </c>
      <c r="L117" s="4">
        <v>2</v>
      </c>
      <c r="M117" s="4">
        <v>57</v>
      </c>
      <c r="Q117">
        <v>19</v>
      </c>
      <c r="S117" s="8"/>
      <c r="T117" s="10"/>
    </row>
    <row r="118" spans="3:20">
      <c r="C118" s="3"/>
      <c r="F118" s="12">
        <v>189</v>
      </c>
      <c r="G118" s="56" t="s">
        <v>288</v>
      </c>
      <c r="H118" s="7">
        <f t="shared" si="2"/>
        <v>19</v>
      </c>
      <c r="I118" s="45">
        <v>40714.46398148148</v>
      </c>
      <c r="J118" s="44" t="s">
        <v>381</v>
      </c>
      <c r="K118" s="4">
        <f t="shared" si="3"/>
        <v>58</v>
      </c>
      <c r="L118" s="4">
        <v>2</v>
      </c>
      <c r="M118" s="4">
        <v>58</v>
      </c>
      <c r="Q118">
        <v>19</v>
      </c>
      <c r="S118" s="8"/>
      <c r="T118" s="10"/>
    </row>
    <row r="119" spans="3:20">
      <c r="C119" s="3"/>
      <c r="F119" s="12">
        <v>191</v>
      </c>
      <c r="G119" s="48" t="s">
        <v>288</v>
      </c>
      <c r="H119" s="7">
        <f t="shared" si="2"/>
        <v>19</v>
      </c>
      <c r="I119" s="45">
        <v>40712.396724537037</v>
      </c>
      <c r="J119" s="44" t="s">
        <v>1257</v>
      </c>
      <c r="K119" s="4">
        <f t="shared" si="3"/>
        <v>59</v>
      </c>
      <c r="L119" s="4">
        <v>23</v>
      </c>
      <c r="M119" s="4">
        <v>59</v>
      </c>
      <c r="Q119">
        <v>19</v>
      </c>
      <c r="S119" s="8"/>
      <c r="T119" s="10"/>
    </row>
    <row r="120" spans="3:20">
      <c r="C120" s="3"/>
      <c r="F120" s="12">
        <v>195</v>
      </c>
      <c r="G120" s="46" t="s">
        <v>288</v>
      </c>
      <c r="H120" s="7">
        <f t="shared" si="2"/>
        <v>19</v>
      </c>
      <c r="I120" s="45">
        <v>40715.710081018522</v>
      </c>
      <c r="J120" s="44" t="s">
        <v>403</v>
      </c>
      <c r="K120" s="4">
        <f t="shared" si="3"/>
        <v>60</v>
      </c>
      <c r="L120" s="4">
        <v>2</v>
      </c>
      <c r="M120" s="4">
        <v>60</v>
      </c>
      <c r="Q120">
        <v>19</v>
      </c>
      <c r="S120" s="8"/>
      <c r="T120" s="10"/>
    </row>
    <row r="121" spans="3:20">
      <c r="C121" s="3"/>
      <c r="F121" s="12">
        <v>201</v>
      </c>
      <c r="G121" s="56" t="s">
        <v>288</v>
      </c>
      <c r="H121" s="7">
        <f t="shared" si="2"/>
        <v>19</v>
      </c>
      <c r="I121" s="45">
        <v>40721.417511574073</v>
      </c>
      <c r="J121" s="44" t="s">
        <v>859</v>
      </c>
      <c r="K121" s="4">
        <f t="shared" si="3"/>
        <v>61</v>
      </c>
      <c r="L121" s="4">
        <v>2</v>
      </c>
      <c r="M121" s="4">
        <v>61</v>
      </c>
      <c r="Q121">
        <v>19</v>
      </c>
      <c r="S121" s="8"/>
      <c r="T121" s="10"/>
    </row>
    <row r="122" spans="3:20">
      <c r="C122" s="3"/>
      <c r="F122" s="12">
        <v>202</v>
      </c>
      <c r="G122" s="48" t="s">
        <v>288</v>
      </c>
      <c r="H122" s="7">
        <f t="shared" si="2"/>
        <v>19</v>
      </c>
      <c r="I122" s="45">
        <v>40722.973796296297</v>
      </c>
      <c r="J122" s="44" t="s">
        <v>998</v>
      </c>
      <c r="K122" s="4">
        <f t="shared" si="3"/>
        <v>62</v>
      </c>
      <c r="L122" s="4">
        <v>5</v>
      </c>
      <c r="M122" s="4">
        <v>62</v>
      </c>
      <c r="Q122">
        <v>19</v>
      </c>
      <c r="S122" s="8"/>
      <c r="T122" s="10"/>
    </row>
    <row r="123" spans="3:20">
      <c r="C123" s="3"/>
      <c r="F123" s="12">
        <v>85</v>
      </c>
      <c r="G123" s="56" t="s">
        <v>455</v>
      </c>
      <c r="H123" s="7">
        <f t="shared" si="2"/>
        <v>20</v>
      </c>
      <c r="I123" s="45">
        <v>40675.417928240742</v>
      </c>
      <c r="J123" s="44" t="s">
        <v>1121</v>
      </c>
      <c r="K123" s="4">
        <f t="shared" si="3"/>
        <v>1</v>
      </c>
      <c r="L123" s="4">
        <v>2</v>
      </c>
      <c r="M123" s="4">
        <v>1</v>
      </c>
      <c r="Q123">
        <v>20</v>
      </c>
      <c r="S123" s="8"/>
      <c r="T123" s="10"/>
    </row>
    <row r="124" spans="3:20">
      <c r="C124" s="3"/>
      <c r="F124" s="12">
        <v>104</v>
      </c>
      <c r="G124" s="46" t="s">
        <v>455</v>
      </c>
      <c r="H124" s="7">
        <f t="shared" si="2"/>
        <v>20</v>
      </c>
      <c r="I124" s="45">
        <v>40683.388124999998</v>
      </c>
      <c r="J124" s="44" t="s">
        <v>454</v>
      </c>
      <c r="K124" s="4">
        <f t="shared" si="3"/>
        <v>2</v>
      </c>
      <c r="L124" s="4">
        <v>7</v>
      </c>
      <c r="M124" s="4">
        <v>2</v>
      </c>
      <c r="Q124">
        <v>20</v>
      </c>
      <c r="S124" s="8"/>
      <c r="T124" s="10"/>
    </row>
    <row r="125" spans="3:20">
      <c r="C125" s="3"/>
      <c r="F125" s="12">
        <v>110</v>
      </c>
      <c r="G125" s="56" t="s">
        <v>455</v>
      </c>
      <c r="H125" s="7">
        <f t="shared" si="2"/>
        <v>20</v>
      </c>
      <c r="I125" s="45">
        <v>40686.401203703703</v>
      </c>
      <c r="J125" s="44" t="s">
        <v>1208</v>
      </c>
      <c r="K125" s="4">
        <f t="shared" si="3"/>
        <v>3</v>
      </c>
      <c r="L125" s="4">
        <v>3</v>
      </c>
      <c r="M125" s="4">
        <v>3</v>
      </c>
      <c r="Q125">
        <v>20</v>
      </c>
      <c r="S125" s="8"/>
      <c r="T125" s="10"/>
    </row>
    <row r="126" spans="3:20">
      <c r="C126" s="3"/>
      <c r="F126" s="12">
        <v>113</v>
      </c>
      <c r="G126" s="48" t="s">
        <v>455</v>
      </c>
      <c r="H126" s="7">
        <f t="shared" si="2"/>
        <v>20</v>
      </c>
      <c r="I126" s="45">
        <v>40686.694861111115</v>
      </c>
      <c r="J126" s="44" t="s">
        <v>1228</v>
      </c>
      <c r="K126" s="4">
        <f t="shared" si="3"/>
        <v>4</v>
      </c>
      <c r="L126" s="4">
        <v>10</v>
      </c>
      <c r="M126" s="4">
        <v>4</v>
      </c>
      <c r="Q126">
        <v>20</v>
      </c>
      <c r="S126" s="8"/>
      <c r="T126" s="10"/>
    </row>
    <row r="127" spans="3:20">
      <c r="C127" s="3"/>
      <c r="F127" s="12">
        <v>121</v>
      </c>
      <c r="G127" s="48" t="s">
        <v>455</v>
      </c>
      <c r="H127" s="7">
        <f t="shared" si="2"/>
        <v>20</v>
      </c>
      <c r="I127" s="45">
        <v>40687.571516203701</v>
      </c>
      <c r="J127" s="44" t="s">
        <v>1231</v>
      </c>
      <c r="K127" s="4">
        <f t="shared" si="3"/>
        <v>5</v>
      </c>
      <c r="L127" s="4">
        <v>2</v>
      </c>
      <c r="M127" s="4">
        <v>5</v>
      </c>
      <c r="Q127">
        <v>20</v>
      </c>
      <c r="S127" s="8"/>
      <c r="T127" s="10"/>
    </row>
    <row r="128" spans="3:20">
      <c r="C128" s="3"/>
      <c r="F128" s="12">
        <v>193</v>
      </c>
      <c r="G128" s="46" t="s">
        <v>543</v>
      </c>
      <c r="H128" s="7">
        <f t="shared" si="2"/>
        <v>21</v>
      </c>
      <c r="I128" s="45">
        <v>40715.68204861111</v>
      </c>
      <c r="J128" s="44" t="s">
        <v>542</v>
      </c>
      <c r="K128" s="4">
        <f t="shared" si="3"/>
        <v>1</v>
      </c>
      <c r="L128" s="4">
        <v>2</v>
      </c>
      <c r="M128" s="4">
        <v>1</v>
      </c>
      <c r="Q128">
        <v>21</v>
      </c>
      <c r="S128" s="8"/>
      <c r="T128" s="10"/>
    </row>
    <row r="129" spans="3:20">
      <c r="C129" s="3"/>
      <c r="F129" s="12">
        <v>50</v>
      </c>
      <c r="G129" s="56" t="s">
        <v>651</v>
      </c>
      <c r="H129" s="7">
        <f t="shared" si="2"/>
        <v>22</v>
      </c>
      <c r="I129" s="45">
        <v>40661.934548611112</v>
      </c>
      <c r="J129" s="44" t="s">
        <v>976</v>
      </c>
      <c r="K129" s="4">
        <f t="shared" si="3"/>
        <v>1</v>
      </c>
      <c r="L129" s="4">
        <v>2</v>
      </c>
      <c r="M129" s="4">
        <v>1</v>
      </c>
      <c r="Q129">
        <v>22</v>
      </c>
      <c r="S129" s="8"/>
      <c r="T129" s="10"/>
    </row>
    <row r="130" spans="3:20">
      <c r="C130" s="3"/>
      <c r="F130" s="12">
        <v>51</v>
      </c>
      <c r="G130" s="48" t="s">
        <v>651</v>
      </c>
      <c r="H130" s="7">
        <f t="shared" ref="H130:H193" si="4">LOOKUP(G130,$N$2:$N$39,$O$2:$O$39)</f>
        <v>22</v>
      </c>
      <c r="I130" s="45">
        <v>40661.561041666668</v>
      </c>
      <c r="J130" s="44" t="s">
        <v>652</v>
      </c>
      <c r="K130" s="4">
        <f t="shared" ref="K130:K193" si="5">IF(Q130&gt;Q129,1,K129+1)</f>
        <v>2</v>
      </c>
      <c r="L130" s="4">
        <v>2</v>
      </c>
      <c r="M130" s="4">
        <v>2</v>
      </c>
      <c r="Q130">
        <v>22</v>
      </c>
      <c r="S130" s="8"/>
      <c r="T130" s="10"/>
    </row>
    <row r="131" spans="3:20">
      <c r="C131" s="3"/>
      <c r="F131" s="12">
        <v>93</v>
      </c>
      <c r="G131" s="48" t="s">
        <v>651</v>
      </c>
      <c r="H131" s="7">
        <f t="shared" si="4"/>
        <v>22</v>
      </c>
      <c r="I131" s="45">
        <v>40676.914710648147</v>
      </c>
      <c r="J131" s="44" t="s">
        <v>1434</v>
      </c>
      <c r="K131" s="4">
        <f t="shared" si="5"/>
        <v>3</v>
      </c>
      <c r="L131" s="4">
        <v>6</v>
      </c>
      <c r="M131" s="4">
        <v>3</v>
      </c>
      <c r="Q131">
        <v>22</v>
      </c>
      <c r="S131" s="8"/>
      <c r="T131" s="10"/>
    </row>
    <row r="132" spans="3:20">
      <c r="C132" s="3"/>
      <c r="F132" s="12">
        <v>134</v>
      </c>
      <c r="G132" s="56" t="s">
        <v>1578</v>
      </c>
      <c r="H132" s="7">
        <f t="shared" si="4"/>
        <v>23</v>
      </c>
      <c r="I132" s="45">
        <v>40696.952337962961</v>
      </c>
      <c r="J132" s="44" t="s">
        <v>702</v>
      </c>
      <c r="K132" s="4">
        <f t="shared" si="5"/>
        <v>1</v>
      </c>
      <c r="L132" s="4">
        <v>4</v>
      </c>
      <c r="M132" s="4">
        <v>1</v>
      </c>
      <c r="Q132">
        <v>23</v>
      </c>
      <c r="S132" s="8"/>
      <c r="T132" s="10"/>
    </row>
    <row r="133" spans="3:20">
      <c r="C133" s="3"/>
      <c r="F133" s="12">
        <v>116</v>
      </c>
      <c r="G133" s="56" t="s">
        <v>306</v>
      </c>
      <c r="H133" s="7">
        <f t="shared" si="4"/>
        <v>24</v>
      </c>
      <c r="I133" s="45">
        <v>40691.668310185189</v>
      </c>
      <c r="J133" s="44" t="s">
        <v>692</v>
      </c>
      <c r="K133" s="4">
        <f t="shared" si="5"/>
        <v>1</v>
      </c>
      <c r="L133" s="4">
        <v>8</v>
      </c>
      <c r="M133" s="4">
        <v>1</v>
      </c>
      <c r="Q133">
        <v>24</v>
      </c>
      <c r="S133" s="8"/>
      <c r="T133" s="10"/>
    </row>
    <row r="134" spans="3:20">
      <c r="C134" s="3"/>
      <c r="F134" s="12">
        <v>120</v>
      </c>
      <c r="G134" s="56" t="s">
        <v>302</v>
      </c>
      <c r="H134" s="7">
        <f t="shared" si="4"/>
        <v>24</v>
      </c>
      <c r="I134" s="45">
        <v>40694.203912037039</v>
      </c>
      <c r="J134" s="44" t="s">
        <v>895</v>
      </c>
      <c r="K134" s="4">
        <f t="shared" si="5"/>
        <v>2</v>
      </c>
      <c r="L134" s="4">
        <v>7</v>
      </c>
      <c r="M134" s="4">
        <v>2</v>
      </c>
      <c r="Q134">
        <v>24</v>
      </c>
      <c r="S134" s="8"/>
      <c r="T134" s="10"/>
    </row>
    <row r="135" spans="3:20">
      <c r="C135" s="3"/>
      <c r="F135" s="12">
        <v>127</v>
      </c>
      <c r="G135" s="48" t="s">
        <v>302</v>
      </c>
      <c r="H135" s="7">
        <f t="shared" si="4"/>
        <v>24</v>
      </c>
      <c r="I135" s="45">
        <v>40694.271736111114</v>
      </c>
      <c r="J135" s="44" t="s">
        <v>1354</v>
      </c>
      <c r="K135" s="4">
        <f t="shared" si="5"/>
        <v>3</v>
      </c>
      <c r="L135" s="4">
        <v>8</v>
      </c>
      <c r="M135" s="4">
        <v>3</v>
      </c>
      <c r="Q135">
        <v>24</v>
      </c>
      <c r="S135" s="8"/>
      <c r="T135" s="10"/>
    </row>
    <row r="136" spans="3:20">
      <c r="C136" s="3"/>
      <c r="F136" s="12">
        <v>133</v>
      </c>
      <c r="G136" s="48" t="s">
        <v>302</v>
      </c>
      <c r="H136" s="7">
        <f t="shared" si="4"/>
        <v>24</v>
      </c>
      <c r="I136" s="45">
        <v>40696.952337962961</v>
      </c>
      <c r="J136" s="44" t="s">
        <v>701</v>
      </c>
      <c r="K136" s="4">
        <f t="shared" si="5"/>
        <v>4</v>
      </c>
      <c r="L136" s="4">
        <v>4</v>
      </c>
      <c r="M136" s="4">
        <v>4</v>
      </c>
      <c r="Q136">
        <v>24</v>
      </c>
      <c r="S136" s="8"/>
      <c r="T136" s="10"/>
    </row>
    <row r="137" spans="3:20">
      <c r="C137" s="3"/>
      <c r="F137" s="12">
        <v>135</v>
      </c>
      <c r="G137" s="48" t="s">
        <v>306</v>
      </c>
      <c r="H137" s="7">
        <f t="shared" si="4"/>
        <v>24</v>
      </c>
      <c r="I137" s="45">
        <v>40697.331620370373</v>
      </c>
      <c r="J137" s="44" t="s">
        <v>1013</v>
      </c>
      <c r="K137" s="4">
        <f t="shared" si="5"/>
        <v>5</v>
      </c>
      <c r="L137" s="4">
        <v>4</v>
      </c>
      <c r="M137" s="4">
        <v>5</v>
      </c>
      <c r="Q137">
        <v>24</v>
      </c>
      <c r="S137" s="8"/>
      <c r="T137" s="10"/>
    </row>
    <row r="138" spans="3:20">
      <c r="C138" s="3"/>
      <c r="F138" s="12">
        <v>192</v>
      </c>
      <c r="G138" s="56" t="s">
        <v>306</v>
      </c>
      <c r="H138" s="7">
        <f t="shared" si="4"/>
        <v>24</v>
      </c>
      <c r="I138" s="45">
        <v>40715.608356481483</v>
      </c>
      <c r="J138" s="44" t="s">
        <v>541</v>
      </c>
      <c r="K138" s="4">
        <f t="shared" si="5"/>
        <v>6</v>
      </c>
      <c r="L138" s="4">
        <v>2</v>
      </c>
      <c r="M138" s="4">
        <v>6</v>
      </c>
      <c r="Q138">
        <v>24</v>
      </c>
      <c r="S138" s="8"/>
      <c r="T138" s="10"/>
    </row>
    <row r="139" spans="3:20">
      <c r="C139" s="3"/>
      <c r="F139" s="12">
        <v>145</v>
      </c>
      <c r="G139" s="48" t="s">
        <v>423</v>
      </c>
      <c r="H139" s="7">
        <f t="shared" si="4"/>
        <v>25</v>
      </c>
      <c r="I139" s="45">
        <v>40692.461423611108</v>
      </c>
      <c r="J139" s="44" t="s">
        <v>965</v>
      </c>
      <c r="K139" s="4">
        <f t="shared" si="5"/>
        <v>1</v>
      </c>
      <c r="L139" s="4">
        <v>10</v>
      </c>
      <c r="M139" s="4">
        <v>1</v>
      </c>
      <c r="Q139">
        <v>25</v>
      </c>
      <c r="S139" s="8"/>
      <c r="T139" s="10"/>
    </row>
    <row r="140" spans="3:20">
      <c r="C140" s="3"/>
      <c r="F140" s="12">
        <v>150</v>
      </c>
      <c r="G140" s="56" t="s">
        <v>423</v>
      </c>
      <c r="H140" s="7">
        <f t="shared" si="4"/>
        <v>25</v>
      </c>
      <c r="I140" s="45">
        <v>40701.379791666666</v>
      </c>
      <c r="J140" s="44" t="s">
        <v>920</v>
      </c>
      <c r="K140" s="4">
        <f t="shared" si="5"/>
        <v>2</v>
      </c>
      <c r="L140" s="4">
        <v>3</v>
      </c>
      <c r="M140" s="4">
        <v>2</v>
      </c>
      <c r="Q140">
        <v>25</v>
      </c>
      <c r="S140" s="8"/>
      <c r="T140" s="10"/>
    </row>
    <row r="141" spans="3:20">
      <c r="C141" s="3"/>
      <c r="F141" s="12">
        <v>151</v>
      </c>
      <c r="G141" s="48" t="s">
        <v>423</v>
      </c>
      <c r="H141" s="7">
        <f t="shared" si="4"/>
        <v>25</v>
      </c>
      <c r="I141" s="45">
        <v>40701.404490740744</v>
      </c>
      <c r="J141" s="44" t="s">
        <v>424</v>
      </c>
      <c r="K141" s="4">
        <f t="shared" si="5"/>
        <v>3</v>
      </c>
      <c r="L141" s="4">
        <v>3</v>
      </c>
      <c r="M141" s="4">
        <v>3</v>
      </c>
      <c r="Q141">
        <v>25</v>
      </c>
      <c r="S141" s="8"/>
      <c r="T141" s="10"/>
    </row>
    <row r="142" spans="3:20">
      <c r="C142" s="3"/>
      <c r="F142" s="12">
        <v>158</v>
      </c>
      <c r="G142" s="48" t="s">
        <v>423</v>
      </c>
      <c r="H142" s="7">
        <f t="shared" si="4"/>
        <v>25</v>
      </c>
      <c r="I142" s="45">
        <v>40702.422696759262</v>
      </c>
      <c r="J142" s="44" t="s">
        <v>1411</v>
      </c>
      <c r="K142" s="4">
        <f t="shared" si="5"/>
        <v>4</v>
      </c>
      <c r="L142" s="4">
        <v>4</v>
      </c>
      <c r="M142" s="4">
        <v>4</v>
      </c>
      <c r="Q142">
        <v>25</v>
      </c>
      <c r="S142" s="8"/>
      <c r="T142" s="10"/>
    </row>
    <row r="143" spans="3:20">
      <c r="C143" s="3"/>
      <c r="F143" s="12">
        <v>28</v>
      </c>
      <c r="G143" s="56" t="s">
        <v>300</v>
      </c>
      <c r="H143" s="7">
        <f t="shared" si="4"/>
        <v>26</v>
      </c>
      <c r="I143" s="45">
        <v>40651.909675925926</v>
      </c>
      <c r="J143" s="44" t="s">
        <v>596</v>
      </c>
      <c r="K143" s="4">
        <f t="shared" si="5"/>
        <v>1</v>
      </c>
      <c r="L143" s="4">
        <v>2</v>
      </c>
      <c r="M143" s="4">
        <v>1</v>
      </c>
      <c r="Q143">
        <v>26</v>
      </c>
      <c r="S143" s="8"/>
      <c r="T143" s="10"/>
    </row>
    <row r="144" spans="3:20">
      <c r="C144" s="3"/>
      <c r="D144" s="1"/>
      <c r="F144" s="12">
        <v>52</v>
      </c>
      <c r="G144" s="56" t="s">
        <v>300</v>
      </c>
      <c r="H144" s="7">
        <f t="shared" si="4"/>
        <v>26</v>
      </c>
      <c r="I144" s="45">
        <v>40661.941874999997</v>
      </c>
      <c r="J144" s="44" t="s">
        <v>653</v>
      </c>
      <c r="K144" s="4">
        <f t="shared" si="5"/>
        <v>2</v>
      </c>
      <c r="L144" s="4">
        <v>2</v>
      </c>
      <c r="M144" s="4">
        <v>2</v>
      </c>
      <c r="Q144">
        <v>26</v>
      </c>
      <c r="S144" s="8"/>
      <c r="T144" s="10"/>
    </row>
    <row r="145" spans="3:20">
      <c r="C145" s="3"/>
      <c r="F145" s="12">
        <v>54</v>
      </c>
      <c r="G145" s="56" t="s">
        <v>300</v>
      </c>
      <c r="H145" s="7">
        <f t="shared" si="4"/>
        <v>26</v>
      </c>
      <c r="I145" s="45">
        <v>40662.050324074073</v>
      </c>
      <c r="J145" s="44" t="s">
        <v>972</v>
      </c>
      <c r="K145" s="4">
        <f t="shared" si="5"/>
        <v>3</v>
      </c>
      <c r="L145" s="4">
        <v>3</v>
      </c>
      <c r="M145" s="4">
        <v>3</v>
      </c>
      <c r="Q145">
        <v>26</v>
      </c>
      <c r="S145" s="8"/>
      <c r="T145" s="10"/>
    </row>
    <row r="146" spans="3:20">
      <c r="C146" s="3"/>
      <c r="F146" s="12">
        <v>56</v>
      </c>
      <c r="G146" s="56" t="s">
        <v>300</v>
      </c>
      <c r="H146" s="7">
        <f t="shared" si="4"/>
        <v>26</v>
      </c>
      <c r="I146" s="45">
        <v>40662.427361111113</v>
      </c>
      <c r="J146" s="44" t="s">
        <v>1150</v>
      </c>
      <c r="K146" s="4">
        <f t="shared" si="5"/>
        <v>4</v>
      </c>
      <c r="L146" s="4">
        <v>3</v>
      </c>
      <c r="M146" s="4">
        <v>4</v>
      </c>
      <c r="Q146">
        <v>26</v>
      </c>
      <c r="S146" s="8"/>
      <c r="T146" s="10"/>
    </row>
    <row r="147" spans="3:20">
      <c r="C147" s="3"/>
      <c r="F147" s="12">
        <v>64</v>
      </c>
      <c r="G147" s="48" t="s">
        <v>300</v>
      </c>
      <c r="H147" s="7">
        <f t="shared" si="4"/>
        <v>26</v>
      </c>
      <c r="I147" s="45">
        <v>40666.330254629633</v>
      </c>
      <c r="J147" s="44" t="s">
        <v>1357</v>
      </c>
      <c r="K147" s="4">
        <f t="shared" si="5"/>
        <v>5</v>
      </c>
      <c r="L147" s="4">
        <v>5</v>
      </c>
      <c r="M147" s="4">
        <v>5</v>
      </c>
      <c r="Q147">
        <v>26</v>
      </c>
      <c r="S147" s="8"/>
      <c r="T147" s="10"/>
    </row>
    <row r="148" spans="3:20">
      <c r="C148" s="3"/>
      <c r="F148" s="12">
        <v>66</v>
      </c>
      <c r="G148" s="48" t="s">
        <v>300</v>
      </c>
      <c r="H148" s="7">
        <f t="shared" si="4"/>
        <v>26</v>
      </c>
      <c r="I148" s="45">
        <v>40666.334224537037</v>
      </c>
      <c r="J148" s="44" t="s">
        <v>1451</v>
      </c>
      <c r="K148" s="4">
        <f t="shared" si="5"/>
        <v>6</v>
      </c>
      <c r="L148" s="4">
        <v>2</v>
      </c>
      <c r="M148" s="4">
        <v>6</v>
      </c>
      <c r="Q148">
        <v>26</v>
      </c>
      <c r="S148" s="8"/>
      <c r="T148" s="10"/>
    </row>
    <row r="149" spans="3:20">
      <c r="C149" s="3"/>
      <c r="F149" s="12">
        <v>86</v>
      </c>
      <c r="G149" s="48" t="s">
        <v>300</v>
      </c>
      <c r="H149" s="7">
        <f t="shared" si="4"/>
        <v>26</v>
      </c>
      <c r="I149" s="45">
        <v>40675.045011574075</v>
      </c>
      <c r="J149" s="44" t="s">
        <v>1173</v>
      </c>
      <c r="K149" s="4">
        <f t="shared" si="5"/>
        <v>7</v>
      </c>
      <c r="L149" s="4">
        <v>2</v>
      </c>
      <c r="M149" s="4">
        <v>7</v>
      </c>
      <c r="Q149">
        <v>26</v>
      </c>
      <c r="S149" s="8"/>
      <c r="T149" s="10"/>
    </row>
    <row r="150" spans="3:20">
      <c r="C150" s="3"/>
      <c r="F150" s="12">
        <v>114</v>
      </c>
      <c r="G150" s="56" t="s">
        <v>300</v>
      </c>
      <c r="H150" s="7">
        <f t="shared" si="4"/>
        <v>26</v>
      </c>
      <c r="I150" s="45">
        <v>40687.451493055552</v>
      </c>
      <c r="J150" s="44" t="s">
        <v>1229</v>
      </c>
      <c r="K150" s="4">
        <f t="shared" si="5"/>
        <v>8</v>
      </c>
      <c r="L150" s="4">
        <v>2</v>
      </c>
      <c r="M150" s="4">
        <v>8</v>
      </c>
      <c r="Q150">
        <v>26</v>
      </c>
      <c r="S150" s="8"/>
      <c r="T150" s="10"/>
    </row>
    <row r="151" spans="3:20">
      <c r="C151" s="3"/>
      <c r="F151" s="12">
        <v>124</v>
      </c>
      <c r="G151" s="56" t="s">
        <v>300</v>
      </c>
      <c r="H151" s="7">
        <f t="shared" si="4"/>
        <v>26</v>
      </c>
      <c r="I151" s="45">
        <v>40694.240520833337</v>
      </c>
      <c r="J151" s="44">
        <v>6204016</v>
      </c>
      <c r="K151" s="4">
        <f t="shared" si="5"/>
        <v>9</v>
      </c>
      <c r="L151" s="4">
        <v>7</v>
      </c>
      <c r="M151" s="4">
        <v>9</v>
      </c>
      <c r="Q151">
        <v>26</v>
      </c>
      <c r="S151" s="8"/>
      <c r="T151" s="10"/>
    </row>
    <row r="152" spans="3:20">
      <c r="C152" s="3"/>
      <c r="F152" s="12">
        <v>128</v>
      </c>
      <c r="G152" s="56" t="s">
        <v>300</v>
      </c>
      <c r="H152" s="7">
        <f t="shared" si="4"/>
        <v>26</v>
      </c>
      <c r="I152" s="45">
        <v>40694.632210648146</v>
      </c>
      <c r="J152" s="44" t="s">
        <v>1355</v>
      </c>
      <c r="K152" s="4">
        <f t="shared" si="5"/>
        <v>10</v>
      </c>
      <c r="L152" s="4">
        <v>7</v>
      </c>
      <c r="M152" s="4">
        <v>10</v>
      </c>
      <c r="Q152">
        <v>26</v>
      </c>
      <c r="S152" s="8"/>
      <c r="T152" s="10"/>
    </row>
    <row r="153" spans="3:20">
      <c r="C153" s="3"/>
      <c r="F153" s="12">
        <v>129</v>
      </c>
      <c r="G153" s="56" t="s">
        <v>300</v>
      </c>
      <c r="H153" s="7">
        <f t="shared" si="4"/>
        <v>26</v>
      </c>
      <c r="I153" s="45">
        <v>40694.674085648148</v>
      </c>
      <c r="J153" s="44" t="s">
        <v>384</v>
      </c>
      <c r="K153" s="4">
        <f t="shared" si="5"/>
        <v>11</v>
      </c>
      <c r="L153" s="4">
        <v>2</v>
      </c>
      <c r="M153" s="4">
        <v>11</v>
      </c>
      <c r="Q153">
        <v>26</v>
      </c>
      <c r="S153" s="8"/>
      <c r="T153" s="10"/>
    </row>
    <row r="154" spans="3:20">
      <c r="C154" s="3"/>
      <c r="F154" s="12">
        <v>146</v>
      </c>
      <c r="G154" s="56" t="s">
        <v>300</v>
      </c>
      <c r="H154" s="7">
        <f t="shared" si="4"/>
        <v>26</v>
      </c>
      <c r="I154" s="45">
        <v>40700.010196759256</v>
      </c>
      <c r="J154" s="44" t="s">
        <v>966</v>
      </c>
      <c r="K154" s="4">
        <f t="shared" si="5"/>
        <v>12</v>
      </c>
      <c r="L154" s="4">
        <v>4</v>
      </c>
      <c r="M154" s="4">
        <v>12</v>
      </c>
      <c r="Q154">
        <v>26</v>
      </c>
      <c r="S154" s="8"/>
      <c r="T154" s="10"/>
    </row>
    <row r="155" spans="3:20">
      <c r="C155" s="3"/>
      <c r="F155" s="12">
        <v>148</v>
      </c>
      <c r="G155" s="46" t="s">
        <v>300</v>
      </c>
      <c r="H155" s="7">
        <f t="shared" si="4"/>
        <v>26</v>
      </c>
      <c r="I155" s="45">
        <v>40700.932523148149</v>
      </c>
      <c r="J155" s="44" t="s">
        <v>395</v>
      </c>
      <c r="K155" s="4">
        <f t="shared" si="5"/>
        <v>13</v>
      </c>
      <c r="L155" s="4">
        <v>3</v>
      </c>
      <c r="M155" s="4">
        <v>13</v>
      </c>
      <c r="Q155">
        <v>26</v>
      </c>
      <c r="S155" s="8"/>
      <c r="T155" s="10"/>
    </row>
    <row r="156" spans="3:20">
      <c r="C156" s="3"/>
      <c r="F156" s="12">
        <v>159</v>
      </c>
      <c r="G156" s="56" t="s">
        <v>300</v>
      </c>
      <c r="H156" s="7">
        <f t="shared" si="4"/>
        <v>26</v>
      </c>
      <c r="I156" s="45">
        <v>40702.462013888886</v>
      </c>
      <c r="J156" s="44" t="s">
        <v>1412</v>
      </c>
      <c r="K156" s="4">
        <f t="shared" si="5"/>
        <v>14</v>
      </c>
      <c r="L156" s="4">
        <v>3</v>
      </c>
      <c r="M156" s="4">
        <v>14</v>
      </c>
      <c r="Q156">
        <v>26</v>
      </c>
      <c r="S156" s="8"/>
      <c r="T156" s="10"/>
    </row>
    <row r="157" spans="3:20">
      <c r="C157" s="3"/>
      <c r="F157" s="12">
        <v>164</v>
      </c>
      <c r="G157" s="48" t="s">
        <v>300</v>
      </c>
      <c r="H157" s="7">
        <f t="shared" si="4"/>
        <v>26</v>
      </c>
      <c r="I157" s="45">
        <v>40707.24287037037</v>
      </c>
      <c r="J157" s="44" t="s">
        <v>645</v>
      </c>
      <c r="K157" s="4">
        <f t="shared" si="5"/>
        <v>15</v>
      </c>
      <c r="L157" s="4">
        <v>2</v>
      </c>
      <c r="M157" s="4">
        <v>15</v>
      </c>
      <c r="Q157">
        <v>26</v>
      </c>
      <c r="S157" s="8"/>
      <c r="T157" s="10"/>
    </row>
    <row r="158" spans="3:20">
      <c r="C158" s="3"/>
      <c r="F158" s="12">
        <v>169</v>
      </c>
      <c r="G158" s="56" t="s">
        <v>300</v>
      </c>
      <c r="H158" s="7">
        <f t="shared" si="4"/>
        <v>26</v>
      </c>
      <c r="I158" s="45">
        <v>40708.062604166669</v>
      </c>
      <c r="J158" s="44">
        <v>3059872</v>
      </c>
      <c r="K158" s="4">
        <f t="shared" si="5"/>
        <v>16</v>
      </c>
      <c r="L158" s="4">
        <v>2</v>
      </c>
      <c r="M158" s="4">
        <v>16</v>
      </c>
      <c r="Q158">
        <v>26</v>
      </c>
      <c r="S158" s="8"/>
    </row>
    <row r="159" spans="3:20">
      <c r="C159" s="3"/>
      <c r="F159" s="12">
        <v>171</v>
      </c>
      <c r="G159" s="56" t="s">
        <v>300</v>
      </c>
      <c r="H159" s="7">
        <f t="shared" si="4"/>
        <v>26</v>
      </c>
      <c r="I159" s="45">
        <v>40708.528703703705</v>
      </c>
      <c r="J159" s="44" t="s">
        <v>1032</v>
      </c>
      <c r="K159" s="4">
        <f t="shared" si="5"/>
        <v>17</v>
      </c>
      <c r="L159" s="4">
        <v>2</v>
      </c>
      <c r="M159" s="4">
        <v>17</v>
      </c>
      <c r="Q159">
        <v>26</v>
      </c>
      <c r="S159" s="8"/>
    </row>
    <row r="160" spans="3:20">
      <c r="C160" s="3"/>
      <c r="F160" s="12">
        <v>174</v>
      </c>
      <c r="G160" s="48" t="s">
        <v>300</v>
      </c>
      <c r="H160" s="7">
        <f t="shared" si="4"/>
        <v>26</v>
      </c>
      <c r="I160" s="45">
        <v>40710.669398148151</v>
      </c>
      <c r="J160" s="44" t="s">
        <v>1079</v>
      </c>
      <c r="K160" s="4">
        <f t="shared" si="5"/>
        <v>18</v>
      </c>
      <c r="L160" s="4">
        <v>2</v>
      </c>
      <c r="M160" s="4">
        <v>18</v>
      </c>
      <c r="Q160">
        <v>26</v>
      </c>
      <c r="S160" s="8"/>
    </row>
    <row r="161" spans="3:19">
      <c r="C161" s="3"/>
      <c r="F161" s="12">
        <v>194</v>
      </c>
      <c r="G161" s="48" t="s">
        <v>300</v>
      </c>
      <c r="H161" s="7">
        <f t="shared" si="4"/>
        <v>26</v>
      </c>
      <c r="I161" s="45">
        <v>40715.608993055554</v>
      </c>
      <c r="J161" s="44" t="s">
        <v>1573</v>
      </c>
      <c r="K161" s="4">
        <f t="shared" si="5"/>
        <v>19</v>
      </c>
      <c r="L161" s="4">
        <v>2</v>
      </c>
      <c r="M161" s="4">
        <v>19</v>
      </c>
      <c r="Q161">
        <v>26</v>
      </c>
      <c r="S161" s="8"/>
    </row>
    <row r="162" spans="3:19">
      <c r="C162" s="3"/>
      <c r="F162" s="12">
        <v>196</v>
      </c>
      <c r="G162" s="48" t="s">
        <v>300</v>
      </c>
      <c r="H162" s="7">
        <f t="shared" si="4"/>
        <v>26</v>
      </c>
      <c r="I162" s="45">
        <v>40716.568391203706</v>
      </c>
      <c r="J162" s="44" t="s">
        <v>939</v>
      </c>
      <c r="K162" s="4">
        <f t="shared" si="5"/>
        <v>20</v>
      </c>
      <c r="L162" s="4">
        <v>2</v>
      </c>
      <c r="M162" s="4">
        <v>20</v>
      </c>
      <c r="Q162">
        <v>26</v>
      </c>
      <c r="S162" s="8"/>
    </row>
    <row r="163" spans="3:19">
      <c r="C163" s="3"/>
      <c r="F163" s="12">
        <v>156</v>
      </c>
      <c r="G163" s="48" t="s">
        <v>918</v>
      </c>
      <c r="H163" s="7">
        <f t="shared" si="4"/>
        <v>27</v>
      </c>
      <c r="I163" s="45">
        <v>40687.690706018519</v>
      </c>
      <c r="J163" s="44" t="s">
        <v>1270</v>
      </c>
      <c r="K163" s="4">
        <f t="shared" si="5"/>
        <v>1</v>
      </c>
      <c r="L163" s="4">
        <v>2</v>
      </c>
      <c r="M163" s="4">
        <v>1</v>
      </c>
      <c r="Q163">
        <v>27</v>
      </c>
      <c r="S163" s="8"/>
    </row>
    <row r="164" spans="3:19">
      <c r="C164" s="3"/>
      <c r="F164" s="12">
        <v>203</v>
      </c>
      <c r="G164" s="56" t="s">
        <v>918</v>
      </c>
      <c r="H164" s="7">
        <f t="shared" si="4"/>
        <v>27</v>
      </c>
      <c r="I164" s="45">
        <v>40723.671377314815</v>
      </c>
      <c r="J164" s="44" t="s">
        <v>999</v>
      </c>
      <c r="K164" s="4">
        <f t="shared" si="5"/>
        <v>2</v>
      </c>
      <c r="L164" s="4">
        <v>2</v>
      </c>
      <c r="M164" s="4">
        <v>2</v>
      </c>
      <c r="Q164">
        <v>27</v>
      </c>
      <c r="S164" s="8"/>
    </row>
    <row r="165" spans="3:19">
      <c r="C165" s="3"/>
      <c r="F165" s="12">
        <v>30</v>
      </c>
      <c r="G165" s="56" t="s">
        <v>1130</v>
      </c>
      <c r="H165" s="7">
        <f t="shared" si="4"/>
        <v>28</v>
      </c>
      <c r="I165" s="45">
        <v>40651.94122685185</v>
      </c>
      <c r="J165" s="44" t="s">
        <v>1129</v>
      </c>
      <c r="K165" s="4">
        <f t="shared" si="5"/>
        <v>1</v>
      </c>
      <c r="L165" s="4">
        <v>3</v>
      </c>
      <c r="M165" s="4">
        <v>1</v>
      </c>
      <c r="Q165">
        <v>28</v>
      </c>
      <c r="S165" s="8"/>
    </row>
    <row r="166" spans="3:19">
      <c r="C166" s="3"/>
      <c r="F166" s="12">
        <v>44</v>
      </c>
      <c r="G166" s="56" t="s">
        <v>416</v>
      </c>
      <c r="H166" s="7">
        <f t="shared" si="4"/>
        <v>29</v>
      </c>
      <c r="I166" s="45">
        <v>40658.968773148146</v>
      </c>
      <c r="J166" s="44" t="s">
        <v>1473</v>
      </c>
      <c r="K166" s="4">
        <f t="shared" si="5"/>
        <v>1</v>
      </c>
      <c r="L166" s="4">
        <v>2</v>
      </c>
      <c r="M166" s="4">
        <v>1</v>
      </c>
      <c r="Q166">
        <v>29</v>
      </c>
      <c r="S166" s="8"/>
    </row>
    <row r="167" spans="3:19">
      <c r="C167" s="3"/>
      <c r="F167" s="12">
        <v>78</v>
      </c>
      <c r="G167" s="48" t="s">
        <v>416</v>
      </c>
      <c r="H167" s="7">
        <f t="shared" si="4"/>
        <v>29</v>
      </c>
      <c r="I167" s="45">
        <v>40659.015879629631</v>
      </c>
      <c r="J167" s="44" t="s">
        <v>673</v>
      </c>
      <c r="K167" s="4">
        <f t="shared" si="5"/>
        <v>2</v>
      </c>
      <c r="L167" s="4">
        <v>3</v>
      </c>
      <c r="M167" s="4">
        <v>2</v>
      </c>
      <c r="Q167">
        <v>29</v>
      </c>
      <c r="S167" s="8"/>
    </row>
    <row r="168" spans="3:19">
      <c r="C168" s="3"/>
      <c r="F168" s="12">
        <v>184</v>
      </c>
      <c r="G168" s="56" t="s">
        <v>416</v>
      </c>
      <c r="H168" s="7">
        <f t="shared" si="4"/>
        <v>29</v>
      </c>
      <c r="I168" s="45">
        <v>40713.964016203703</v>
      </c>
      <c r="J168" s="44" t="s">
        <v>1316</v>
      </c>
      <c r="K168" s="4">
        <f t="shared" si="5"/>
        <v>3</v>
      </c>
      <c r="L168" s="4">
        <v>2</v>
      </c>
      <c r="M168" s="4">
        <v>3</v>
      </c>
      <c r="Q168">
        <v>29</v>
      </c>
      <c r="S168" s="8"/>
    </row>
    <row r="169" spans="3:19">
      <c r="C169" s="3"/>
      <c r="F169" s="12">
        <v>46</v>
      </c>
      <c r="G169" s="56" t="s">
        <v>974</v>
      </c>
      <c r="H169" s="7">
        <f t="shared" si="4"/>
        <v>30</v>
      </c>
      <c r="I169" s="45">
        <v>40661.752569444441</v>
      </c>
      <c r="J169" s="44" t="s">
        <v>1055</v>
      </c>
      <c r="K169" s="4">
        <f t="shared" si="5"/>
        <v>1</v>
      </c>
      <c r="L169" s="4">
        <v>2</v>
      </c>
      <c r="M169" s="4">
        <v>1</v>
      </c>
      <c r="Q169">
        <v>30</v>
      </c>
      <c r="S169" s="8"/>
    </row>
    <row r="170" spans="3:19">
      <c r="C170" s="3"/>
      <c r="F170" s="12">
        <v>49</v>
      </c>
      <c r="G170" s="48" t="s">
        <v>974</v>
      </c>
      <c r="H170" s="7">
        <f t="shared" si="4"/>
        <v>30</v>
      </c>
      <c r="I170" s="45">
        <v>40661.754907407405</v>
      </c>
      <c r="J170" s="44" t="s">
        <v>975</v>
      </c>
      <c r="K170" s="4">
        <f t="shared" si="5"/>
        <v>2</v>
      </c>
      <c r="L170" s="4">
        <v>2</v>
      </c>
      <c r="M170" s="4">
        <v>2</v>
      </c>
      <c r="Q170">
        <v>30</v>
      </c>
      <c r="S170" s="8"/>
    </row>
    <row r="171" spans="3:19">
      <c r="C171" s="3"/>
      <c r="F171" s="12">
        <v>3</v>
      </c>
      <c r="G171" s="56" t="s">
        <v>289</v>
      </c>
      <c r="H171" s="7">
        <f t="shared" si="4"/>
        <v>31</v>
      </c>
      <c r="I171" s="45">
        <v>40635.272743055553</v>
      </c>
      <c r="J171" s="44" t="s">
        <v>1109</v>
      </c>
      <c r="K171" s="4">
        <f t="shared" si="5"/>
        <v>1</v>
      </c>
      <c r="L171" s="4">
        <v>2</v>
      </c>
      <c r="M171" s="4">
        <v>1</v>
      </c>
      <c r="Q171">
        <v>31</v>
      </c>
      <c r="S171" s="8"/>
    </row>
    <row r="172" spans="3:19">
      <c r="C172" s="3"/>
      <c r="F172" s="12">
        <v>5</v>
      </c>
      <c r="G172" s="46" t="s">
        <v>289</v>
      </c>
      <c r="H172" s="7">
        <f t="shared" si="4"/>
        <v>31</v>
      </c>
      <c r="I172" s="45">
        <v>40635.34306712963</v>
      </c>
      <c r="J172" s="44" t="s">
        <v>434</v>
      </c>
      <c r="K172" s="4">
        <f t="shared" si="5"/>
        <v>2</v>
      </c>
      <c r="L172" s="4">
        <v>2</v>
      </c>
      <c r="M172" s="4">
        <v>2</v>
      </c>
      <c r="Q172">
        <v>31</v>
      </c>
      <c r="S172" s="8"/>
    </row>
    <row r="173" spans="3:19">
      <c r="C173" s="3"/>
      <c r="F173" s="12">
        <v>6</v>
      </c>
      <c r="G173" s="48" t="s">
        <v>289</v>
      </c>
      <c r="H173" s="7">
        <f t="shared" si="4"/>
        <v>31</v>
      </c>
      <c r="I173" s="45">
        <v>40636.227476851855</v>
      </c>
      <c r="J173" s="44" t="s">
        <v>1001</v>
      </c>
      <c r="K173" s="4">
        <f t="shared" si="5"/>
        <v>3</v>
      </c>
      <c r="L173" s="4">
        <v>2</v>
      </c>
      <c r="M173" s="4">
        <v>3</v>
      </c>
      <c r="Q173">
        <v>31</v>
      </c>
      <c r="S173" s="8"/>
    </row>
    <row r="174" spans="3:19">
      <c r="C174" s="3"/>
      <c r="F174" s="12">
        <v>15</v>
      </c>
      <c r="G174" s="56" t="s">
        <v>289</v>
      </c>
      <c r="H174" s="7">
        <f t="shared" si="4"/>
        <v>31</v>
      </c>
      <c r="I174" s="45">
        <v>40648.916319444441</v>
      </c>
      <c r="J174" s="44" t="s">
        <v>1133</v>
      </c>
      <c r="K174" s="4">
        <f t="shared" si="5"/>
        <v>4</v>
      </c>
      <c r="L174" s="4">
        <v>3</v>
      </c>
      <c r="M174" s="4">
        <v>4</v>
      </c>
      <c r="Q174">
        <v>31</v>
      </c>
      <c r="S174" s="8"/>
    </row>
    <row r="175" spans="3:19">
      <c r="C175" s="3"/>
      <c r="F175" s="12">
        <v>34</v>
      </c>
      <c r="G175" s="56" t="s">
        <v>289</v>
      </c>
      <c r="H175" s="7">
        <f t="shared" si="4"/>
        <v>31</v>
      </c>
      <c r="I175" s="45">
        <v>40653.323194444441</v>
      </c>
      <c r="J175" s="44" t="s">
        <v>807</v>
      </c>
      <c r="K175" s="4">
        <f t="shared" si="5"/>
        <v>5</v>
      </c>
      <c r="L175" s="4">
        <v>5</v>
      </c>
      <c r="M175" s="4">
        <v>5</v>
      </c>
      <c r="Q175">
        <v>31</v>
      </c>
      <c r="S175" s="8"/>
    </row>
    <row r="176" spans="3:19">
      <c r="C176" s="3"/>
      <c r="F176" s="12">
        <v>41</v>
      </c>
      <c r="G176" s="48" t="s">
        <v>289</v>
      </c>
      <c r="H176" s="7">
        <f t="shared" si="4"/>
        <v>31</v>
      </c>
      <c r="I176" s="45">
        <v>40656.97011574074</v>
      </c>
      <c r="J176" s="44" t="s">
        <v>854</v>
      </c>
      <c r="K176" s="4">
        <f t="shared" si="5"/>
        <v>6</v>
      </c>
      <c r="L176" s="4">
        <v>3</v>
      </c>
      <c r="M176" s="4">
        <v>6</v>
      </c>
      <c r="Q176">
        <v>31</v>
      </c>
      <c r="S176" s="8"/>
    </row>
    <row r="177" spans="3:19">
      <c r="C177" s="3"/>
      <c r="F177" s="12">
        <v>69</v>
      </c>
      <c r="G177" s="56" t="s">
        <v>289</v>
      </c>
      <c r="H177" s="7">
        <f t="shared" si="4"/>
        <v>31</v>
      </c>
      <c r="I177" s="45">
        <v>40668.248437499999</v>
      </c>
      <c r="J177" s="44" t="s">
        <v>1382</v>
      </c>
      <c r="K177" s="4">
        <f t="shared" si="5"/>
        <v>7</v>
      </c>
      <c r="L177" s="4">
        <v>3</v>
      </c>
      <c r="M177" s="4">
        <v>7</v>
      </c>
      <c r="Q177">
        <v>31</v>
      </c>
      <c r="S177" s="8"/>
    </row>
    <row r="178" spans="3:19">
      <c r="C178" s="3"/>
      <c r="F178" s="12">
        <v>73</v>
      </c>
      <c r="G178" s="56" t="s">
        <v>289</v>
      </c>
      <c r="H178" s="7">
        <f t="shared" si="4"/>
        <v>31</v>
      </c>
      <c r="I178" s="45">
        <v>40668.809988425928</v>
      </c>
      <c r="J178" s="44" t="s">
        <v>780</v>
      </c>
      <c r="K178" s="4">
        <f t="shared" si="5"/>
        <v>8</v>
      </c>
      <c r="L178" s="4">
        <v>2</v>
      </c>
      <c r="M178" s="4">
        <v>8</v>
      </c>
      <c r="Q178">
        <v>31</v>
      </c>
      <c r="S178" s="8"/>
    </row>
    <row r="179" spans="3:19">
      <c r="C179" s="3"/>
      <c r="F179" s="12">
        <v>75</v>
      </c>
      <c r="G179" s="56" t="s">
        <v>289</v>
      </c>
      <c r="H179" s="7">
        <f t="shared" si="4"/>
        <v>31</v>
      </c>
      <c r="I179" s="45">
        <v>40670.363796296297</v>
      </c>
      <c r="J179" s="44">
        <v>7501670</v>
      </c>
      <c r="K179" s="4">
        <f t="shared" si="5"/>
        <v>9</v>
      </c>
      <c r="L179" s="4">
        <v>2</v>
      </c>
      <c r="M179" s="4">
        <v>9</v>
      </c>
      <c r="Q179">
        <v>31</v>
      </c>
      <c r="S179" s="8"/>
    </row>
    <row r="180" spans="3:19">
      <c r="C180" s="3"/>
      <c r="F180" s="12">
        <v>122</v>
      </c>
      <c r="G180" s="56" t="s">
        <v>289</v>
      </c>
      <c r="H180" s="7">
        <f t="shared" si="4"/>
        <v>31</v>
      </c>
      <c r="I180" s="45">
        <v>40694.225011574075</v>
      </c>
      <c r="J180" s="44" t="s">
        <v>1232</v>
      </c>
      <c r="K180" s="4">
        <f t="shared" si="5"/>
        <v>10</v>
      </c>
      <c r="L180" s="4">
        <v>7</v>
      </c>
      <c r="M180" s="4">
        <v>10</v>
      </c>
      <c r="Q180">
        <v>31</v>
      </c>
      <c r="S180" s="8"/>
    </row>
    <row r="181" spans="3:19">
      <c r="C181" s="3"/>
      <c r="F181" s="12">
        <v>125</v>
      </c>
      <c r="G181" s="48" t="s">
        <v>289</v>
      </c>
      <c r="H181" s="7">
        <f t="shared" si="4"/>
        <v>31</v>
      </c>
      <c r="I181" s="45">
        <v>40693.818842592591</v>
      </c>
      <c r="J181" s="44" t="s">
        <v>1037</v>
      </c>
      <c r="K181" s="4">
        <f t="shared" si="5"/>
        <v>11</v>
      </c>
      <c r="L181" s="4">
        <v>2</v>
      </c>
      <c r="M181" s="4">
        <v>11</v>
      </c>
      <c r="Q181">
        <v>31</v>
      </c>
      <c r="S181" s="8"/>
    </row>
    <row r="182" spans="3:19">
      <c r="C182" s="3"/>
      <c r="F182" s="12">
        <v>138</v>
      </c>
      <c r="G182" s="56" t="s">
        <v>289</v>
      </c>
      <c r="H182" s="7">
        <f t="shared" si="4"/>
        <v>31</v>
      </c>
      <c r="I182" s="45">
        <v>40698.13212962963</v>
      </c>
      <c r="J182" s="44" t="s">
        <v>1087</v>
      </c>
      <c r="K182" s="4">
        <f t="shared" si="5"/>
        <v>12</v>
      </c>
      <c r="L182" s="4">
        <v>7</v>
      </c>
      <c r="M182" s="4">
        <v>12</v>
      </c>
      <c r="Q182">
        <v>31</v>
      </c>
      <c r="S182" s="8"/>
    </row>
    <row r="183" spans="3:19">
      <c r="C183" s="3"/>
      <c r="F183" s="12">
        <v>190</v>
      </c>
      <c r="G183" s="46" t="s">
        <v>289</v>
      </c>
      <c r="H183" s="7">
        <f t="shared" si="4"/>
        <v>31</v>
      </c>
      <c r="I183" s="45">
        <v>40715.065335648149</v>
      </c>
      <c r="J183" s="44" t="s">
        <v>382</v>
      </c>
      <c r="K183" s="4">
        <f t="shared" si="5"/>
        <v>13</v>
      </c>
      <c r="L183" s="4">
        <v>2</v>
      </c>
      <c r="M183" s="4">
        <v>13</v>
      </c>
      <c r="Q183">
        <v>31</v>
      </c>
      <c r="S183" s="8"/>
    </row>
    <row r="184" spans="3:19">
      <c r="C184" s="3"/>
      <c r="F184" s="12">
        <v>101</v>
      </c>
      <c r="G184" s="48" t="s">
        <v>1468</v>
      </c>
      <c r="H184" s="7">
        <f t="shared" si="4"/>
        <v>32</v>
      </c>
      <c r="I184" s="45">
        <v>40676.419328703705</v>
      </c>
      <c r="J184" s="44" t="s">
        <v>1469</v>
      </c>
      <c r="K184" s="4">
        <f t="shared" si="5"/>
        <v>1</v>
      </c>
      <c r="L184" s="4">
        <v>2</v>
      </c>
      <c r="M184" s="4">
        <v>1</v>
      </c>
      <c r="Q184">
        <v>32</v>
      </c>
      <c r="S184" s="8"/>
    </row>
    <row r="185" spans="3:19">
      <c r="C185" s="3"/>
      <c r="F185" s="12">
        <v>170</v>
      </c>
      <c r="G185" s="48" t="s">
        <v>1030</v>
      </c>
      <c r="H185" s="7">
        <f t="shared" si="4"/>
        <v>32</v>
      </c>
      <c r="I185" s="45">
        <v>40704.275393518517</v>
      </c>
      <c r="J185" s="44" t="s">
        <v>1031</v>
      </c>
      <c r="K185" s="4">
        <f t="shared" si="5"/>
        <v>2</v>
      </c>
      <c r="L185" s="4">
        <v>2</v>
      </c>
      <c r="M185" s="4">
        <v>2</v>
      </c>
      <c r="Q185">
        <v>32</v>
      </c>
      <c r="S185" s="8"/>
    </row>
    <row r="186" spans="3:19">
      <c r="C186" s="3"/>
      <c r="F186" s="12">
        <v>71</v>
      </c>
      <c r="G186" s="56" t="s">
        <v>299</v>
      </c>
      <c r="H186" s="7">
        <f t="shared" si="4"/>
        <v>33</v>
      </c>
      <c r="I186" s="45">
        <v>40668.411736111113</v>
      </c>
      <c r="J186" s="44" t="s">
        <v>1367</v>
      </c>
      <c r="K186" s="4">
        <f t="shared" si="5"/>
        <v>1</v>
      </c>
      <c r="L186" s="4">
        <v>3</v>
      </c>
      <c r="M186" s="4">
        <v>1</v>
      </c>
      <c r="Q186">
        <v>33</v>
      </c>
      <c r="S186" s="8"/>
    </row>
    <row r="187" spans="3:19">
      <c r="C187" s="3"/>
      <c r="F187" s="12">
        <v>155</v>
      </c>
      <c r="G187" s="46" t="s">
        <v>299</v>
      </c>
      <c r="H187" s="7">
        <f t="shared" si="4"/>
        <v>33</v>
      </c>
      <c r="I187" s="45">
        <v>40701.719953703701</v>
      </c>
      <c r="J187" s="44" t="s">
        <v>549</v>
      </c>
      <c r="K187" s="4">
        <f t="shared" si="5"/>
        <v>2</v>
      </c>
      <c r="L187" s="4">
        <v>2</v>
      </c>
      <c r="M187" s="4">
        <v>2</v>
      </c>
      <c r="Q187">
        <v>33</v>
      </c>
      <c r="S187" s="8"/>
    </row>
    <row r="188" spans="3:19">
      <c r="C188" s="3"/>
      <c r="F188" s="12">
        <v>157</v>
      </c>
      <c r="G188" s="56" t="s">
        <v>299</v>
      </c>
      <c r="H188" s="7">
        <f t="shared" si="4"/>
        <v>33</v>
      </c>
      <c r="I188" s="45">
        <v>40701.719953703701</v>
      </c>
      <c r="J188" s="44" t="s">
        <v>1271</v>
      </c>
      <c r="K188" s="4">
        <f t="shared" si="5"/>
        <v>3</v>
      </c>
      <c r="L188" s="4">
        <v>2</v>
      </c>
      <c r="M188" s="4">
        <v>3</v>
      </c>
      <c r="Q188">
        <v>33</v>
      </c>
      <c r="S188" s="8"/>
    </row>
    <row r="189" spans="3:19">
      <c r="C189" s="3"/>
      <c r="F189" s="12">
        <v>74</v>
      </c>
      <c r="G189" s="48" t="s">
        <v>438</v>
      </c>
      <c r="H189" s="7">
        <f t="shared" si="4"/>
        <v>34</v>
      </c>
      <c r="I189" s="45">
        <v>40669.832905092589</v>
      </c>
      <c r="J189" s="44" t="s">
        <v>902</v>
      </c>
      <c r="K189" s="4">
        <f t="shared" si="5"/>
        <v>1</v>
      </c>
      <c r="L189" s="4">
        <v>2</v>
      </c>
      <c r="M189" s="4">
        <v>1</v>
      </c>
      <c r="Q189">
        <v>34</v>
      </c>
      <c r="S189" s="8"/>
    </row>
    <row r="190" spans="3:19">
      <c r="C190" s="3"/>
      <c r="F190" s="12">
        <v>77</v>
      </c>
      <c r="G190" s="56" t="s">
        <v>438</v>
      </c>
      <c r="H190" s="7">
        <f t="shared" si="4"/>
        <v>34</v>
      </c>
      <c r="I190" s="45">
        <v>40672.698553240742</v>
      </c>
      <c r="J190" s="44" t="s">
        <v>1418</v>
      </c>
      <c r="K190" s="4">
        <f t="shared" si="5"/>
        <v>2</v>
      </c>
      <c r="L190" s="4">
        <v>3</v>
      </c>
      <c r="M190" s="4">
        <v>2</v>
      </c>
      <c r="Q190">
        <v>34</v>
      </c>
      <c r="S190" s="8"/>
    </row>
    <row r="191" spans="3:19">
      <c r="C191" s="3"/>
      <c r="F191" s="12">
        <v>81</v>
      </c>
      <c r="G191" s="46" t="s">
        <v>438</v>
      </c>
      <c r="H191" s="7">
        <f t="shared" si="4"/>
        <v>34</v>
      </c>
      <c r="I191" s="45">
        <v>40673.486018518517</v>
      </c>
      <c r="J191" s="44" t="s">
        <v>437</v>
      </c>
      <c r="K191" s="4">
        <f t="shared" si="5"/>
        <v>3</v>
      </c>
      <c r="L191" s="4">
        <v>2</v>
      </c>
      <c r="M191" s="4">
        <v>3</v>
      </c>
      <c r="Q191">
        <v>34</v>
      </c>
      <c r="S191" s="8"/>
    </row>
    <row r="192" spans="3:19">
      <c r="C192" s="3"/>
      <c r="F192" s="12">
        <v>95</v>
      </c>
      <c r="G192" s="48" t="s">
        <v>438</v>
      </c>
      <c r="H192" s="7">
        <f t="shared" si="4"/>
        <v>34</v>
      </c>
      <c r="I192" s="45">
        <v>40681.545416666668</v>
      </c>
      <c r="J192" s="44" t="s">
        <v>1277</v>
      </c>
      <c r="K192" s="4">
        <f t="shared" si="5"/>
        <v>4</v>
      </c>
      <c r="L192" s="4">
        <v>2</v>
      </c>
      <c r="M192" s="4">
        <v>4</v>
      </c>
      <c r="Q192">
        <v>34</v>
      </c>
      <c r="S192" s="8"/>
    </row>
    <row r="193" spans="3:19">
      <c r="C193" s="3"/>
      <c r="F193" s="12">
        <v>98</v>
      </c>
      <c r="G193" s="56" t="s">
        <v>438</v>
      </c>
      <c r="H193" s="7">
        <f t="shared" si="4"/>
        <v>34</v>
      </c>
      <c r="I193" s="45">
        <v>40682.430451388886</v>
      </c>
      <c r="J193" s="44" t="s">
        <v>1084</v>
      </c>
      <c r="K193" s="4">
        <f t="shared" si="5"/>
        <v>5</v>
      </c>
      <c r="L193" s="4">
        <v>2</v>
      </c>
      <c r="M193" s="4">
        <v>5</v>
      </c>
      <c r="Q193">
        <v>34</v>
      </c>
      <c r="S193" s="8"/>
    </row>
    <row r="194" spans="3:19">
      <c r="C194" s="3"/>
      <c r="F194" s="12">
        <v>61</v>
      </c>
      <c r="G194" s="46" t="s">
        <v>297</v>
      </c>
      <c r="H194" s="7">
        <f t="shared" ref="H194:H204" si="6">LOOKUP(G194,$N$2:$N$39,$O$2:$O$39)</f>
        <v>35</v>
      </c>
      <c r="I194" s="45">
        <v>40665.70380787037</v>
      </c>
      <c r="J194" s="44" t="s">
        <v>561</v>
      </c>
      <c r="K194" s="4">
        <f t="shared" ref="K194:K204" si="7">IF(Q194&gt;Q193,1,K193+1)</f>
        <v>1</v>
      </c>
      <c r="L194" s="4">
        <v>10</v>
      </c>
      <c r="M194" s="4">
        <v>1</v>
      </c>
      <c r="Q194">
        <v>35</v>
      </c>
      <c r="S194" s="8"/>
    </row>
    <row r="195" spans="3:19">
      <c r="C195" s="3"/>
      <c r="F195" s="12">
        <v>63</v>
      </c>
      <c r="G195" s="56" t="s">
        <v>297</v>
      </c>
      <c r="H195" s="7">
        <f t="shared" si="6"/>
        <v>35</v>
      </c>
      <c r="I195" s="45">
        <v>40666.702002314814</v>
      </c>
      <c r="J195" s="44" t="s">
        <v>953</v>
      </c>
      <c r="K195" s="4">
        <f t="shared" si="7"/>
        <v>2</v>
      </c>
      <c r="L195" s="4">
        <v>5</v>
      </c>
      <c r="M195" s="4">
        <v>2</v>
      </c>
      <c r="Q195">
        <v>35</v>
      </c>
      <c r="S195" s="8"/>
    </row>
    <row r="196" spans="3:19">
      <c r="C196" s="3"/>
      <c r="F196" s="12">
        <v>65</v>
      </c>
      <c r="G196" s="56" t="s">
        <v>297</v>
      </c>
      <c r="H196" s="7">
        <f t="shared" si="6"/>
        <v>35</v>
      </c>
      <c r="I196" s="45">
        <v>40666.706134259257</v>
      </c>
      <c r="J196" s="44" t="s">
        <v>1358</v>
      </c>
      <c r="K196" s="4">
        <f t="shared" si="7"/>
        <v>3</v>
      </c>
      <c r="L196" s="4">
        <v>2</v>
      </c>
      <c r="M196" s="4">
        <v>3</v>
      </c>
      <c r="Q196">
        <v>35</v>
      </c>
    </row>
    <row r="197" spans="3:19">
      <c r="C197" s="3"/>
      <c r="F197" s="12">
        <v>67</v>
      </c>
      <c r="G197" s="56" t="s">
        <v>297</v>
      </c>
      <c r="H197" s="7">
        <f t="shared" si="6"/>
        <v>35</v>
      </c>
      <c r="I197" s="45">
        <v>40666.717800925922</v>
      </c>
      <c r="J197" s="44" t="s">
        <v>1452</v>
      </c>
      <c r="K197" s="4">
        <f t="shared" si="7"/>
        <v>4</v>
      </c>
      <c r="L197" s="4">
        <v>2</v>
      </c>
      <c r="M197" s="4">
        <v>4</v>
      </c>
      <c r="Q197">
        <v>35</v>
      </c>
    </row>
    <row r="198" spans="3:19">
      <c r="C198" s="3"/>
      <c r="F198" s="12">
        <v>72</v>
      </c>
      <c r="G198" s="48" t="s">
        <v>297</v>
      </c>
      <c r="H198" s="7">
        <f t="shared" si="6"/>
        <v>35</v>
      </c>
      <c r="I198" s="45">
        <v>40668.705127314817</v>
      </c>
      <c r="J198" s="44" t="s">
        <v>779</v>
      </c>
      <c r="K198" s="4">
        <f t="shared" si="7"/>
        <v>5</v>
      </c>
      <c r="L198" s="4">
        <v>4</v>
      </c>
      <c r="M198" s="4">
        <v>5</v>
      </c>
      <c r="Q198">
        <v>35</v>
      </c>
    </row>
    <row r="199" spans="3:19">
      <c r="C199" s="3"/>
      <c r="F199" s="12">
        <v>23</v>
      </c>
      <c r="G199" s="48" t="s">
        <v>315</v>
      </c>
      <c r="H199" s="7">
        <f t="shared" si="6"/>
        <v>36</v>
      </c>
      <c r="I199" s="45">
        <v>40651.55940972222</v>
      </c>
      <c r="J199" s="44" t="s">
        <v>1024</v>
      </c>
      <c r="K199" s="4">
        <f t="shared" si="7"/>
        <v>1</v>
      </c>
      <c r="L199" s="4">
        <v>2</v>
      </c>
      <c r="M199" s="4">
        <v>1</v>
      </c>
      <c r="Q199">
        <v>36</v>
      </c>
    </row>
    <row r="200" spans="3:19">
      <c r="C200" s="3"/>
      <c r="F200" s="12">
        <v>40</v>
      </c>
      <c r="G200" s="56" t="s">
        <v>291</v>
      </c>
      <c r="H200" s="7">
        <f t="shared" si="6"/>
        <v>37</v>
      </c>
      <c r="I200" s="45">
        <v>40655.811886574076</v>
      </c>
      <c r="J200" s="44" t="s">
        <v>1106</v>
      </c>
      <c r="K200" s="4">
        <f t="shared" si="7"/>
        <v>1</v>
      </c>
      <c r="L200" s="4">
        <v>2</v>
      </c>
      <c r="M200" s="4">
        <v>1</v>
      </c>
      <c r="Q200">
        <v>37</v>
      </c>
    </row>
    <row r="201" spans="3:19">
      <c r="C201" s="3"/>
      <c r="F201" s="12">
        <v>119</v>
      </c>
      <c r="G201" s="48" t="s">
        <v>291</v>
      </c>
      <c r="H201" s="7">
        <f t="shared" si="6"/>
        <v>37</v>
      </c>
      <c r="I201" s="45">
        <v>40693.478541666664</v>
      </c>
      <c r="J201" s="44" t="s">
        <v>894</v>
      </c>
      <c r="K201" s="4">
        <f t="shared" si="7"/>
        <v>2</v>
      </c>
      <c r="L201" s="4">
        <v>2</v>
      </c>
      <c r="M201" s="4">
        <v>2</v>
      </c>
      <c r="Q201">
        <v>37</v>
      </c>
    </row>
    <row r="202" spans="3:19">
      <c r="F202" s="12">
        <v>172</v>
      </c>
      <c r="G202" s="48" t="s">
        <v>291</v>
      </c>
      <c r="H202" s="7">
        <f t="shared" si="6"/>
        <v>37</v>
      </c>
      <c r="I202" s="45">
        <v>40704.956805555557</v>
      </c>
      <c r="J202" s="44" t="s">
        <v>1304</v>
      </c>
      <c r="K202" s="4">
        <f t="shared" si="7"/>
        <v>3</v>
      </c>
      <c r="L202" s="4">
        <v>2</v>
      </c>
      <c r="M202" s="4">
        <v>3</v>
      </c>
      <c r="Q202">
        <v>37</v>
      </c>
    </row>
    <row r="203" spans="3:19">
      <c r="F203" s="12">
        <v>175</v>
      </c>
      <c r="G203" s="56" t="s">
        <v>812</v>
      </c>
      <c r="H203" s="7">
        <f t="shared" si="6"/>
        <v>38</v>
      </c>
      <c r="I203" s="45">
        <v>40711.008900462963</v>
      </c>
      <c r="J203" s="44" t="s">
        <v>1080</v>
      </c>
      <c r="K203" s="4">
        <f t="shared" si="7"/>
        <v>1</v>
      </c>
      <c r="L203" s="4">
        <v>2</v>
      </c>
      <c r="M203" s="4">
        <v>1</v>
      </c>
      <c r="Q203">
        <v>38</v>
      </c>
    </row>
    <row r="204" spans="3:19">
      <c r="F204" s="12">
        <v>198</v>
      </c>
      <c r="G204" s="48" t="s">
        <v>812</v>
      </c>
      <c r="H204" s="7">
        <f t="shared" si="6"/>
        <v>38</v>
      </c>
      <c r="I204" s="45">
        <v>40713.057766203703</v>
      </c>
      <c r="J204" s="44" t="s">
        <v>813</v>
      </c>
      <c r="K204" s="4">
        <f t="shared" si="7"/>
        <v>2</v>
      </c>
      <c r="L204" s="4">
        <v>2</v>
      </c>
      <c r="M204" s="4">
        <v>2</v>
      </c>
      <c r="Q204">
        <v>38</v>
      </c>
    </row>
    <row r="205" spans="3:19">
      <c r="G205" s="8"/>
      <c r="H205" s="7"/>
      <c r="I205" s="3"/>
      <c r="J205" s="8" t="s">
        <v>1874</v>
      </c>
      <c r="L205" s="4">
        <f>AVERAGE(L2:L204)</f>
        <v>3.8275862068965516</v>
      </c>
    </row>
    <row r="206" spans="3:19">
      <c r="G206" s="8"/>
      <c r="H206" s="7"/>
      <c r="I206" s="3"/>
    </row>
    <row r="207" spans="3:19">
      <c r="G207" s="8"/>
      <c r="H207" s="7"/>
      <c r="I207" s="3"/>
    </row>
    <row r="208" spans="3:19">
      <c r="G208" s="8"/>
      <c r="H208" s="7"/>
      <c r="I208" s="3"/>
    </row>
    <row r="209" spans="7:9">
      <c r="G209" s="8"/>
      <c r="H209" s="7"/>
      <c r="I209" s="3"/>
    </row>
    <row r="210" spans="7:9">
      <c r="G210" s="8"/>
      <c r="H210" s="7"/>
      <c r="I210" s="3"/>
    </row>
    <row r="211" spans="7:9">
      <c r="G211" s="8"/>
      <c r="H211" s="7"/>
      <c r="I211" s="3"/>
    </row>
    <row r="212" spans="7:9">
      <c r="G212" s="8"/>
      <c r="H212" s="7"/>
      <c r="I212" s="3"/>
    </row>
    <row r="213" spans="7:9">
      <c r="G213" s="8"/>
      <c r="H213" s="7"/>
      <c r="I213" s="3"/>
    </row>
    <row r="214" spans="7:9">
      <c r="G214" s="8"/>
      <c r="H214" s="7"/>
      <c r="I214" s="3"/>
    </row>
    <row r="215" spans="7:9">
      <c r="G215" s="8"/>
      <c r="H215" s="7"/>
      <c r="I215" s="3"/>
    </row>
    <row r="216" spans="7:9">
      <c r="G216" s="8"/>
      <c r="H216" s="7"/>
      <c r="I216" s="3"/>
    </row>
    <row r="217" spans="7:9">
      <c r="G217" s="8"/>
      <c r="H217" s="7"/>
      <c r="I217" s="3"/>
    </row>
    <row r="218" spans="7:9">
      <c r="G218" s="8"/>
      <c r="H218" s="7"/>
      <c r="I218" s="3"/>
    </row>
    <row r="219" spans="7:9">
      <c r="G219" s="8"/>
      <c r="H219" s="7"/>
      <c r="I219" s="3"/>
    </row>
    <row r="220" spans="7:9">
      <c r="G220" s="8"/>
      <c r="H220" s="7"/>
      <c r="I220" s="3"/>
    </row>
    <row r="221" spans="7:9">
      <c r="G221" s="8"/>
      <c r="H221" s="7"/>
      <c r="I221" s="3"/>
    </row>
    <row r="222" spans="7:9">
      <c r="G222" s="8"/>
      <c r="H222" s="7"/>
      <c r="I222" s="3"/>
    </row>
    <row r="223" spans="7:9">
      <c r="G223" s="8"/>
      <c r="H223" s="7"/>
      <c r="I223" s="3"/>
    </row>
    <row r="224" spans="7:9">
      <c r="G224" s="8"/>
      <c r="H224" s="7"/>
      <c r="I224" s="3"/>
    </row>
    <row r="225" spans="7:9">
      <c r="G225" s="8"/>
      <c r="H225" s="7"/>
      <c r="I225" s="3"/>
    </row>
    <row r="226" spans="7:9">
      <c r="G226" s="8"/>
      <c r="H226" s="7"/>
      <c r="I226" s="3"/>
    </row>
    <row r="227" spans="7:9">
      <c r="G227" s="8"/>
      <c r="H227" s="7"/>
      <c r="I227" s="3"/>
    </row>
    <row r="228" spans="7:9">
      <c r="G228" s="8"/>
      <c r="H228" s="7"/>
      <c r="I228" s="3"/>
    </row>
    <row r="229" spans="7:9">
      <c r="G229" s="8"/>
      <c r="H229" s="7"/>
      <c r="I229" s="3"/>
    </row>
    <row r="230" spans="7:9">
      <c r="G230" s="8"/>
      <c r="H230" s="7"/>
      <c r="I230" s="3"/>
    </row>
    <row r="231" spans="7:9">
      <c r="G231" s="8"/>
      <c r="H231" s="7"/>
      <c r="I231" s="3"/>
    </row>
    <row r="232" spans="7:9">
      <c r="G232" s="8"/>
      <c r="H232" s="7"/>
      <c r="I232" s="3"/>
    </row>
    <row r="233" spans="7:9">
      <c r="G233" s="8"/>
      <c r="H233" s="7"/>
      <c r="I233" s="3"/>
    </row>
    <row r="234" spans="7:9">
      <c r="G234" s="8"/>
      <c r="H234" s="7"/>
      <c r="I234" s="3"/>
    </row>
    <row r="235" spans="7:9">
      <c r="G235" s="8"/>
      <c r="H235" s="7"/>
      <c r="I235" s="3"/>
    </row>
    <row r="236" spans="7:9">
      <c r="G236" s="8"/>
      <c r="H236" s="7"/>
      <c r="I236" s="3"/>
    </row>
    <row r="237" spans="7:9">
      <c r="G237" s="8"/>
      <c r="H237" s="7"/>
      <c r="I237" s="3"/>
    </row>
    <row r="238" spans="7:9">
      <c r="G238" s="8"/>
      <c r="H238" s="7"/>
      <c r="I238" s="3"/>
    </row>
    <row r="239" spans="7:9">
      <c r="G239" s="8"/>
      <c r="H239" s="7"/>
      <c r="I239" s="3"/>
    </row>
    <row r="240" spans="7:9">
      <c r="G240" s="8"/>
      <c r="H240" s="7"/>
      <c r="I240" s="3"/>
    </row>
    <row r="241" spans="7:9">
      <c r="G241" s="8"/>
      <c r="H241" s="7"/>
      <c r="I241" s="3"/>
    </row>
    <row r="242" spans="7:9">
      <c r="G242" s="8"/>
      <c r="H242" s="7"/>
      <c r="I242" s="3"/>
    </row>
    <row r="243" spans="7:9">
      <c r="G243" s="8"/>
      <c r="H243" s="7"/>
      <c r="I243" s="3"/>
    </row>
    <row r="244" spans="7:9">
      <c r="G244" s="8"/>
      <c r="H244" s="7"/>
      <c r="I244" s="3"/>
    </row>
    <row r="245" spans="7:9">
      <c r="G245" s="8"/>
      <c r="H245" s="7"/>
      <c r="I245" s="3"/>
    </row>
    <row r="246" spans="7:9">
      <c r="G246" s="8"/>
      <c r="H246" s="7"/>
      <c r="I246" s="3"/>
    </row>
    <row r="247" spans="7:9">
      <c r="G247" s="8"/>
      <c r="H247" s="7"/>
      <c r="I247" s="3"/>
    </row>
    <row r="248" spans="7:9">
      <c r="G248" s="8"/>
      <c r="H248" s="7"/>
      <c r="I248" s="3"/>
    </row>
    <row r="249" spans="7:9">
      <c r="G249" s="8"/>
      <c r="H249" s="7"/>
      <c r="I249" s="3"/>
    </row>
    <row r="250" spans="7:9">
      <c r="G250" s="8"/>
      <c r="H250" s="7"/>
      <c r="I250" s="3"/>
    </row>
    <row r="251" spans="7:9">
      <c r="G251" s="8"/>
      <c r="H251" s="7"/>
      <c r="I251" s="3"/>
    </row>
    <row r="252" spans="7:9">
      <c r="G252" s="8"/>
      <c r="H252" s="7"/>
      <c r="I252" s="3"/>
    </row>
    <row r="253" spans="7:9">
      <c r="G253" s="8"/>
      <c r="H253" s="7"/>
      <c r="I253" s="3"/>
    </row>
    <row r="254" spans="7:9">
      <c r="G254" s="8"/>
      <c r="H254" s="7"/>
      <c r="I254" s="3"/>
    </row>
    <row r="255" spans="7:9">
      <c r="G255" s="8"/>
      <c r="H255" s="7"/>
      <c r="I255" s="3"/>
    </row>
    <row r="256" spans="7:9">
      <c r="G256" s="8"/>
      <c r="H256" s="7"/>
      <c r="I256" s="3"/>
    </row>
    <row r="257" spans="7:12">
      <c r="G257" s="8"/>
      <c r="H257" s="7"/>
      <c r="I257" s="3"/>
    </row>
    <row r="258" spans="7:12">
      <c r="G258" s="8"/>
      <c r="H258" s="7"/>
      <c r="I258" s="3"/>
    </row>
    <row r="259" spans="7:12">
      <c r="G259" s="8"/>
      <c r="H259" s="7"/>
      <c r="I259" s="3"/>
    </row>
    <row r="260" spans="7:12">
      <c r="G260" s="8"/>
      <c r="H260" s="7"/>
      <c r="I260" s="3"/>
    </row>
    <row r="261" spans="7:12">
      <c r="G261" s="8"/>
      <c r="H261" s="7"/>
      <c r="I261" s="3"/>
    </row>
    <row r="262" spans="7:12">
      <c r="G262" s="8"/>
      <c r="H262" s="7"/>
      <c r="I262" s="3"/>
    </row>
    <row r="263" spans="7:12">
      <c r="G263" s="8"/>
      <c r="H263" s="7"/>
      <c r="I263" s="3"/>
    </row>
    <row r="264" spans="7:12">
      <c r="G264" s="8"/>
      <c r="H264" s="7"/>
      <c r="I264" s="3"/>
    </row>
    <row r="265" spans="7:12">
      <c r="G265" s="8"/>
      <c r="H265" s="7"/>
      <c r="I265" s="3"/>
    </row>
    <row r="266" spans="7:12">
      <c r="G266" s="8"/>
      <c r="H266" s="7"/>
      <c r="I266" s="3"/>
    </row>
    <row r="267" spans="7:12">
      <c r="G267" s="8"/>
      <c r="H267" s="7"/>
      <c r="I267" s="3"/>
    </row>
    <row r="268" spans="7:12">
      <c r="G268" s="8"/>
      <c r="H268" s="7"/>
      <c r="I268" s="3"/>
    </row>
    <row r="269" spans="7:12">
      <c r="G269" s="8"/>
      <c r="H269" s="7"/>
      <c r="I269" s="3"/>
    </row>
    <row r="270" spans="7:12">
      <c r="G270" s="8"/>
      <c r="H270" s="7"/>
      <c r="I270" s="3"/>
    </row>
    <row r="271" spans="7:12">
      <c r="G271" s="3"/>
      <c r="L271" s="16"/>
    </row>
    <row r="272" spans="7:12">
      <c r="G272" s="3"/>
    </row>
    <row r="273" spans="7:7">
      <c r="G273"/>
    </row>
    <row r="274" spans="7:7">
      <c r="G274" s="3"/>
    </row>
    <row r="275" spans="7:7">
      <c r="G275" s="3"/>
    </row>
    <row r="276" spans="7:7">
      <c r="G276" s="3"/>
    </row>
    <row r="277" spans="7:7">
      <c r="G277"/>
    </row>
    <row r="278" spans="7:7">
      <c r="G278" s="3"/>
    </row>
    <row r="279" spans="7:7">
      <c r="G279" s="3"/>
    </row>
    <row r="280" spans="7:7">
      <c r="G280"/>
    </row>
    <row r="281" spans="7:7">
      <c r="G281" s="3"/>
    </row>
    <row r="282" spans="7:7">
      <c r="G282"/>
    </row>
    <row r="283" spans="7:7">
      <c r="G283"/>
    </row>
    <row r="284" spans="7:7">
      <c r="G284" s="3"/>
    </row>
    <row r="285" spans="7:7">
      <c r="G285"/>
    </row>
    <row r="286" spans="7:7">
      <c r="G286"/>
    </row>
    <row r="287" spans="7:7">
      <c r="G287"/>
    </row>
    <row r="288" spans="7:7">
      <c r="G288"/>
    </row>
    <row r="289" spans="7:7">
      <c r="G289" s="3"/>
    </row>
    <row r="290" spans="7:7">
      <c r="G290" s="3"/>
    </row>
    <row r="291" spans="7:7">
      <c r="G291"/>
    </row>
    <row r="292" spans="7:7">
      <c r="G292" s="3"/>
    </row>
    <row r="293" spans="7:7">
      <c r="G293"/>
    </row>
    <row r="294" spans="7:7">
      <c r="G294" s="3"/>
    </row>
    <row r="295" spans="7:7">
      <c r="G295" s="3"/>
    </row>
    <row r="296" spans="7:7">
      <c r="G296"/>
    </row>
    <row r="297" spans="7:7">
      <c r="G297" s="3"/>
    </row>
    <row r="298" spans="7:7">
      <c r="G298"/>
    </row>
    <row r="299" spans="7:7">
      <c r="G299" s="3"/>
    </row>
    <row r="300" spans="7:7">
      <c r="G300"/>
    </row>
    <row r="301" spans="7:7">
      <c r="G301"/>
    </row>
    <row r="302" spans="7:7">
      <c r="G302"/>
    </row>
    <row r="303" spans="7:7">
      <c r="G303" s="3"/>
    </row>
    <row r="304" spans="7:7">
      <c r="G304"/>
    </row>
    <row r="305" spans="7:7">
      <c r="G305"/>
    </row>
    <row r="306" spans="7:7">
      <c r="G306" s="3"/>
    </row>
    <row r="307" spans="7:7">
      <c r="G307" s="3"/>
    </row>
    <row r="308" spans="7:7">
      <c r="G308"/>
    </row>
    <row r="309" spans="7:7">
      <c r="G309" s="3"/>
    </row>
    <row r="310" spans="7:7">
      <c r="G310" s="3"/>
    </row>
    <row r="311" spans="7:7">
      <c r="G311"/>
    </row>
    <row r="312" spans="7:7">
      <c r="G312" s="3"/>
    </row>
    <row r="313" spans="7:7">
      <c r="G313" s="3"/>
    </row>
    <row r="314" spans="7:7">
      <c r="G314"/>
    </row>
    <row r="315" spans="7:7">
      <c r="G315" s="3"/>
    </row>
    <row r="316" spans="7:7">
      <c r="G316"/>
    </row>
    <row r="317" spans="7:7">
      <c r="G317" s="3"/>
    </row>
    <row r="318" spans="7:7">
      <c r="G318" s="3"/>
    </row>
    <row r="319" spans="7:7">
      <c r="G319" s="3"/>
    </row>
    <row r="320" spans="7:7">
      <c r="G320" s="3"/>
    </row>
    <row r="321" spans="7:7">
      <c r="G321" s="3"/>
    </row>
    <row r="322" spans="7:7">
      <c r="G322"/>
    </row>
    <row r="323" spans="7:7">
      <c r="G323"/>
    </row>
    <row r="324" spans="7:7">
      <c r="G324"/>
    </row>
    <row r="325" spans="7:7">
      <c r="G325" s="3"/>
    </row>
    <row r="326" spans="7:7">
      <c r="G326" s="3"/>
    </row>
    <row r="327" spans="7:7">
      <c r="G327" s="3"/>
    </row>
    <row r="328" spans="7:7">
      <c r="G328" s="3"/>
    </row>
    <row r="329" spans="7:7">
      <c r="G329" s="3"/>
    </row>
    <row r="330" spans="7:7">
      <c r="G330" s="3"/>
    </row>
    <row r="331" spans="7:7">
      <c r="G331"/>
    </row>
    <row r="332" spans="7:7">
      <c r="G332"/>
    </row>
    <row r="333" spans="7:7">
      <c r="G333" s="3"/>
    </row>
    <row r="334" spans="7:7">
      <c r="G334"/>
    </row>
    <row r="335" spans="7:7">
      <c r="G335" s="3"/>
    </row>
    <row r="336" spans="7:7">
      <c r="G336"/>
    </row>
    <row r="337" spans="7:7">
      <c r="G337"/>
    </row>
    <row r="338" spans="7:7">
      <c r="G338" s="3"/>
    </row>
    <row r="339" spans="7:7">
      <c r="G339"/>
    </row>
    <row r="340" spans="7:7">
      <c r="G340" s="3"/>
    </row>
    <row r="341" spans="7:7">
      <c r="G341" s="3"/>
    </row>
    <row r="342" spans="7:7">
      <c r="G342"/>
    </row>
    <row r="343" spans="7:7">
      <c r="G343"/>
    </row>
    <row r="344" spans="7:7">
      <c r="G344" s="3"/>
    </row>
    <row r="345" spans="7:7">
      <c r="G345"/>
    </row>
    <row r="346" spans="7:7">
      <c r="G346"/>
    </row>
    <row r="347" spans="7:7">
      <c r="G347"/>
    </row>
    <row r="348" spans="7:7">
      <c r="G348" s="2"/>
    </row>
    <row r="349" spans="7:7">
      <c r="G349" s="3"/>
    </row>
    <row r="350" spans="7:7">
      <c r="G350" s="3"/>
    </row>
    <row r="351" spans="7:7">
      <c r="G351"/>
    </row>
    <row r="352" spans="7:7">
      <c r="G352" s="3"/>
    </row>
    <row r="353" spans="7:7">
      <c r="G353" s="3"/>
    </row>
    <row r="354" spans="7:7">
      <c r="G354"/>
    </row>
    <row r="355" spans="7:7">
      <c r="G355"/>
    </row>
    <row r="356" spans="7:7">
      <c r="G356"/>
    </row>
    <row r="357" spans="7:7">
      <c r="G357"/>
    </row>
    <row r="358" spans="7:7">
      <c r="G358" s="3"/>
    </row>
    <row r="359" spans="7:7">
      <c r="G359" s="3"/>
    </row>
    <row r="360" spans="7:7">
      <c r="G360" s="3"/>
    </row>
    <row r="361" spans="7:7">
      <c r="G361" s="3"/>
    </row>
    <row r="362" spans="7:7">
      <c r="G362"/>
    </row>
    <row r="363" spans="7:7">
      <c r="G363" s="3"/>
    </row>
    <row r="364" spans="7:7">
      <c r="G364" s="3"/>
    </row>
    <row r="365" spans="7:7">
      <c r="G365" s="3"/>
    </row>
    <row r="366" spans="7:7">
      <c r="G366"/>
    </row>
    <row r="367" spans="7:7">
      <c r="G367"/>
    </row>
    <row r="368" spans="7:7">
      <c r="G368"/>
    </row>
    <row r="369" spans="7:7">
      <c r="G369"/>
    </row>
    <row r="370" spans="7:7">
      <c r="G370"/>
    </row>
    <row r="371" spans="7:7">
      <c r="G371"/>
    </row>
    <row r="372" spans="7:7">
      <c r="G372"/>
    </row>
    <row r="373" spans="7:7">
      <c r="G373"/>
    </row>
    <row r="374" spans="7:7">
      <c r="G374"/>
    </row>
    <row r="375" spans="7:7">
      <c r="G375"/>
    </row>
    <row r="376" spans="7:7">
      <c r="G376"/>
    </row>
    <row r="377" spans="7:7">
      <c r="G377" s="3"/>
    </row>
    <row r="378" spans="7:7">
      <c r="G378"/>
    </row>
    <row r="379" spans="7:7">
      <c r="G379" s="3"/>
    </row>
    <row r="380" spans="7:7">
      <c r="G380" s="3"/>
    </row>
    <row r="381" spans="7:7">
      <c r="G381" s="3"/>
    </row>
    <row r="382" spans="7:7">
      <c r="G382"/>
    </row>
    <row r="383" spans="7:7">
      <c r="G383"/>
    </row>
    <row r="384" spans="7:7">
      <c r="G384"/>
    </row>
    <row r="385" spans="7:10">
      <c r="G385" s="3"/>
    </row>
    <row r="386" spans="7:10">
      <c r="G386" s="3"/>
    </row>
    <row r="387" spans="7:10">
      <c r="G387"/>
    </row>
    <row r="388" spans="7:10">
      <c r="G388" s="3"/>
    </row>
    <row r="389" spans="7:10">
      <c r="G389" s="3"/>
    </row>
    <row r="390" spans="7:10">
      <c r="G390"/>
    </row>
    <row r="391" spans="7:10">
      <c r="G391" s="3"/>
    </row>
    <row r="392" spans="7:10">
      <c r="G392"/>
      <c r="H392"/>
      <c r="I392"/>
      <c r="J392"/>
    </row>
    <row r="393" spans="7:10">
      <c r="G393"/>
      <c r="H393"/>
      <c r="I393"/>
      <c r="J393"/>
    </row>
    <row r="394" spans="7:10">
      <c r="G394"/>
      <c r="H394"/>
      <c r="I394"/>
      <c r="J394"/>
    </row>
    <row r="395" spans="7:10">
      <c r="G395"/>
      <c r="H395"/>
      <c r="I395"/>
      <c r="J395"/>
    </row>
    <row r="396" spans="7:10">
      <c r="G396"/>
      <c r="H396"/>
      <c r="I396"/>
      <c r="J396"/>
    </row>
  </sheetData>
  <sortState ref="F2:M204">
    <sortCondition ref="H2:H204"/>
    <sortCondition ref="M2:M204"/>
  </sortState>
  <dataConsolidate/>
  <conditionalFormatting sqref="D2:D101">
    <cfRule type="duplicateValues" dxfId="208" priority="9"/>
  </conditionalFormatting>
  <conditionalFormatting sqref="D102:D201">
    <cfRule type="duplicateValues" dxfId="207" priority="8"/>
  </conditionalFormatting>
  <conditionalFormatting sqref="J298:J391">
    <cfRule type="cellIs" dxfId="206" priority="7" operator="lessThan">
      <formula>0</formula>
    </cfRule>
  </conditionalFormatting>
  <conditionalFormatting sqref="J271:J391">
    <cfRule type="duplicateValues" dxfId="205" priority="10"/>
  </conditionalFormatting>
  <conditionalFormatting sqref="S102:S195">
    <cfRule type="cellIs" dxfId="204" priority="5" operator="lessThan">
      <formula>0</formula>
    </cfRule>
  </conditionalFormatting>
  <conditionalFormatting sqref="S2:S11 S13:S195">
    <cfRule type="duplicateValues" dxfId="203" priority="6"/>
  </conditionalFormatting>
  <conditionalFormatting sqref="S12">
    <cfRule type="duplicateValues" dxfId="202" priority="4"/>
  </conditionalFormatting>
  <conditionalFormatting sqref="I205:I270">
    <cfRule type="duplicateValues" dxfId="201" priority="3"/>
  </conditionalFormatting>
  <conditionalFormatting sqref="J205:J270">
    <cfRule type="duplicateValues" dxfId="200" priority="11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C1:W396"/>
  <sheetViews>
    <sheetView topLeftCell="J10" zoomScale="80" zoomScaleNormal="80" zoomScalePageLayoutView="80" workbookViewId="0">
      <selection activeCell="AA44" sqref="AA44"/>
    </sheetView>
  </sheetViews>
  <sheetFormatPr baseColWidth="10" defaultColWidth="11" defaultRowHeight="15" x14ac:dyDescent="0"/>
  <cols>
    <col min="3" max="3" width="16.1640625" bestFit="1" customWidth="1"/>
    <col min="5" max="5" width="7.5" customWidth="1"/>
    <col min="6" max="6" width="11" style="12"/>
    <col min="7" max="7" width="18.1640625" style="4" bestFit="1" customWidth="1"/>
    <col min="8" max="8" width="8.6640625" style="4" customWidth="1"/>
    <col min="9" max="9" width="18.5" style="9" bestFit="1" customWidth="1"/>
    <col min="10" max="10" width="11" style="8"/>
    <col min="11" max="11" width="8.5" style="4" bestFit="1" customWidth="1"/>
    <col min="12" max="12" width="4.5" style="4" customWidth="1"/>
    <col min="13" max="13" width="13.33203125" style="4" customWidth="1"/>
    <col min="14" max="14" width="18.1640625" bestFit="1" customWidth="1"/>
    <col min="19" max="19" width="14" style="2" customWidth="1"/>
    <col min="20" max="22" width="5.6640625" customWidth="1"/>
    <col min="23" max="23" width="16.1640625" bestFit="1" customWidth="1"/>
  </cols>
  <sheetData>
    <row r="1" spans="3:20" s="18" customFormat="1" ht="20">
      <c r="G1" s="19" t="s">
        <v>329</v>
      </c>
      <c r="H1" s="19" t="s">
        <v>334</v>
      </c>
      <c r="I1" s="20" t="s">
        <v>333</v>
      </c>
      <c r="J1" s="21" t="s">
        <v>332</v>
      </c>
      <c r="K1" s="19" t="s">
        <v>331</v>
      </c>
      <c r="L1" s="19" t="s">
        <v>1867</v>
      </c>
      <c r="M1" s="19" t="s">
        <v>1863</v>
      </c>
      <c r="N1" s="18" t="s">
        <v>329</v>
      </c>
      <c r="O1" s="18" t="s">
        <v>330</v>
      </c>
      <c r="S1" s="22"/>
    </row>
    <row r="2" spans="3:20">
      <c r="C2" s="3"/>
      <c r="F2" s="12">
        <v>9</v>
      </c>
      <c r="G2" s="51" t="s">
        <v>1373</v>
      </c>
      <c r="H2" s="7">
        <f t="shared" ref="H2:H33" si="0">LOOKUP(G2,$N$2:$N$13,$O$2:$O$13)</f>
        <v>1</v>
      </c>
      <c r="I2" s="50">
        <v>40508.871527777781</v>
      </c>
      <c r="J2" s="58" t="s">
        <v>1374</v>
      </c>
      <c r="K2" s="4">
        <f t="shared" ref="K2:K33" si="1">IF(Q2&gt;Q1,1,K1+1)</f>
        <v>1</v>
      </c>
      <c r="L2" s="4">
        <v>8</v>
      </c>
      <c r="M2" s="4">
        <v>1</v>
      </c>
      <c r="N2" s="51" t="s">
        <v>1373</v>
      </c>
      <c r="O2">
        <v>1</v>
      </c>
      <c r="Q2">
        <v>1</v>
      </c>
      <c r="S2" s="8"/>
      <c r="T2" s="10"/>
    </row>
    <row r="3" spans="3:20">
      <c r="C3" s="3"/>
      <c r="F3" s="12">
        <v>17</v>
      </c>
      <c r="G3" s="51" t="s">
        <v>405</v>
      </c>
      <c r="H3" s="7">
        <f t="shared" si="0"/>
        <v>2</v>
      </c>
      <c r="I3" s="50">
        <v>40518.567361111112</v>
      </c>
      <c r="J3" s="58" t="s">
        <v>406</v>
      </c>
      <c r="K3" s="4">
        <f t="shared" si="1"/>
        <v>1</v>
      </c>
      <c r="L3" s="4">
        <v>2</v>
      </c>
      <c r="M3" s="4">
        <v>1</v>
      </c>
      <c r="N3" s="51" t="s">
        <v>405</v>
      </c>
      <c r="O3">
        <v>2</v>
      </c>
      <c r="Q3">
        <v>2</v>
      </c>
      <c r="S3" s="8"/>
      <c r="T3" s="10"/>
    </row>
    <row r="4" spans="3:20">
      <c r="C4" s="3"/>
      <c r="F4" s="12">
        <v>6</v>
      </c>
      <c r="G4" s="59" t="s">
        <v>325</v>
      </c>
      <c r="H4" s="7">
        <f t="shared" si="0"/>
        <v>3</v>
      </c>
      <c r="I4" s="50">
        <v>40507.288194444445</v>
      </c>
      <c r="J4" s="58" t="s">
        <v>1559</v>
      </c>
      <c r="K4" s="4">
        <f t="shared" si="1"/>
        <v>1</v>
      </c>
      <c r="L4" s="4">
        <v>8</v>
      </c>
      <c r="M4" s="4">
        <v>1</v>
      </c>
      <c r="N4" s="59" t="s">
        <v>325</v>
      </c>
      <c r="O4">
        <v>3</v>
      </c>
      <c r="Q4">
        <v>3</v>
      </c>
      <c r="S4" s="8"/>
      <c r="T4" s="10"/>
    </row>
    <row r="5" spans="3:20">
      <c r="C5" s="3"/>
      <c r="F5" s="12">
        <v>19</v>
      </c>
      <c r="G5" s="51" t="s">
        <v>325</v>
      </c>
      <c r="H5" s="7">
        <f t="shared" si="0"/>
        <v>3</v>
      </c>
      <c r="I5" s="50">
        <v>40519.595833333333</v>
      </c>
      <c r="J5" s="58" t="s">
        <v>1342</v>
      </c>
      <c r="K5" s="4">
        <f t="shared" si="1"/>
        <v>2</v>
      </c>
      <c r="L5" s="4">
        <v>2</v>
      </c>
      <c r="M5" s="4">
        <v>2</v>
      </c>
      <c r="N5" s="51" t="s">
        <v>553</v>
      </c>
      <c r="O5">
        <v>4</v>
      </c>
      <c r="Q5">
        <v>3</v>
      </c>
      <c r="S5" s="8"/>
      <c r="T5" s="10"/>
    </row>
    <row r="6" spans="3:20">
      <c r="C6" s="3"/>
      <c r="F6" s="12">
        <v>22</v>
      </c>
      <c r="G6" s="51" t="s">
        <v>553</v>
      </c>
      <c r="H6" s="7">
        <f t="shared" si="0"/>
        <v>4</v>
      </c>
      <c r="I6" s="50">
        <v>40522.538888888892</v>
      </c>
      <c r="J6" s="58" t="s">
        <v>552</v>
      </c>
      <c r="K6" s="4">
        <f t="shared" si="1"/>
        <v>1</v>
      </c>
      <c r="L6" s="4">
        <v>2</v>
      </c>
      <c r="M6" s="4">
        <v>1</v>
      </c>
      <c r="N6" s="51" t="s">
        <v>389</v>
      </c>
      <c r="O6">
        <v>5</v>
      </c>
      <c r="Q6">
        <v>4</v>
      </c>
      <c r="S6" s="8"/>
      <c r="T6" s="10"/>
    </row>
    <row r="7" spans="3:20">
      <c r="C7" s="3"/>
      <c r="F7" s="12">
        <v>12</v>
      </c>
      <c r="G7" s="51" t="s">
        <v>389</v>
      </c>
      <c r="H7" s="7">
        <f t="shared" si="0"/>
        <v>5</v>
      </c>
      <c r="I7" s="50">
        <v>40514.933333333334</v>
      </c>
      <c r="J7" s="58" t="s">
        <v>388</v>
      </c>
      <c r="K7" s="4">
        <f t="shared" si="1"/>
        <v>1</v>
      </c>
      <c r="L7" s="4">
        <v>3</v>
      </c>
      <c r="M7" s="4">
        <v>1</v>
      </c>
      <c r="N7" s="51" t="s">
        <v>530</v>
      </c>
      <c r="O7">
        <v>6</v>
      </c>
      <c r="Q7">
        <v>5</v>
      </c>
      <c r="S7" s="8"/>
      <c r="T7" s="10"/>
    </row>
    <row r="8" spans="3:20">
      <c r="C8" s="3"/>
      <c r="F8" s="12">
        <v>1</v>
      </c>
      <c r="G8" s="51" t="s">
        <v>530</v>
      </c>
      <c r="H8" s="7">
        <f t="shared" si="0"/>
        <v>6</v>
      </c>
      <c r="I8" s="50">
        <v>39949.063194444447</v>
      </c>
      <c r="J8" s="58" t="s">
        <v>877</v>
      </c>
      <c r="K8" s="4">
        <f t="shared" si="1"/>
        <v>1</v>
      </c>
      <c r="L8" s="4">
        <v>2</v>
      </c>
      <c r="M8" s="4">
        <v>1</v>
      </c>
      <c r="N8" s="59" t="s">
        <v>288</v>
      </c>
      <c r="O8">
        <v>7</v>
      </c>
      <c r="Q8">
        <v>6</v>
      </c>
      <c r="S8" s="8"/>
      <c r="T8" s="10"/>
    </row>
    <row r="9" spans="3:20">
      <c r="C9" s="3"/>
      <c r="F9" s="12">
        <v>3</v>
      </c>
      <c r="G9" s="51" t="s">
        <v>530</v>
      </c>
      <c r="H9" s="7">
        <f t="shared" si="0"/>
        <v>6</v>
      </c>
      <c r="I9" s="50">
        <v>40502.074999999997</v>
      </c>
      <c r="J9" s="58" t="s">
        <v>803</v>
      </c>
      <c r="K9" s="4">
        <f t="shared" si="1"/>
        <v>2</v>
      </c>
      <c r="L9" s="4">
        <v>2</v>
      </c>
      <c r="M9" s="4">
        <v>2</v>
      </c>
      <c r="N9" s="59" t="s">
        <v>879</v>
      </c>
      <c r="O9">
        <v>8</v>
      </c>
      <c r="Q9">
        <v>6</v>
      </c>
      <c r="S9" s="8"/>
      <c r="T9" s="10"/>
    </row>
    <row r="10" spans="3:20">
      <c r="C10" s="3"/>
      <c r="D10" s="1"/>
      <c r="F10" s="12">
        <v>8</v>
      </c>
      <c r="G10" s="51" t="s">
        <v>336</v>
      </c>
      <c r="H10" s="7">
        <f t="shared" si="0"/>
        <v>6</v>
      </c>
      <c r="I10" s="50">
        <v>40507.336805555555</v>
      </c>
      <c r="J10" s="58" t="s">
        <v>1556</v>
      </c>
      <c r="K10" s="4">
        <f t="shared" si="1"/>
        <v>3</v>
      </c>
      <c r="L10" s="4">
        <v>2</v>
      </c>
      <c r="M10" s="4">
        <v>3</v>
      </c>
      <c r="N10" s="51" t="s">
        <v>300</v>
      </c>
      <c r="O10">
        <v>9</v>
      </c>
      <c r="Q10">
        <v>6</v>
      </c>
      <c r="S10" s="8"/>
      <c r="T10" s="10"/>
    </row>
    <row r="11" spans="3:20">
      <c r="C11" s="3"/>
      <c r="F11" s="12">
        <v>23</v>
      </c>
      <c r="G11" s="51" t="s">
        <v>336</v>
      </c>
      <c r="H11" s="7">
        <f t="shared" si="0"/>
        <v>6</v>
      </c>
      <c r="I11" s="50">
        <v>40522.554166666669</v>
      </c>
      <c r="J11" s="58" t="s">
        <v>1575</v>
      </c>
      <c r="K11" s="4">
        <f t="shared" si="1"/>
        <v>4</v>
      </c>
      <c r="L11" s="4">
        <v>2</v>
      </c>
      <c r="M11" s="4">
        <v>4</v>
      </c>
      <c r="N11" s="59" t="s">
        <v>289</v>
      </c>
      <c r="O11">
        <v>10</v>
      </c>
      <c r="Q11">
        <v>6</v>
      </c>
      <c r="S11" s="8"/>
    </row>
    <row r="12" spans="3:20">
      <c r="C12" s="3"/>
      <c r="F12" s="12">
        <v>25</v>
      </c>
      <c r="G12" s="51" t="s">
        <v>336</v>
      </c>
      <c r="H12" s="7">
        <f t="shared" si="0"/>
        <v>6</v>
      </c>
      <c r="I12" s="50">
        <v>40523.921527777777</v>
      </c>
      <c r="J12" s="58" t="s">
        <v>862</v>
      </c>
      <c r="K12" s="4">
        <f t="shared" si="1"/>
        <v>5</v>
      </c>
      <c r="L12" s="4">
        <v>2</v>
      </c>
      <c r="M12" s="4">
        <v>5</v>
      </c>
      <c r="N12" s="51" t="s">
        <v>457</v>
      </c>
      <c r="O12">
        <v>11</v>
      </c>
      <c r="Q12">
        <v>6</v>
      </c>
      <c r="S12" s="8"/>
    </row>
    <row r="13" spans="3:20">
      <c r="C13" s="3"/>
      <c r="F13" s="12">
        <v>33</v>
      </c>
      <c r="G13" s="51" t="s">
        <v>336</v>
      </c>
      <c r="H13" s="7">
        <f t="shared" si="0"/>
        <v>6</v>
      </c>
      <c r="I13" s="50">
        <v>40528.863194444442</v>
      </c>
      <c r="J13" s="58" t="s">
        <v>1144</v>
      </c>
      <c r="K13" s="4">
        <f t="shared" si="1"/>
        <v>6</v>
      </c>
      <c r="L13" s="4">
        <v>3</v>
      </c>
      <c r="M13" s="4">
        <v>6</v>
      </c>
      <c r="N13" s="59" t="s">
        <v>338</v>
      </c>
      <c r="O13">
        <v>12</v>
      </c>
      <c r="Q13">
        <v>6</v>
      </c>
      <c r="S13" s="25" t="s">
        <v>1872</v>
      </c>
    </row>
    <row r="14" spans="3:20">
      <c r="C14" s="3"/>
      <c r="D14" s="1"/>
      <c r="F14" s="12">
        <v>35</v>
      </c>
      <c r="G14" s="51" t="s">
        <v>336</v>
      </c>
      <c r="H14" s="7">
        <f t="shared" si="0"/>
        <v>6</v>
      </c>
      <c r="I14" s="50">
        <v>40530.061111111114</v>
      </c>
      <c r="J14" s="58" t="s">
        <v>1195</v>
      </c>
      <c r="K14" s="4">
        <f t="shared" si="1"/>
        <v>7</v>
      </c>
      <c r="L14" s="4">
        <v>2</v>
      </c>
      <c r="M14" s="4">
        <v>7</v>
      </c>
      <c r="Q14">
        <v>6</v>
      </c>
      <c r="S14" s="25" t="s">
        <v>1870</v>
      </c>
      <c r="T14" t="s">
        <v>1869</v>
      </c>
    </row>
    <row r="15" spans="3:20">
      <c r="C15" s="3"/>
      <c r="F15" s="12">
        <v>4</v>
      </c>
      <c r="G15" s="59" t="s">
        <v>288</v>
      </c>
      <c r="H15" s="7">
        <f t="shared" si="0"/>
        <v>7</v>
      </c>
      <c r="I15" s="50">
        <v>40504.752083333333</v>
      </c>
      <c r="J15" s="58" t="s">
        <v>804</v>
      </c>
      <c r="K15" s="4">
        <f t="shared" si="1"/>
        <v>1</v>
      </c>
      <c r="L15" s="4">
        <v>2</v>
      </c>
      <c r="M15" s="4">
        <v>1</v>
      </c>
      <c r="Q15">
        <v>7</v>
      </c>
      <c r="S15" s="26">
        <v>1</v>
      </c>
      <c r="T15" s="4">
        <v>1</v>
      </c>
    </row>
    <row r="16" spans="3:20">
      <c r="C16" s="3"/>
      <c r="F16" s="12">
        <v>7</v>
      </c>
      <c r="G16" s="51" t="s">
        <v>288</v>
      </c>
      <c r="H16" s="7">
        <f t="shared" si="0"/>
        <v>7</v>
      </c>
      <c r="I16" s="50">
        <v>40505.761111111111</v>
      </c>
      <c r="J16" s="58" t="s">
        <v>1555</v>
      </c>
      <c r="K16" s="4">
        <f t="shared" si="1"/>
        <v>2</v>
      </c>
      <c r="L16" s="4">
        <v>4</v>
      </c>
      <c r="M16" s="4">
        <v>2</v>
      </c>
      <c r="Q16">
        <v>7</v>
      </c>
      <c r="S16" s="26">
        <v>2</v>
      </c>
      <c r="T16" s="4">
        <v>1</v>
      </c>
    </row>
    <row r="17" spans="3:23">
      <c r="C17" s="3"/>
      <c r="F17" s="12">
        <v>10</v>
      </c>
      <c r="G17" s="59" t="s">
        <v>288</v>
      </c>
      <c r="H17" s="7">
        <f t="shared" si="0"/>
        <v>7</v>
      </c>
      <c r="I17" s="50">
        <v>40509.376388888886</v>
      </c>
      <c r="J17" s="58" t="s">
        <v>1375</v>
      </c>
      <c r="K17" s="4">
        <f t="shared" si="1"/>
        <v>3</v>
      </c>
      <c r="L17" s="4">
        <v>4</v>
      </c>
      <c r="M17" s="4">
        <v>3</v>
      </c>
      <c r="Q17">
        <v>7</v>
      </c>
      <c r="S17" s="26">
        <v>3</v>
      </c>
      <c r="T17" s="4">
        <v>2</v>
      </c>
    </row>
    <row r="18" spans="3:23">
      <c r="C18" s="3"/>
      <c r="F18" s="12">
        <v>11</v>
      </c>
      <c r="G18" s="59" t="s">
        <v>288</v>
      </c>
      <c r="H18" s="7">
        <f t="shared" si="0"/>
        <v>7</v>
      </c>
      <c r="I18" s="50">
        <v>40514.691666666666</v>
      </c>
      <c r="J18" s="58" t="s">
        <v>387</v>
      </c>
      <c r="K18" s="4">
        <f t="shared" si="1"/>
        <v>4</v>
      </c>
      <c r="L18" s="4">
        <v>2</v>
      </c>
      <c r="M18" s="4">
        <v>4</v>
      </c>
      <c r="Q18">
        <v>7</v>
      </c>
      <c r="S18" s="26">
        <v>4</v>
      </c>
      <c r="T18" s="4">
        <v>1</v>
      </c>
    </row>
    <row r="19" spans="3:23">
      <c r="C19" s="3"/>
      <c r="D19" s="1"/>
      <c r="F19" s="12">
        <v>14</v>
      </c>
      <c r="G19" s="51" t="s">
        <v>288</v>
      </c>
      <c r="H19" s="7">
        <f t="shared" si="0"/>
        <v>7</v>
      </c>
      <c r="I19" s="50">
        <v>40517.305555555555</v>
      </c>
      <c r="J19" s="58" t="s">
        <v>340</v>
      </c>
      <c r="K19" s="4">
        <f t="shared" si="1"/>
        <v>5</v>
      </c>
      <c r="L19" s="4">
        <v>2</v>
      </c>
      <c r="M19" s="4">
        <v>5</v>
      </c>
      <c r="Q19">
        <v>7</v>
      </c>
      <c r="S19" s="26">
        <v>5</v>
      </c>
      <c r="T19" s="4">
        <v>1</v>
      </c>
    </row>
    <row r="20" spans="3:23">
      <c r="C20" s="3"/>
      <c r="F20" s="12">
        <v>15</v>
      </c>
      <c r="G20" s="51" t="s">
        <v>288</v>
      </c>
      <c r="H20" s="7">
        <f t="shared" si="0"/>
        <v>7</v>
      </c>
      <c r="I20" s="50">
        <v>40517.303472222222</v>
      </c>
      <c r="J20" s="58" t="s">
        <v>1212</v>
      </c>
      <c r="K20" s="4">
        <f t="shared" si="1"/>
        <v>6</v>
      </c>
      <c r="L20" s="4">
        <v>2</v>
      </c>
      <c r="M20" s="4">
        <v>6</v>
      </c>
      <c r="Q20">
        <v>7</v>
      </c>
      <c r="S20" s="26">
        <v>6</v>
      </c>
      <c r="T20" s="4">
        <v>7</v>
      </c>
    </row>
    <row r="21" spans="3:23">
      <c r="C21" s="3"/>
      <c r="F21" s="12">
        <v>20</v>
      </c>
      <c r="G21" s="59" t="s">
        <v>288</v>
      </c>
      <c r="H21" s="7">
        <f t="shared" si="0"/>
        <v>7</v>
      </c>
      <c r="I21" s="50">
        <v>40519.638194444444</v>
      </c>
      <c r="J21" s="58" t="s">
        <v>1343</v>
      </c>
      <c r="K21" s="4">
        <f t="shared" si="1"/>
        <v>7</v>
      </c>
      <c r="L21" s="4">
        <v>17</v>
      </c>
      <c r="M21" s="4">
        <v>7</v>
      </c>
      <c r="Q21">
        <v>7</v>
      </c>
      <c r="S21" s="26">
        <v>7</v>
      </c>
      <c r="T21" s="4">
        <v>16</v>
      </c>
    </row>
    <row r="22" spans="3:23">
      <c r="C22" s="3"/>
      <c r="F22" s="12">
        <v>21</v>
      </c>
      <c r="G22" s="51" t="s">
        <v>288</v>
      </c>
      <c r="H22" s="7">
        <f t="shared" si="0"/>
        <v>7</v>
      </c>
      <c r="I22" s="50">
        <v>40522.390277777777</v>
      </c>
      <c r="J22" s="58" t="s">
        <v>551</v>
      </c>
      <c r="K22" s="4">
        <f t="shared" si="1"/>
        <v>8</v>
      </c>
      <c r="L22" s="4">
        <v>11</v>
      </c>
      <c r="M22" s="4">
        <v>8</v>
      </c>
      <c r="Q22">
        <v>7</v>
      </c>
      <c r="S22" s="26">
        <v>8</v>
      </c>
      <c r="T22" s="4">
        <v>1</v>
      </c>
    </row>
    <row r="23" spans="3:23">
      <c r="C23" s="3"/>
      <c r="F23" s="12">
        <v>24</v>
      </c>
      <c r="G23" s="51" t="s">
        <v>288</v>
      </c>
      <c r="H23" s="7">
        <f t="shared" si="0"/>
        <v>7</v>
      </c>
      <c r="I23" s="50">
        <v>40523.504166666666</v>
      </c>
      <c r="J23" s="58" t="s">
        <v>861</v>
      </c>
      <c r="K23" s="4">
        <f t="shared" si="1"/>
        <v>9</v>
      </c>
      <c r="L23" s="4">
        <v>2</v>
      </c>
      <c r="M23" s="4">
        <v>9</v>
      </c>
      <c r="Q23">
        <v>7</v>
      </c>
      <c r="S23" s="26">
        <v>9</v>
      </c>
      <c r="T23" s="4">
        <v>7</v>
      </c>
    </row>
    <row r="24" spans="3:23">
      <c r="C24" s="3"/>
      <c r="F24" s="12">
        <v>29</v>
      </c>
      <c r="G24" s="59" t="s">
        <v>288</v>
      </c>
      <c r="H24" s="7">
        <f t="shared" si="0"/>
        <v>7</v>
      </c>
      <c r="I24" s="50">
        <v>40525.59652777778</v>
      </c>
      <c r="J24" s="58" t="s">
        <v>1065</v>
      </c>
      <c r="K24" s="4">
        <f t="shared" si="1"/>
        <v>10</v>
      </c>
      <c r="L24" s="4">
        <v>2</v>
      </c>
      <c r="M24" s="4">
        <v>10</v>
      </c>
      <c r="Q24">
        <v>7</v>
      </c>
      <c r="S24" s="26">
        <v>10</v>
      </c>
      <c r="T24" s="4">
        <v>8</v>
      </c>
    </row>
    <row r="25" spans="3:23">
      <c r="C25" s="3"/>
      <c r="F25" s="12">
        <v>30</v>
      </c>
      <c r="G25" s="51" t="s">
        <v>288</v>
      </c>
      <c r="H25" s="7">
        <f t="shared" si="0"/>
        <v>7</v>
      </c>
      <c r="I25" s="50">
        <v>40527.728472222225</v>
      </c>
      <c r="J25" s="58" t="s">
        <v>601</v>
      </c>
      <c r="K25" s="4">
        <f t="shared" si="1"/>
        <v>11</v>
      </c>
      <c r="L25" s="4">
        <v>2</v>
      </c>
      <c r="M25" s="4">
        <v>11</v>
      </c>
      <c r="Q25">
        <v>7</v>
      </c>
      <c r="S25" s="26">
        <v>11</v>
      </c>
      <c r="T25" s="4">
        <v>3</v>
      </c>
    </row>
    <row r="26" spans="3:23">
      <c r="C26" s="3"/>
      <c r="F26" s="12">
        <v>32</v>
      </c>
      <c r="G26" s="51" t="s">
        <v>288</v>
      </c>
      <c r="H26" s="7">
        <f t="shared" si="0"/>
        <v>7</v>
      </c>
      <c r="I26" s="50">
        <v>40528.45208333333</v>
      </c>
      <c r="J26" s="58" t="s">
        <v>1143</v>
      </c>
      <c r="K26" s="4">
        <f t="shared" si="1"/>
        <v>12</v>
      </c>
      <c r="L26" s="4">
        <v>7</v>
      </c>
      <c r="M26" s="4">
        <v>12</v>
      </c>
      <c r="Q26">
        <v>7</v>
      </c>
      <c r="S26" s="26">
        <v>12</v>
      </c>
      <c r="T26" s="4">
        <v>1</v>
      </c>
    </row>
    <row r="27" spans="3:23">
      <c r="C27" s="3"/>
      <c r="F27" s="12">
        <v>34</v>
      </c>
      <c r="G27" s="51" t="s">
        <v>288</v>
      </c>
      <c r="H27" s="7">
        <f t="shared" si="0"/>
        <v>7</v>
      </c>
      <c r="I27" s="50">
        <v>40529.678472222222</v>
      </c>
      <c r="J27" s="58" t="s">
        <v>1194</v>
      </c>
      <c r="K27" s="4">
        <f t="shared" si="1"/>
        <v>13</v>
      </c>
      <c r="L27" s="4">
        <v>2</v>
      </c>
      <c r="M27" s="4">
        <v>13</v>
      </c>
      <c r="Q27">
        <v>7</v>
      </c>
      <c r="S27" s="26" t="s">
        <v>1871</v>
      </c>
      <c r="T27" s="4">
        <v>49</v>
      </c>
    </row>
    <row r="28" spans="3:23">
      <c r="C28" s="3"/>
      <c r="F28" s="12">
        <v>36</v>
      </c>
      <c r="G28" s="51" t="s">
        <v>288</v>
      </c>
      <c r="H28" s="7">
        <f t="shared" si="0"/>
        <v>7</v>
      </c>
      <c r="I28" s="50">
        <v>40535.434027777781</v>
      </c>
      <c r="J28" s="58" t="s">
        <v>1295</v>
      </c>
      <c r="K28" s="4">
        <f t="shared" si="1"/>
        <v>14</v>
      </c>
      <c r="L28" s="4">
        <v>11</v>
      </c>
      <c r="M28" s="4">
        <v>14</v>
      </c>
      <c r="Q28">
        <v>7</v>
      </c>
      <c r="S28" s="8"/>
      <c r="T28" s="10"/>
    </row>
    <row r="29" spans="3:23">
      <c r="C29" s="3"/>
      <c r="F29" s="12">
        <v>45</v>
      </c>
      <c r="G29" s="59" t="s">
        <v>288</v>
      </c>
      <c r="H29" s="7">
        <f t="shared" si="0"/>
        <v>7</v>
      </c>
      <c r="I29" s="50">
        <v>40538.43472222222</v>
      </c>
      <c r="J29" s="58" t="s">
        <v>1299</v>
      </c>
      <c r="K29" s="4">
        <f t="shared" si="1"/>
        <v>15</v>
      </c>
      <c r="L29" s="4">
        <v>2</v>
      </c>
      <c r="M29" s="4">
        <v>15</v>
      </c>
      <c r="Q29">
        <v>7</v>
      </c>
      <c r="S29" s="8"/>
      <c r="T29" s="10"/>
    </row>
    <row r="30" spans="3:23">
      <c r="C30" s="3"/>
      <c r="F30" s="12">
        <v>47</v>
      </c>
      <c r="G30" s="59" t="s">
        <v>288</v>
      </c>
      <c r="H30" s="7">
        <f t="shared" si="0"/>
        <v>7</v>
      </c>
      <c r="I30" s="50">
        <v>40538.4375</v>
      </c>
      <c r="J30" s="58" t="s">
        <v>749</v>
      </c>
      <c r="K30" s="4">
        <f t="shared" si="1"/>
        <v>16</v>
      </c>
      <c r="L30" s="4">
        <v>2</v>
      </c>
      <c r="M30" s="4">
        <v>16</v>
      </c>
      <c r="Q30">
        <v>7</v>
      </c>
      <c r="S30" s="8"/>
      <c r="T30" s="10"/>
    </row>
    <row r="31" spans="3:23">
      <c r="C31" s="3"/>
      <c r="F31" s="12">
        <v>2</v>
      </c>
      <c r="G31" s="59" t="s">
        <v>879</v>
      </c>
      <c r="H31" s="7">
        <f t="shared" si="0"/>
        <v>8</v>
      </c>
      <c r="I31" s="50">
        <v>40499.962500000001</v>
      </c>
      <c r="J31" s="58" t="s">
        <v>878</v>
      </c>
      <c r="K31" s="4">
        <f t="shared" si="1"/>
        <v>1</v>
      </c>
      <c r="L31" s="4">
        <v>2</v>
      </c>
      <c r="M31" s="4">
        <v>1</v>
      </c>
      <c r="Q31">
        <v>8</v>
      </c>
      <c r="S31" s="8"/>
      <c r="T31" s="10"/>
      <c r="W31" t="s">
        <v>1873</v>
      </c>
    </row>
    <row r="32" spans="3:23">
      <c r="C32" s="3"/>
      <c r="F32" s="12">
        <v>18</v>
      </c>
      <c r="G32" s="51" t="s">
        <v>300</v>
      </c>
      <c r="H32" s="7">
        <f t="shared" si="0"/>
        <v>9</v>
      </c>
      <c r="I32" s="50">
        <v>40518.890972222223</v>
      </c>
      <c r="J32" s="58" t="s">
        <v>407</v>
      </c>
      <c r="K32" s="4">
        <f t="shared" si="1"/>
        <v>1</v>
      </c>
      <c r="L32" s="4">
        <v>3</v>
      </c>
      <c r="M32" s="4">
        <v>1</v>
      </c>
      <c r="Q32">
        <v>9</v>
      </c>
      <c r="S32" s="8"/>
      <c r="T32" s="10"/>
      <c r="W32">
        <f>T27/S26</f>
        <v>4.083333333333333</v>
      </c>
    </row>
    <row r="33" spans="3:20">
      <c r="C33" s="3"/>
      <c r="F33" s="12">
        <v>37</v>
      </c>
      <c r="G33" s="59" t="s">
        <v>300</v>
      </c>
      <c r="H33" s="7">
        <f t="shared" si="0"/>
        <v>9</v>
      </c>
      <c r="I33" s="50">
        <v>40535.822916666664</v>
      </c>
      <c r="J33" s="58" t="s">
        <v>1296</v>
      </c>
      <c r="K33" s="4">
        <f t="shared" si="1"/>
        <v>2</v>
      </c>
      <c r="L33" s="4">
        <v>2</v>
      </c>
      <c r="M33" s="4">
        <v>2</v>
      </c>
      <c r="Q33">
        <v>9</v>
      </c>
      <c r="S33" s="8"/>
      <c r="T33" s="10"/>
    </row>
    <row r="34" spans="3:20">
      <c r="C34" s="3"/>
      <c r="F34" s="12">
        <v>38</v>
      </c>
      <c r="G34" s="51" t="s">
        <v>300</v>
      </c>
      <c r="H34" s="7">
        <f t="shared" ref="H34:H50" si="2">LOOKUP(G34,$N$2:$N$13,$O$2:$O$13)</f>
        <v>9</v>
      </c>
      <c r="I34" s="50">
        <v>40536.452777777777</v>
      </c>
      <c r="J34" s="58" t="s">
        <v>1561</v>
      </c>
      <c r="K34" s="4">
        <f t="shared" ref="K34:K50" si="3">IF(Q34&gt;Q33,1,K33+1)</f>
        <v>3</v>
      </c>
      <c r="L34" s="4">
        <v>3</v>
      </c>
      <c r="M34" s="4">
        <v>3</v>
      </c>
      <c r="Q34">
        <v>9</v>
      </c>
      <c r="S34" s="8"/>
      <c r="T34" s="10"/>
    </row>
    <row r="35" spans="3:20">
      <c r="C35" s="3"/>
      <c r="F35" s="12">
        <v>40</v>
      </c>
      <c r="G35" s="51" t="s">
        <v>300</v>
      </c>
      <c r="H35" s="7">
        <f t="shared" si="2"/>
        <v>9</v>
      </c>
      <c r="I35" s="50">
        <v>40536.595833333333</v>
      </c>
      <c r="J35" s="58" t="s">
        <v>745</v>
      </c>
      <c r="K35" s="4">
        <f t="shared" si="3"/>
        <v>4</v>
      </c>
      <c r="L35" s="4">
        <v>2</v>
      </c>
      <c r="M35" s="4">
        <v>4</v>
      </c>
      <c r="Q35">
        <v>9</v>
      </c>
      <c r="S35" s="8"/>
      <c r="T35" s="10"/>
    </row>
    <row r="36" spans="3:20">
      <c r="C36" s="3"/>
      <c r="F36" s="12">
        <v>42</v>
      </c>
      <c r="G36" s="59" t="s">
        <v>300</v>
      </c>
      <c r="H36" s="7">
        <f t="shared" si="2"/>
        <v>9</v>
      </c>
      <c r="I36" s="50">
        <v>40518.919444444444</v>
      </c>
      <c r="J36" s="58" t="s">
        <v>345</v>
      </c>
      <c r="K36" s="4">
        <f t="shared" si="3"/>
        <v>5</v>
      </c>
      <c r="L36" s="4">
        <v>2</v>
      </c>
      <c r="M36" s="4">
        <v>5</v>
      </c>
      <c r="Q36">
        <v>9</v>
      </c>
      <c r="S36" s="8"/>
      <c r="T36" s="10"/>
    </row>
    <row r="37" spans="3:20">
      <c r="C37" s="3"/>
      <c r="F37" s="12">
        <v>46</v>
      </c>
      <c r="G37" s="51" t="s">
        <v>300</v>
      </c>
      <c r="H37" s="7">
        <f t="shared" si="2"/>
        <v>9</v>
      </c>
      <c r="I37" s="50">
        <v>40537.418749999997</v>
      </c>
      <c r="J37" s="58" t="s">
        <v>748</v>
      </c>
      <c r="K37" s="4">
        <f t="shared" si="3"/>
        <v>6</v>
      </c>
      <c r="L37" s="4">
        <v>89</v>
      </c>
      <c r="M37" s="4">
        <v>6</v>
      </c>
      <c r="Q37">
        <v>9</v>
      </c>
      <c r="S37" s="8"/>
      <c r="T37" s="10"/>
    </row>
    <row r="38" spans="3:20">
      <c r="C38" s="3"/>
      <c r="F38" s="12">
        <v>48</v>
      </c>
      <c r="G38" s="51" t="s">
        <v>300</v>
      </c>
      <c r="H38" s="7">
        <f t="shared" si="2"/>
        <v>9</v>
      </c>
      <c r="I38" s="50">
        <v>40540.951388888891</v>
      </c>
      <c r="J38" s="58" t="s">
        <v>848</v>
      </c>
      <c r="K38" s="4">
        <f t="shared" si="3"/>
        <v>7</v>
      </c>
      <c r="L38" s="4">
        <v>2</v>
      </c>
      <c r="M38" s="4">
        <v>7</v>
      </c>
      <c r="Q38">
        <v>9</v>
      </c>
      <c r="S38" s="8"/>
      <c r="T38" s="10"/>
    </row>
    <row r="39" spans="3:20">
      <c r="C39" s="3"/>
      <c r="F39" s="12">
        <v>16</v>
      </c>
      <c r="G39" s="59" t="s">
        <v>289</v>
      </c>
      <c r="H39" s="7">
        <f t="shared" si="2"/>
        <v>10</v>
      </c>
      <c r="I39" s="50">
        <v>40517.945138888892</v>
      </c>
      <c r="J39" s="58" t="s">
        <v>1213</v>
      </c>
      <c r="K39" s="4">
        <f t="shared" si="3"/>
        <v>1</v>
      </c>
      <c r="L39" s="4">
        <v>3</v>
      </c>
      <c r="M39" s="4">
        <v>1</v>
      </c>
      <c r="Q39">
        <v>10</v>
      </c>
      <c r="S39" s="8"/>
      <c r="T39" s="10"/>
    </row>
    <row r="40" spans="3:20">
      <c r="C40" s="3"/>
      <c r="F40" s="12">
        <v>27</v>
      </c>
      <c r="G40" s="51" t="s">
        <v>289</v>
      </c>
      <c r="H40" s="7">
        <f t="shared" si="2"/>
        <v>10</v>
      </c>
      <c r="I40" s="50">
        <v>40524.061805555553</v>
      </c>
      <c r="J40" s="58" t="s">
        <v>459</v>
      </c>
      <c r="K40" s="4">
        <f t="shared" si="3"/>
        <v>2</v>
      </c>
      <c r="L40" s="4">
        <v>4</v>
      </c>
      <c r="M40" s="4">
        <v>2</v>
      </c>
      <c r="Q40">
        <v>10</v>
      </c>
      <c r="S40" s="8"/>
      <c r="T40" s="10"/>
    </row>
    <row r="41" spans="3:20">
      <c r="C41" s="3"/>
      <c r="F41" s="12">
        <v>31</v>
      </c>
      <c r="G41" s="59" t="s">
        <v>289</v>
      </c>
      <c r="H41" s="7">
        <f t="shared" si="2"/>
        <v>10</v>
      </c>
      <c r="I41" s="50">
        <v>40527.879861111112</v>
      </c>
      <c r="J41" s="58" t="s">
        <v>602</v>
      </c>
      <c r="K41" s="4">
        <f t="shared" si="3"/>
        <v>3</v>
      </c>
      <c r="L41" s="4">
        <v>5</v>
      </c>
      <c r="M41" s="4">
        <v>3</v>
      </c>
      <c r="Q41">
        <v>10</v>
      </c>
      <c r="S41" s="8"/>
      <c r="T41" s="10"/>
    </row>
    <row r="42" spans="3:20">
      <c r="C42" s="3"/>
      <c r="F42" s="12">
        <v>39</v>
      </c>
      <c r="G42" s="59" t="s">
        <v>289</v>
      </c>
      <c r="H42" s="7">
        <f t="shared" si="2"/>
        <v>10</v>
      </c>
      <c r="I42" s="50">
        <v>40536.920138888891</v>
      </c>
      <c r="J42" s="58" t="s">
        <v>1562</v>
      </c>
      <c r="K42" s="4">
        <f t="shared" si="3"/>
        <v>4</v>
      </c>
      <c r="L42" s="4">
        <v>5</v>
      </c>
      <c r="M42" s="4">
        <v>4</v>
      </c>
      <c r="Q42">
        <v>10</v>
      </c>
      <c r="S42" s="8"/>
      <c r="T42" s="10"/>
    </row>
    <row r="43" spans="3:20">
      <c r="C43" s="3"/>
      <c r="F43" s="12">
        <v>41</v>
      </c>
      <c r="G43" s="59" t="s">
        <v>289</v>
      </c>
      <c r="H43" s="7">
        <f t="shared" si="2"/>
        <v>10</v>
      </c>
      <c r="I43" s="50">
        <v>40536.929861111108</v>
      </c>
      <c r="J43" s="58" t="s">
        <v>746</v>
      </c>
      <c r="K43" s="4">
        <f t="shared" si="3"/>
        <v>5</v>
      </c>
      <c r="L43" s="4">
        <v>89</v>
      </c>
      <c r="M43" s="4">
        <v>5</v>
      </c>
      <c r="Q43">
        <v>10</v>
      </c>
      <c r="S43" s="8"/>
      <c r="T43" s="10"/>
    </row>
    <row r="44" spans="3:20">
      <c r="C44" s="3"/>
      <c r="F44" s="12">
        <v>43</v>
      </c>
      <c r="G44" s="51" t="s">
        <v>289</v>
      </c>
      <c r="H44" s="7">
        <f t="shared" si="2"/>
        <v>10</v>
      </c>
      <c r="I44" s="50">
        <v>40536.930555555555</v>
      </c>
      <c r="J44" s="58" t="s">
        <v>346</v>
      </c>
      <c r="K44" s="4">
        <f t="shared" si="3"/>
        <v>6</v>
      </c>
      <c r="L44" s="4">
        <v>89</v>
      </c>
      <c r="M44" s="4">
        <v>6</v>
      </c>
      <c r="Q44">
        <v>10</v>
      </c>
      <c r="S44" s="8"/>
      <c r="T44" s="10"/>
    </row>
    <row r="45" spans="3:20">
      <c r="C45" s="3"/>
      <c r="F45" s="12">
        <v>44</v>
      </c>
      <c r="G45" s="51" t="s">
        <v>289</v>
      </c>
      <c r="H45" s="7">
        <f t="shared" si="2"/>
        <v>10</v>
      </c>
      <c r="I45" s="50">
        <v>40538.406944444447</v>
      </c>
      <c r="J45" s="58" t="s">
        <v>1298</v>
      </c>
      <c r="K45" s="4">
        <f t="shared" si="3"/>
        <v>7</v>
      </c>
      <c r="L45" s="4">
        <v>3</v>
      </c>
      <c r="M45" s="4">
        <v>7</v>
      </c>
      <c r="Q45">
        <v>10</v>
      </c>
      <c r="S45" s="8"/>
      <c r="T45" s="10"/>
    </row>
    <row r="46" spans="3:20">
      <c r="C46" s="3"/>
      <c r="F46" s="12">
        <v>49</v>
      </c>
      <c r="G46" s="59" t="s">
        <v>289</v>
      </c>
      <c r="H46" s="7">
        <f t="shared" si="2"/>
        <v>10</v>
      </c>
      <c r="I46" s="50">
        <v>40540.993750000001</v>
      </c>
      <c r="J46" s="58" t="s">
        <v>849</v>
      </c>
      <c r="K46" s="4">
        <f t="shared" si="3"/>
        <v>8</v>
      </c>
      <c r="L46" s="4">
        <v>2</v>
      </c>
      <c r="M46" s="4">
        <v>8</v>
      </c>
      <c r="Q46">
        <v>10</v>
      </c>
      <c r="S46" s="8"/>
      <c r="T46" s="10"/>
    </row>
    <row r="47" spans="3:20">
      <c r="C47" s="3"/>
      <c r="F47" s="12">
        <v>5</v>
      </c>
      <c r="G47" s="51" t="s">
        <v>457</v>
      </c>
      <c r="H47" s="7">
        <f t="shared" si="2"/>
        <v>11</v>
      </c>
      <c r="I47" s="50">
        <v>40467.919444444444</v>
      </c>
      <c r="J47" s="58" t="s">
        <v>1558</v>
      </c>
      <c r="K47" s="4">
        <f t="shared" si="3"/>
        <v>1</v>
      </c>
      <c r="L47" s="4">
        <v>2</v>
      </c>
      <c r="M47" s="4">
        <v>1</v>
      </c>
      <c r="Q47">
        <v>11</v>
      </c>
      <c r="S47" s="8"/>
      <c r="T47" s="10"/>
    </row>
    <row r="48" spans="3:20">
      <c r="C48" s="3"/>
      <c r="F48" s="12">
        <v>26</v>
      </c>
      <c r="G48" s="51" t="s">
        <v>457</v>
      </c>
      <c r="H48" s="7">
        <f t="shared" si="2"/>
        <v>11</v>
      </c>
      <c r="I48" s="50">
        <v>40444.905555555553</v>
      </c>
      <c r="J48" s="58" t="s">
        <v>458</v>
      </c>
      <c r="K48" s="4">
        <f t="shared" si="3"/>
        <v>2</v>
      </c>
      <c r="L48" s="4">
        <v>2</v>
      </c>
      <c r="M48" s="4">
        <v>2</v>
      </c>
      <c r="Q48">
        <v>11</v>
      </c>
      <c r="S48" s="8"/>
      <c r="T48" s="10"/>
    </row>
    <row r="49" spans="3:20">
      <c r="C49" s="3"/>
      <c r="F49" s="12">
        <v>28</v>
      </c>
      <c r="G49" s="51" t="s">
        <v>457</v>
      </c>
      <c r="H49" s="7">
        <f t="shared" si="2"/>
        <v>11</v>
      </c>
      <c r="I49" s="50">
        <v>40523.731944444444</v>
      </c>
      <c r="J49" s="58" t="s">
        <v>1064</v>
      </c>
      <c r="K49" s="4">
        <f t="shared" si="3"/>
        <v>3</v>
      </c>
      <c r="L49" s="4">
        <v>4</v>
      </c>
      <c r="M49" s="4">
        <v>3</v>
      </c>
      <c r="Q49">
        <v>11</v>
      </c>
      <c r="S49" s="8"/>
      <c r="T49" s="10"/>
    </row>
    <row r="50" spans="3:20">
      <c r="C50" s="3"/>
      <c r="F50" s="12">
        <v>13</v>
      </c>
      <c r="G50" s="59" t="s">
        <v>338</v>
      </c>
      <c r="H50" s="7">
        <f t="shared" si="2"/>
        <v>12</v>
      </c>
      <c r="I50" s="50">
        <v>40508.599305555559</v>
      </c>
      <c r="J50" s="58" t="s">
        <v>339</v>
      </c>
      <c r="K50" s="4">
        <f t="shared" si="3"/>
        <v>1</v>
      </c>
      <c r="L50" s="4">
        <v>2</v>
      </c>
      <c r="M50" s="4">
        <v>1</v>
      </c>
      <c r="Q50">
        <v>12</v>
      </c>
      <c r="S50" s="8"/>
      <c r="T50" s="10"/>
    </row>
    <row r="51" spans="3:20">
      <c r="C51" s="3"/>
      <c r="G51" s="46"/>
      <c r="H51" s="7"/>
      <c r="I51" s="45"/>
      <c r="J51" s="44"/>
      <c r="K51" s="8" t="s">
        <v>1874</v>
      </c>
      <c r="L51" s="4">
        <f>AVERAGE(L2:L50)</f>
        <v>8.7551020408163271</v>
      </c>
      <c r="S51" s="8"/>
      <c r="T51" s="10"/>
    </row>
    <row r="52" spans="3:20">
      <c r="C52" s="3"/>
      <c r="G52" s="46"/>
      <c r="H52" s="7"/>
      <c r="I52" s="45"/>
      <c r="J52" s="44"/>
      <c r="S52" s="8"/>
      <c r="T52" s="10"/>
    </row>
    <row r="53" spans="3:20">
      <c r="C53" s="3"/>
      <c r="G53" s="46"/>
      <c r="H53" s="7"/>
      <c r="I53" s="45"/>
      <c r="J53" s="44"/>
      <c r="S53" s="8"/>
      <c r="T53" s="10"/>
    </row>
    <row r="54" spans="3:20">
      <c r="C54" s="3"/>
      <c r="G54" s="46"/>
      <c r="H54" s="7"/>
      <c r="I54" s="45"/>
      <c r="J54" s="44"/>
      <c r="S54" s="8"/>
      <c r="T54" s="10"/>
    </row>
    <row r="55" spans="3:20">
      <c r="C55" s="3"/>
      <c r="G55" s="46"/>
      <c r="H55" s="7"/>
      <c r="I55" s="45"/>
      <c r="J55" s="44"/>
      <c r="S55" s="8"/>
      <c r="T55" s="10"/>
    </row>
    <row r="56" spans="3:20">
      <c r="C56" s="3"/>
      <c r="D56" s="1"/>
      <c r="G56" s="46"/>
      <c r="H56" s="7"/>
      <c r="I56" s="45"/>
      <c r="J56" s="44"/>
      <c r="S56" s="8"/>
      <c r="T56" s="10"/>
    </row>
    <row r="57" spans="3:20">
      <c r="C57" s="3"/>
      <c r="G57" s="46"/>
      <c r="H57" s="7"/>
      <c r="I57" s="45"/>
      <c r="J57" s="44"/>
      <c r="S57" s="8"/>
      <c r="T57" s="10"/>
    </row>
    <row r="58" spans="3:20">
      <c r="C58" s="3"/>
      <c r="G58" s="46"/>
      <c r="H58" s="7"/>
      <c r="I58" s="45"/>
      <c r="J58" s="44"/>
      <c r="S58" s="8"/>
      <c r="T58" s="10"/>
    </row>
    <row r="59" spans="3:20">
      <c r="C59" s="3"/>
      <c r="G59" s="46"/>
      <c r="H59" s="7"/>
      <c r="I59" s="45"/>
      <c r="J59" s="44"/>
      <c r="S59" s="8"/>
      <c r="T59" s="10"/>
    </row>
    <row r="60" spans="3:20">
      <c r="C60" s="3"/>
      <c r="G60" s="46"/>
      <c r="H60" s="7"/>
      <c r="I60" s="45"/>
      <c r="J60" s="44"/>
      <c r="S60" s="8"/>
      <c r="T60" s="10"/>
    </row>
    <row r="61" spans="3:20">
      <c r="C61" s="3"/>
      <c r="G61" s="48"/>
      <c r="H61" s="7"/>
      <c r="I61" s="45"/>
      <c r="J61" s="44"/>
      <c r="S61" s="8"/>
      <c r="T61" s="10"/>
    </row>
    <row r="62" spans="3:20">
      <c r="C62" s="3"/>
      <c r="G62" s="48"/>
      <c r="H62" s="7"/>
      <c r="I62" s="45"/>
      <c r="J62" s="44"/>
      <c r="S62" s="8"/>
      <c r="T62" s="10"/>
    </row>
    <row r="63" spans="3:20">
      <c r="C63" s="3"/>
      <c r="G63" s="48"/>
      <c r="H63" s="7"/>
      <c r="I63" s="45"/>
      <c r="J63" s="44"/>
      <c r="S63" s="8"/>
      <c r="T63" s="10"/>
    </row>
    <row r="64" spans="3:20">
      <c r="C64" s="3"/>
      <c r="G64" s="56"/>
      <c r="H64" s="7"/>
      <c r="I64" s="45"/>
      <c r="J64" s="44"/>
      <c r="S64" s="8"/>
      <c r="T64" s="10"/>
    </row>
    <row r="65" spans="3:20">
      <c r="C65" s="3"/>
      <c r="G65" s="56"/>
      <c r="H65" s="7"/>
      <c r="I65" s="45"/>
      <c r="J65" s="44"/>
      <c r="S65" s="8"/>
      <c r="T65" s="10"/>
    </row>
    <row r="66" spans="3:20">
      <c r="C66" s="3"/>
      <c r="G66" s="56"/>
      <c r="H66" s="7"/>
      <c r="I66" s="45"/>
      <c r="J66" s="44"/>
      <c r="S66" s="8"/>
      <c r="T66" s="10"/>
    </row>
    <row r="67" spans="3:20">
      <c r="C67" s="3"/>
      <c r="G67" s="48"/>
      <c r="H67" s="7"/>
      <c r="I67" s="45"/>
      <c r="J67" s="44"/>
      <c r="S67" s="8"/>
      <c r="T67" s="10"/>
    </row>
    <row r="68" spans="3:20">
      <c r="C68" s="3"/>
      <c r="G68" s="48"/>
      <c r="H68" s="7"/>
      <c r="I68" s="45"/>
      <c r="J68" s="44"/>
      <c r="S68" s="8"/>
      <c r="T68" s="10"/>
    </row>
    <row r="69" spans="3:20">
      <c r="C69" s="3"/>
      <c r="G69" s="48"/>
      <c r="H69" s="7"/>
      <c r="I69" s="45"/>
      <c r="J69" s="44"/>
      <c r="S69" s="8"/>
      <c r="T69" s="10"/>
    </row>
    <row r="70" spans="3:20">
      <c r="C70" s="3"/>
      <c r="G70" s="48"/>
      <c r="H70" s="7"/>
      <c r="I70" s="45"/>
      <c r="J70" s="44"/>
      <c r="S70" s="8"/>
      <c r="T70" s="10"/>
    </row>
    <row r="71" spans="3:20">
      <c r="C71" s="3"/>
      <c r="G71" s="48"/>
      <c r="H71" s="7"/>
      <c r="I71" s="45"/>
      <c r="J71" s="44"/>
      <c r="S71" s="8"/>
      <c r="T71" s="10"/>
    </row>
    <row r="72" spans="3:20">
      <c r="C72" s="3"/>
      <c r="G72" s="56"/>
      <c r="H72" s="7"/>
      <c r="I72" s="45"/>
      <c r="J72" s="44"/>
      <c r="S72" s="8"/>
      <c r="T72" s="10"/>
    </row>
    <row r="73" spans="3:20">
      <c r="C73" s="3"/>
      <c r="G73" s="48"/>
      <c r="H73" s="7"/>
      <c r="I73" s="45"/>
      <c r="J73" s="44"/>
      <c r="S73" s="8"/>
      <c r="T73" s="10"/>
    </row>
    <row r="74" spans="3:20">
      <c r="C74" s="3"/>
      <c r="G74" s="48"/>
      <c r="H74" s="7"/>
      <c r="I74" s="45"/>
      <c r="J74" s="44"/>
      <c r="S74" s="8"/>
      <c r="T74" s="10"/>
    </row>
    <row r="75" spans="3:20">
      <c r="C75" s="3"/>
      <c r="G75" s="48"/>
      <c r="H75" s="7"/>
      <c r="I75" s="45"/>
      <c r="J75" s="44"/>
      <c r="S75" s="8"/>
      <c r="T75" s="10"/>
    </row>
    <row r="76" spans="3:20">
      <c r="C76" s="3"/>
      <c r="G76" s="48"/>
      <c r="H76" s="7"/>
      <c r="I76" s="45"/>
      <c r="J76" s="44"/>
      <c r="S76" s="8"/>
      <c r="T76" s="10"/>
    </row>
    <row r="77" spans="3:20">
      <c r="C77" s="3"/>
      <c r="G77" s="56"/>
      <c r="H77" s="7"/>
      <c r="I77" s="45"/>
      <c r="J77" s="44"/>
      <c r="L77" s="16"/>
      <c r="S77" s="8"/>
      <c r="T77" s="10"/>
    </row>
    <row r="78" spans="3:20">
      <c r="C78" s="3"/>
      <c r="G78" s="48"/>
      <c r="H78" s="7"/>
      <c r="I78" s="45"/>
      <c r="J78" s="44"/>
      <c r="S78" s="8"/>
      <c r="T78" s="10"/>
    </row>
    <row r="79" spans="3:20">
      <c r="C79" s="3"/>
      <c r="G79" s="48"/>
      <c r="H79" s="7"/>
      <c r="I79" s="45"/>
      <c r="J79" s="44"/>
      <c r="S79" s="8"/>
      <c r="T79" s="10"/>
    </row>
    <row r="80" spans="3:20">
      <c r="C80" s="3"/>
      <c r="G80" s="56"/>
      <c r="H80" s="7"/>
      <c r="I80" s="45"/>
      <c r="J80" s="44"/>
      <c r="S80" s="8"/>
      <c r="T80" s="10"/>
    </row>
    <row r="81" spans="3:20">
      <c r="C81" s="3"/>
      <c r="G81" s="48"/>
      <c r="H81" s="7"/>
      <c r="I81" s="45"/>
      <c r="J81" s="44"/>
      <c r="S81" s="8"/>
      <c r="T81" s="10"/>
    </row>
    <row r="82" spans="3:20">
      <c r="C82" s="3"/>
      <c r="D82" s="1"/>
      <c r="G82" s="48"/>
      <c r="H82" s="7"/>
      <c r="I82" s="45"/>
      <c r="J82" s="44"/>
      <c r="S82" s="8"/>
      <c r="T82" s="10"/>
    </row>
    <row r="83" spans="3:20">
      <c r="C83" s="3"/>
      <c r="G83" s="48"/>
      <c r="H83" s="7"/>
      <c r="I83" s="45"/>
      <c r="J83" s="44"/>
      <c r="S83" s="8"/>
      <c r="T83" s="10"/>
    </row>
    <row r="84" spans="3:20">
      <c r="C84" s="3"/>
      <c r="G84" s="56"/>
      <c r="H84" s="7"/>
      <c r="I84" s="45"/>
      <c r="J84" s="44"/>
      <c r="S84" s="8"/>
      <c r="T84" s="10"/>
    </row>
    <row r="85" spans="3:20">
      <c r="C85" s="3"/>
      <c r="G85" s="48"/>
      <c r="H85" s="7"/>
      <c r="I85" s="45"/>
      <c r="J85" s="44"/>
      <c r="S85" s="8"/>
      <c r="T85" s="10"/>
    </row>
    <row r="86" spans="3:20">
      <c r="C86" s="3"/>
      <c r="G86" s="48"/>
      <c r="H86" s="7"/>
      <c r="I86" s="45"/>
      <c r="J86" s="44"/>
      <c r="S86" s="8"/>
      <c r="T86" s="10"/>
    </row>
    <row r="87" spans="3:20">
      <c r="C87" s="3"/>
      <c r="G87" s="48"/>
      <c r="H87" s="7"/>
      <c r="I87" s="45"/>
      <c r="J87" s="44"/>
      <c r="S87" s="8"/>
      <c r="T87" s="10"/>
    </row>
    <row r="88" spans="3:20">
      <c r="C88" s="3"/>
      <c r="G88" s="48"/>
      <c r="H88" s="7"/>
      <c r="I88" s="45"/>
      <c r="J88" s="44"/>
      <c r="S88" s="8"/>
      <c r="T88" s="10"/>
    </row>
    <row r="89" spans="3:20">
      <c r="C89" s="3"/>
      <c r="G89" s="48"/>
      <c r="H89" s="7"/>
      <c r="I89" s="45"/>
      <c r="J89" s="44"/>
      <c r="S89" s="8"/>
      <c r="T89" s="10"/>
    </row>
    <row r="90" spans="3:20">
      <c r="C90" s="3"/>
      <c r="G90" s="56"/>
      <c r="H90" s="7"/>
      <c r="I90" s="45"/>
      <c r="J90" s="44"/>
      <c r="S90" s="8"/>
      <c r="T90" s="10"/>
    </row>
    <row r="91" spans="3:20">
      <c r="C91" s="3"/>
      <c r="G91" s="48"/>
      <c r="H91" s="7"/>
      <c r="I91" s="45"/>
      <c r="J91" s="44"/>
      <c r="S91" s="8"/>
      <c r="T91" s="10"/>
    </row>
    <row r="92" spans="3:20">
      <c r="C92" s="3"/>
      <c r="G92" s="48"/>
      <c r="H92" s="7"/>
      <c r="I92" s="45"/>
      <c r="J92" s="44"/>
      <c r="S92" s="8"/>
      <c r="T92" s="10"/>
    </row>
    <row r="93" spans="3:20">
      <c r="C93" s="3"/>
      <c r="G93" s="56"/>
      <c r="H93" s="7"/>
      <c r="I93" s="45"/>
      <c r="J93" s="44"/>
      <c r="S93" s="8"/>
      <c r="T93" s="10"/>
    </row>
    <row r="94" spans="3:20">
      <c r="C94" s="3"/>
      <c r="G94" s="48"/>
      <c r="H94" s="7"/>
      <c r="I94" s="45"/>
      <c r="J94" s="44"/>
      <c r="S94" s="8"/>
      <c r="T94" s="10"/>
    </row>
    <row r="95" spans="3:20">
      <c r="C95" s="3"/>
      <c r="G95" s="48"/>
      <c r="H95" s="7"/>
      <c r="I95" s="45"/>
      <c r="J95" s="44"/>
      <c r="S95" s="8"/>
      <c r="T95" s="10"/>
    </row>
    <row r="96" spans="3:20">
      <c r="C96" s="3"/>
      <c r="G96" s="56"/>
      <c r="H96" s="7"/>
      <c r="I96" s="45"/>
      <c r="J96" s="44"/>
      <c r="S96" s="8"/>
      <c r="T96" s="10"/>
    </row>
    <row r="97" spans="3:20">
      <c r="C97" s="3"/>
      <c r="G97" s="56"/>
      <c r="H97" s="7"/>
      <c r="I97" s="45"/>
      <c r="J97" s="44"/>
      <c r="S97" s="8"/>
      <c r="T97" s="10"/>
    </row>
    <row r="98" spans="3:20">
      <c r="C98" s="3"/>
      <c r="G98" s="48"/>
      <c r="H98" s="7"/>
      <c r="I98" s="45"/>
      <c r="J98" s="44"/>
      <c r="S98" s="8"/>
      <c r="T98" s="10"/>
    </row>
    <row r="99" spans="3:20">
      <c r="C99" s="3"/>
      <c r="G99" s="56"/>
      <c r="H99" s="7"/>
      <c r="I99" s="45"/>
      <c r="J99" s="44"/>
      <c r="S99" s="8"/>
      <c r="T99" s="10"/>
    </row>
    <row r="100" spans="3:20">
      <c r="C100" s="3"/>
      <c r="G100" s="48"/>
      <c r="H100" s="7"/>
      <c r="I100" s="45"/>
      <c r="J100" s="44"/>
      <c r="S100" s="8"/>
      <c r="T100" s="10"/>
    </row>
    <row r="101" spans="3:20">
      <c r="C101" s="3"/>
      <c r="G101" s="56"/>
      <c r="H101" s="7"/>
      <c r="I101" s="45"/>
      <c r="J101" s="44"/>
      <c r="S101" s="8"/>
      <c r="T101" s="10"/>
    </row>
    <row r="102" spans="3:20">
      <c r="C102" s="3"/>
      <c r="G102" s="48"/>
      <c r="H102" s="7"/>
      <c r="I102" s="45"/>
      <c r="J102" s="44"/>
      <c r="S102" s="8"/>
      <c r="T102" s="10"/>
    </row>
    <row r="103" spans="3:20">
      <c r="C103" s="3"/>
      <c r="G103" s="56"/>
      <c r="H103" s="7"/>
      <c r="I103" s="45"/>
      <c r="J103" s="44"/>
      <c r="S103" s="8"/>
      <c r="T103" s="10"/>
    </row>
    <row r="104" spans="3:20">
      <c r="C104" s="3"/>
      <c r="G104" s="48"/>
      <c r="H104" s="7"/>
      <c r="I104" s="45"/>
      <c r="J104" s="44"/>
      <c r="S104" s="8"/>
      <c r="T104" s="10"/>
    </row>
    <row r="105" spans="3:20">
      <c r="C105" s="3"/>
      <c r="G105" s="48"/>
      <c r="H105" s="7"/>
      <c r="I105" s="45"/>
      <c r="J105" s="44"/>
      <c r="S105" s="8"/>
      <c r="T105" s="10"/>
    </row>
    <row r="106" spans="3:20">
      <c r="C106" s="3"/>
      <c r="G106" s="46"/>
      <c r="H106" s="7"/>
      <c r="I106" s="45"/>
      <c r="J106" s="44"/>
      <c r="S106" s="8"/>
      <c r="T106" s="10"/>
    </row>
    <row r="107" spans="3:20">
      <c r="C107" s="3"/>
      <c r="G107" s="48"/>
      <c r="H107" s="7"/>
      <c r="I107" s="45"/>
      <c r="J107" s="44"/>
      <c r="S107" s="8"/>
      <c r="T107" s="10"/>
    </row>
    <row r="108" spans="3:20">
      <c r="C108" s="3"/>
      <c r="G108" s="56"/>
      <c r="H108" s="7"/>
      <c r="I108" s="45"/>
      <c r="J108" s="44"/>
      <c r="S108" s="8"/>
      <c r="T108" s="10"/>
    </row>
    <row r="109" spans="3:20">
      <c r="C109" s="3"/>
      <c r="G109" s="48"/>
      <c r="H109" s="7"/>
      <c r="I109" s="45"/>
      <c r="J109" s="44"/>
      <c r="S109" s="8"/>
      <c r="T109" s="10"/>
    </row>
    <row r="110" spans="3:20">
      <c r="C110" s="3"/>
      <c r="G110" s="56"/>
      <c r="H110" s="7"/>
      <c r="I110" s="45"/>
      <c r="J110" s="44"/>
      <c r="S110" s="8"/>
      <c r="T110" s="10"/>
    </row>
    <row r="111" spans="3:20">
      <c r="C111" s="3"/>
      <c r="G111" s="48"/>
      <c r="H111" s="7"/>
      <c r="I111" s="45"/>
      <c r="J111" s="44"/>
      <c r="S111" s="8"/>
      <c r="T111" s="10"/>
    </row>
    <row r="112" spans="3:20">
      <c r="C112" s="3"/>
      <c r="G112" s="48"/>
      <c r="H112" s="7"/>
      <c r="I112" s="45"/>
      <c r="J112" s="44"/>
      <c r="S112" s="8"/>
      <c r="T112" s="10"/>
    </row>
    <row r="113" spans="3:20">
      <c r="C113" s="3"/>
      <c r="G113" s="48"/>
      <c r="H113" s="7"/>
      <c r="I113" s="45"/>
      <c r="J113" s="44"/>
      <c r="S113" s="8"/>
      <c r="T113" s="10"/>
    </row>
    <row r="114" spans="3:20">
      <c r="C114" s="3"/>
      <c r="G114" s="48"/>
      <c r="H114" s="7"/>
      <c r="I114" s="45"/>
      <c r="J114" s="44"/>
      <c r="S114" s="8"/>
      <c r="T114" s="10"/>
    </row>
    <row r="115" spans="3:20">
      <c r="C115" s="3"/>
      <c r="G115" s="48"/>
      <c r="H115" s="7"/>
      <c r="I115" s="45"/>
      <c r="J115" s="44"/>
      <c r="S115" s="8"/>
      <c r="T115" s="10"/>
    </row>
    <row r="116" spans="3:20">
      <c r="C116" s="3"/>
      <c r="G116" s="56"/>
      <c r="H116" s="7"/>
      <c r="I116" s="45"/>
      <c r="J116" s="44"/>
      <c r="S116" s="8"/>
      <c r="T116" s="10"/>
    </row>
    <row r="117" spans="3:20">
      <c r="C117" s="3"/>
      <c r="G117" s="56"/>
      <c r="H117" s="7"/>
      <c r="I117" s="45"/>
      <c r="J117" s="44"/>
      <c r="S117" s="8"/>
    </row>
    <row r="118" spans="3:20">
      <c r="C118" s="3"/>
      <c r="G118" s="56"/>
      <c r="H118" s="7"/>
      <c r="I118" s="45"/>
      <c r="J118" s="44"/>
      <c r="S118" s="8"/>
    </row>
    <row r="119" spans="3:20">
      <c r="C119" s="3"/>
      <c r="G119" s="48"/>
      <c r="H119" s="7"/>
      <c r="I119" s="45"/>
      <c r="J119" s="44"/>
      <c r="S119" s="8"/>
    </row>
    <row r="120" spans="3:20">
      <c r="C120" s="3"/>
      <c r="G120" s="46"/>
      <c r="H120" s="7"/>
      <c r="I120" s="45"/>
      <c r="J120" s="44"/>
      <c r="S120" s="8"/>
    </row>
    <row r="121" spans="3:20">
      <c r="C121" s="3"/>
      <c r="G121" s="56"/>
      <c r="H121" s="7"/>
      <c r="I121" s="45"/>
      <c r="J121" s="44"/>
      <c r="S121" s="8"/>
    </row>
    <row r="122" spans="3:20">
      <c r="C122" s="3"/>
      <c r="G122" s="48"/>
      <c r="H122" s="7"/>
      <c r="I122" s="45"/>
      <c r="J122" s="44"/>
      <c r="S122" s="8"/>
    </row>
    <row r="123" spans="3:20">
      <c r="C123" s="3"/>
      <c r="G123" s="56"/>
      <c r="H123" s="7"/>
      <c r="I123" s="45"/>
      <c r="J123" s="44"/>
      <c r="S123" s="8"/>
    </row>
    <row r="124" spans="3:20">
      <c r="C124" s="3"/>
      <c r="G124" s="46"/>
      <c r="H124" s="7"/>
      <c r="I124" s="45"/>
      <c r="J124" s="44"/>
      <c r="S124" s="8"/>
    </row>
    <row r="125" spans="3:20">
      <c r="C125" s="3"/>
      <c r="G125" s="56"/>
      <c r="H125" s="7"/>
      <c r="I125" s="45"/>
      <c r="J125" s="44"/>
      <c r="S125" s="8"/>
    </row>
    <row r="126" spans="3:20">
      <c r="C126" s="3"/>
      <c r="G126" s="48"/>
      <c r="H126" s="7"/>
      <c r="I126" s="45"/>
      <c r="J126" s="44"/>
      <c r="S126" s="8"/>
    </row>
    <row r="127" spans="3:20">
      <c r="C127" s="3"/>
      <c r="G127" s="48"/>
      <c r="H127" s="7"/>
      <c r="I127" s="45"/>
      <c r="J127" s="44"/>
      <c r="S127" s="8"/>
    </row>
    <row r="128" spans="3:20">
      <c r="C128" s="3"/>
      <c r="G128" s="46"/>
      <c r="H128" s="7"/>
      <c r="I128" s="45"/>
      <c r="J128" s="44"/>
      <c r="S128" s="8"/>
    </row>
    <row r="129" spans="3:19">
      <c r="C129" s="3"/>
      <c r="G129" s="56"/>
      <c r="H129" s="7"/>
      <c r="I129" s="45"/>
      <c r="J129" s="44"/>
      <c r="S129" s="8"/>
    </row>
    <row r="130" spans="3:19">
      <c r="C130" s="3"/>
      <c r="G130" s="48"/>
      <c r="H130" s="7"/>
      <c r="I130" s="45"/>
      <c r="J130" s="44"/>
      <c r="S130" s="8"/>
    </row>
    <row r="131" spans="3:19">
      <c r="C131" s="3"/>
      <c r="G131" s="48"/>
      <c r="H131" s="7"/>
      <c r="I131" s="45"/>
      <c r="J131" s="44"/>
      <c r="S131" s="8"/>
    </row>
    <row r="132" spans="3:19">
      <c r="C132" s="3"/>
      <c r="G132" s="56"/>
      <c r="H132" s="7"/>
      <c r="I132" s="45"/>
      <c r="J132" s="44"/>
      <c r="S132" s="8"/>
    </row>
    <row r="133" spans="3:19">
      <c r="C133" s="3"/>
      <c r="G133" s="56"/>
      <c r="H133" s="7"/>
      <c r="I133" s="45"/>
      <c r="J133" s="44"/>
      <c r="S133" s="8"/>
    </row>
    <row r="134" spans="3:19">
      <c r="C134" s="3"/>
      <c r="G134" s="56"/>
      <c r="H134" s="7"/>
      <c r="I134" s="45"/>
      <c r="J134" s="44"/>
      <c r="S134" s="8"/>
    </row>
    <row r="135" spans="3:19">
      <c r="C135" s="3"/>
      <c r="G135" s="48"/>
      <c r="H135" s="7"/>
      <c r="I135" s="45"/>
      <c r="J135" s="44"/>
      <c r="S135" s="8"/>
    </row>
    <row r="136" spans="3:19">
      <c r="C136" s="3"/>
      <c r="G136" s="48"/>
      <c r="H136" s="7"/>
      <c r="I136" s="45"/>
      <c r="J136" s="44"/>
      <c r="S136" s="8"/>
    </row>
    <row r="137" spans="3:19">
      <c r="C137" s="3"/>
      <c r="G137" s="48"/>
      <c r="H137" s="7"/>
      <c r="I137" s="45"/>
      <c r="J137" s="44"/>
      <c r="S137" s="8"/>
    </row>
    <row r="138" spans="3:19">
      <c r="C138" s="3"/>
      <c r="G138" s="56"/>
      <c r="H138" s="7"/>
      <c r="I138" s="45"/>
      <c r="J138" s="44"/>
      <c r="S138" s="8"/>
    </row>
    <row r="139" spans="3:19">
      <c r="C139" s="3"/>
      <c r="G139" s="48"/>
      <c r="H139" s="7"/>
      <c r="I139" s="45"/>
      <c r="J139" s="44"/>
      <c r="S139" s="8"/>
    </row>
    <row r="140" spans="3:19">
      <c r="C140" s="3"/>
      <c r="G140" s="56"/>
      <c r="H140" s="7"/>
      <c r="I140" s="45"/>
      <c r="J140" s="44"/>
      <c r="S140" s="8"/>
    </row>
    <row r="141" spans="3:19">
      <c r="C141" s="3"/>
      <c r="G141" s="48"/>
      <c r="H141" s="7"/>
      <c r="I141" s="45"/>
      <c r="J141" s="44"/>
      <c r="S141" s="8"/>
    </row>
    <row r="142" spans="3:19">
      <c r="C142" s="3"/>
      <c r="G142" s="48"/>
      <c r="H142" s="7"/>
      <c r="I142" s="45"/>
      <c r="J142" s="44"/>
      <c r="S142" s="8"/>
    </row>
    <row r="143" spans="3:19">
      <c r="C143" s="3"/>
      <c r="G143" s="56"/>
      <c r="H143" s="7"/>
      <c r="I143" s="45"/>
      <c r="J143" s="44"/>
      <c r="S143" s="8"/>
    </row>
    <row r="144" spans="3:19">
      <c r="C144" s="3"/>
      <c r="D144" s="1"/>
      <c r="G144" s="56"/>
      <c r="H144" s="7"/>
      <c r="I144" s="45"/>
      <c r="J144" s="44"/>
      <c r="S144" s="8"/>
    </row>
    <row r="145" spans="3:19">
      <c r="C145" s="3"/>
      <c r="G145" s="56"/>
      <c r="H145" s="7"/>
      <c r="I145" s="45"/>
      <c r="J145" s="44"/>
      <c r="S145" s="8"/>
    </row>
    <row r="146" spans="3:19">
      <c r="C146" s="3"/>
      <c r="G146" s="56"/>
      <c r="H146" s="7"/>
      <c r="I146" s="45"/>
      <c r="J146" s="44"/>
      <c r="S146" s="8"/>
    </row>
    <row r="147" spans="3:19">
      <c r="C147" s="3"/>
      <c r="G147" s="48"/>
      <c r="H147" s="7"/>
      <c r="I147" s="45"/>
      <c r="J147" s="44"/>
      <c r="S147" s="8"/>
    </row>
    <row r="148" spans="3:19">
      <c r="C148" s="3"/>
      <c r="G148" s="48"/>
      <c r="H148" s="7"/>
      <c r="I148" s="45"/>
      <c r="J148" s="44"/>
      <c r="S148" s="8"/>
    </row>
    <row r="149" spans="3:19">
      <c r="C149" s="3"/>
      <c r="G149" s="48"/>
      <c r="H149" s="7"/>
      <c r="I149" s="45"/>
      <c r="J149" s="44"/>
      <c r="S149" s="8"/>
    </row>
    <row r="150" spans="3:19">
      <c r="C150" s="3"/>
      <c r="G150" s="56"/>
      <c r="H150" s="7"/>
      <c r="I150" s="45"/>
      <c r="J150" s="44"/>
      <c r="S150" s="8"/>
    </row>
    <row r="151" spans="3:19">
      <c r="C151" s="3"/>
      <c r="G151" s="56"/>
      <c r="H151" s="7"/>
      <c r="I151" s="45"/>
      <c r="J151" s="44"/>
      <c r="S151" s="8"/>
    </row>
    <row r="152" spans="3:19">
      <c r="C152" s="3"/>
      <c r="G152" s="56"/>
      <c r="H152" s="7"/>
      <c r="I152" s="45"/>
      <c r="J152" s="44"/>
      <c r="S152" s="8"/>
    </row>
    <row r="153" spans="3:19">
      <c r="C153" s="3"/>
      <c r="G153" s="56"/>
      <c r="H153" s="7"/>
      <c r="I153" s="45"/>
      <c r="J153" s="44"/>
      <c r="S153" s="8"/>
    </row>
    <row r="154" spans="3:19">
      <c r="C154" s="3"/>
      <c r="G154" s="56"/>
      <c r="H154" s="7"/>
      <c r="I154" s="45"/>
      <c r="J154" s="44"/>
      <c r="S154" s="8"/>
    </row>
    <row r="155" spans="3:19">
      <c r="C155" s="3"/>
      <c r="G155" s="46"/>
      <c r="H155" s="7"/>
      <c r="I155" s="45"/>
      <c r="J155" s="44"/>
    </row>
    <row r="156" spans="3:19">
      <c r="C156" s="3"/>
      <c r="G156" s="56"/>
      <c r="H156" s="7"/>
      <c r="I156" s="45"/>
      <c r="J156" s="44"/>
    </row>
    <row r="157" spans="3:19">
      <c r="C157" s="3"/>
      <c r="G157" s="48"/>
      <c r="H157" s="7"/>
      <c r="I157" s="45"/>
      <c r="J157" s="44"/>
    </row>
    <row r="158" spans="3:19">
      <c r="C158" s="3"/>
      <c r="G158" s="56"/>
      <c r="H158" s="7"/>
      <c r="I158" s="45"/>
      <c r="J158" s="44"/>
    </row>
    <row r="159" spans="3:19">
      <c r="C159" s="3"/>
      <c r="G159" s="56"/>
      <c r="H159" s="7"/>
      <c r="I159" s="45"/>
      <c r="J159" s="44"/>
    </row>
    <row r="160" spans="3:19">
      <c r="C160" s="3"/>
      <c r="G160" s="48"/>
      <c r="H160" s="7"/>
      <c r="I160" s="45"/>
      <c r="J160" s="44"/>
    </row>
    <row r="161" spans="3:10">
      <c r="C161" s="3"/>
      <c r="G161" s="48"/>
      <c r="H161" s="7"/>
      <c r="I161" s="45"/>
      <c r="J161" s="44"/>
    </row>
    <row r="162" spans="3:10">
      <c r="C162" s="3"/>
      <c r="G162" s="48"/>
      <c r="H162" s="7"/>
      <c r="I162" s="45"/>
      <c r="J162" s="44"/>
    </row>
    <row r="163" spans="3:10">
      <c r="C163" s="3"/>
      <c r="G163" s="48"/>
      <c r="H163" s="7"/>
      <c r="I163" s="45"/>
      <c r="J163" s="44"/>
    </row>
    <row r="164" spans="3:10">
      <c r="C164" s="3"/>
      <c r="G164" s="56"/>
      <c r="H164" s="7"/>
      <c r="I164" s="45"/>
      <c r="J164" s="44"/>
    </row>
    <row r="165" spans="3:10">
      <c r="C165" s="3"/>
      <c r="G165" s="56"/>
      <c r="H165" s="7"/>
      <c r="I165" s="45"/>
      <c r="J165" s="44"/>
    </row>
    <row r="166" spans="3:10">
      <c r="C166" s="3"/>
      <c r="G166" s="56"/>
      <c r="H166" s="7"/>
      <c r="I166" s="45"/>
      <c r="J166" s="44"/>
    </row>
    <row r="167" spans="3:10">
      <c r="C167" s="3"/>
      <c r="G167" s="48"/>
      <c r="H167" s="7"/>
      <c r="I167" s="45"/>
      <c r="J167" s="44"/>
    </row>
    <row r="168" spans="3:10">
      <c r="C168" s="3"/>
      <c r="G168" s="56"/>
      <c r="H168" s="7"/>
      <c r="I168" s="45"/>
      <c r="J168" s="44"/>
    </row>
    <row r="169" spans="3:10">
      <c r="C169" s="3"/>
      <c r="G169" s="56"/>
      <c r="H169" s="7"/>
      <c r="I169" s="45"/>
      <c r="J169" s="44"/>
    </row>
    <row r="170" spans="3:10">
      <c r="C170" s="3"/>
      <c r="G170" s="48"/>
      <c r="H170" s="7"/>
      <c r="I170" s="45"/>
      <c r="J170" s="44"/>
    </row>
    <row r="171" spans="3:10">
      <c r="C171" s="3"/>
      <c r="G171" s="56"/>
      <c r="H171" s="7"/>
      <c r="I171" s="45"/>
      <c r="J171" s="44"/>
    </row>
    <row r="172" spans="3:10">
      <c r="C172" s="3"/>
      <c r="G172" s="46"/>
      <c r="H172" s="7"/>
      <c r="I172" s="45"/>
      <c r="J172" s="44"/>
    </row>
    <row r="173" spans="3:10">
      <c r="C173" s="3"/>
      <c r="G173" s="48"/>
      <c r="H173" s="7"/>
      <c r="I173" s="45"/>
      <c r="J173" s="44"/>
    </row>
    <row r="174" spans="3:10">
      <c r="C174" s="3"/>
      <c r="G174" s="56"/>
      <c r="H174" s="7"/>
      <c r="I174" s="45"/>
      <c r="J174" s="44"/>
    </row>
    <row r="175" spans="3:10">
      <c r="C175" s="3"/>
      <c r="G175" s="56"/>
      <c r="H175" s="7"/>
      <c r="I175" s="45"/>
      <c r="J175" s="44"/>
    </row>
    <row r="176" spans="3:10">
      <c r="C176" s="3"/>
      <c r="G176" s="48"/>
      <c r="H176" s="7"/>
      <c r="I176" s="45"/>
      <c r="J176" s="44"/>
    </row>
    <row r="177" spans="3:10">
      <c r="C177" s="3"/>
      <c r="G177" s="56"/>
      <c r="H177" s="7"/>
      <c r="I177" s="45"/>
      <c r="J177" s="44"/>
    </row>
    <row r="178" spans="3:10">
      <c r="C178" s="3"/>
      <c r="G178" s="56"/>
      <c r="H178" s="7"/>
      <c r="I178" s="45"/>
      <c r="J178" s="44"/>
    </row>
    <row r="179" spans="3:10">
      <c r="C179" s="3"/>
      <c r="G179" s="56"/>
      <c r="H179" s="7"/>
      <c r="I179" s="45"/>
      <c r="J179" s="44"/>
    </row>
    <row r="180" spans="3:10">
      <c r="C180" s="3"/>
      <c r="G180" s="56"/>
      <c r="H180" s="7"/>
      <c r="I180" s="45"/>
      <c r="J180" s="44"/>
    </row>
    <row r="181" spans="3:10">
      <c r="C181" s="3"/>
      <c r="G181" s="48"/>
      <c r="H181" s="7"/>
      <c r="I181" s="45"/>
      <c r="J181" s="44"/>
    </row>
    <row r="182" spans="3:10">
      <c r="C182" s="3"/>
      <c r="G182" s="56"/>
      <c r="H182" s="7"/>
      <c r="I182" s="45"/>
      <c r="J182" s="44"/>
    </row>
    <row r="183" spans="3:10">
      <c r="C183" s="3"/>
      <c r="G183" s="46"/>
      <c r="H183" s="7"/>
      <c r="I183" s="45"/>
      <c r="J183" s="44"/>
    </row>
    <row r="184" spans="3:10">
      <c r="C184" s="3"/>
      <c r="G184" s="48"/>
      <c r="H184" s="7"/>
      <c r="I184" s="45"/>
      <c r="J184" s="44"/>
    </row>
    <row r="185" spans="3:10">
      <c r="C185" s="3"/>
      <c r="G185" s="48"/>
      <c r="H185" s="7"/>
      <c r="I185" s="45"/>
      <c r="J185" s="44"/>
    </row>
    <row r="186" spans="3:10">
      <c r="C186" s="3"/>
      <c r="G186" s="56"/>
      <c r="H186" s="7"/>
      <c r="I186" s="45"/>
      <c r="J186" s="44"/>
    </row>
    <row r="187" spans="3:10">
      <c r="C187" s="3"/>
      <c r="G187" s="46"/>
      <c r="H187" s="7"/>
      <c r="I187" s="45"/>
      <c r="J187" s="44"/>
    </row>
    <row r="188" spans="3:10">
      <c r="C188" s="3"/>
      <c r="G188" s="56"/>
      <c r="H188" s="7"/>
      <c r="I188" s="45"/>
      <c r="J188" s="44"/>
    </row>
    <row r="189" spans="3:10">
      <c r="C189" s="3"/>
      <c r="G189" s="48"/>
      <c r="H189" s="7"/>
      <c r="I189" s="45"/>
      <c r="J189" s="44"/>
    </row>
    <row r="190" spans="3:10">
      <c r="C190" s="3"/>
      <c r="G190" s="56"/>
      <c r="H190" s="7"/>
      <c r="I190" s="45"/>
      <c r="J190" s="44"/>
    </row>
    <row r="191" spans="3:10">
      <c r="C191" s="3"/>
      <c r="G191" s="46"/>
      <c r="H191" s="7"/>
      <c r="I191" s="45"/>
      <c r="J191" s="44"/>
    </row>
    <row r="192" spans="3:10">
      <c r="C192" s="3"/>
      <c r="G192" s="48"/>
      <c r="H192" s="7"/>
      <c r="I192" s="45"/>
      <c r="J192" s="44"/>
    </row>
    <row r="193" spans="3:10">
      <c r="C193" s="3"/>
      <c r="G193" s="56"/>
      <c r="H193" s="7"/>
      <c r="I193" s="45"/>
      <c r="J193" s="44"/>
    </row>
    <row r="194" spans="3:10">
      <c r="C194" s="3"/>
      <c r="G194" s="46"/>
      <c r="H194" s="7"/>
      <c r="I194" s="45"/>
      <c r="J194" s="44"/>
    </row>
    <row r="195" spans="3:10">
      <c r="C195" s="3"/>
      <c r="G195" s="56"/>
      <c r="H195" s="7"/>
      <c r="I195" s="45"/>
      <c r="J195" s="44"/>
    </row>
    <row r="196" spans="3:10">
      <c r="C196" s="3"/>
      <c r="G196" s="56"/>
      <c r="H196" s="7"/>
      <c r="I196" s="45"/>
      <c r="J196" s="44"/>
    </row>
    <row r="197" spans="3:10">
      <c r="C197" s="3"/>
      <c r="G197" s="56"/>
      <c r="H197" s="7"/>
      <c r="I197" s="45"/>
      <c r="J197" s="44"/>
    </row>
    <row r="198" spans="3:10">
      <c r="C198" s="3"/>
      <c r="G198" s="48"/>
      <c r="H198" s="7"/>
      <c r="I198" s="45"/>
      <c r="J198" s="44"/>
    </row>
    <row r="199" spans="3:10">
      <c r="C199" s="3"/>
      <c r="G199" s="48"/>
      <c r="H199" s="7"/>
      <c r="I199" s="45"/>
      <c r="J199" s="44"/>
    </row>
    <row r="200" spans="3:10">
      <c r="C200" s="3"/>
      <c r="G200" s="56"/>
      <c r="H200" s="7"/>
      <c r="I200" s="45"/>
      <c r="J200" s="44"/>
    </row>
    <row r="201" spans="3:10">
      <c r="C201" s="3"/>
      <c r="G201" s="48"/>
      <c r="H201" s="7"/>
      <c r="I201" s="45"/>
      <c r="J201" s="44"/>
    </row>
    <row r="202" spans="3:10">
      <c r="G202" s="48"/>
      <c r="H202" s="7"/>
      <c r="I202" s="45"/>
      <c r="J202" s="44"/>
    </row>
    <row r="203" spans="3:10">
      <c r="G203" s="56"/>
      <c r="H203" s="7"/>
      <c r="I203" s="45"/>
      <c r="J203" s="44"/>
    </row>
    <row r="204" spans="3:10">
      <c r="G204" s="48"/>
      <c r="H204" s="7"/>
      <c r="I204" s="45"/>
      <c r="J204" s="44"/>
    </row>
    <row r="205" spans="3:10">
      <c r="G205" s="8"/>
      <c r="H205" s="7"/>
      <c r="I205" s="3"/>
    </row>
    <row r="206" spans="3:10">
      <c r="G206" s="8"/>
      <c r="H206" s="7"/>
      <c r="I206" s="3"/>
    </row>
    <row r="207" spans="3:10">
      <c r="G207" s="8"/>
      <c r="H207" s="7"/>
      <c r="I207" s="3"/>
    </row>
    <row r="208" spans="3:10">
      <c r="G208" s="8"/>
      <c r="H208" s="7"/>
      <c r="I208" s="3"/>
    </row>
    <row r="209" spans="7:9">
      <c r="G209" s="8"/>
      <c r="H209" s="7"/>
      <c r="I209" s="3"/>
    </row>
    <row r="210" spans="7:9">
      <c r="G210" s="8"/>
      <c r="H210" s="7"/>
      <c r="I210" s="3"/>
    </row>
    <row r="211" spans="7:9">
      <c r="G211" s="8"/>
      <c r="H211" s="7"/>
      <c r="I211" s="3"/>
    </row>
    <row r="212" spans="7:9">
      <c r="G212" s="8"/>
      <c r="H212" s="7"/>
      <c r="I212" s="3"/>
    </row>
    <row r="213" spans="7:9">
      <c r="G213" s="8"/>
      <c r="H213" s="7"/>
      <c r="I213" s="3"/>
    </row>
    <row r="214" spans="7:9">
      <c r="G214" s="8"/>
      <c r="H214" s="7"/>
      <c r="I214" s="3"/>
    </row>
    <row r="215" spans="7:9">
      <c r="G215" s="8"/>
      <c r="H215" s="7"/>
      <c r="I215" s="3"/>
    </row>
    <row r="216" spans="7:9">
      <c r="G216" s="8"/>
      <c r="H216" s="7"/>
      <c r="I216" s="3"/>
    </row>
    <row r="217" spans="7:9">
      <c r="G217" s="8"/>
      <c r="H217" s="7"/>
      <c r="I217" s="3"/>
    </row>
    <row r="218" spans="7:9">
      <c r="G218" s="8"/>
      <c r="H218" s="7"/>
      <c r="I218" s="3"/>
    </row>
    <row r="219" spans="7:9">
      <c r="G219" s="8"/>
      <c r="H219" s="7"/>
      <c r="I219" s="3"/>
    </row>
    <row r="220" spans="7:9">
      <c r="G220" s="8"/>
      <c r="H220" s="7"/>
      <c r="I220" s="3"/>
    </row>
    <row r="221" spans="7:9">
      <c r="G221" s="8"/>
      <c r="H221" s="7"/>
      <c r="I221" s="3"/>
    </row>
    <row r="222" spans="7:9">
      <c r="G222" s="8"/>
      <c r="H222" s="7"/>
      <c r="I222" s="3"/>
    </row>
    <row r="223" spans="7:9">
      <c r="G223" s="8"/>
      <c r="H223" s="7"/>
      <c r="I223" s="3"/>
    </row>
    <row r="224" spans="7:9">
      <c r="G224" s="8"/>
      <c r="H224" s="7"/>
      <c r="I224" s="3"/>
    </row>
    <row r="225" spans="7:9">
      <c r="G225" s="8"/>
      <c r="H225" s="7"/>
      <c r="I225" s="3"/>
    </row>
    <row r="226" spans="7:9">
      <c r="G226" s="8"/>
      <c r="H226" s="7"/>
      <c r="I226" s="3"/>
    </row>
    <row r="227" spans="7:9">
      <c r="G227" s="8"/>
      <c r="H227" s="7"/>
      <c r="I227" s="3"/>
    </row>
    <row r="228" spans="7:9">
      <c r="G228" s="8"/>
      <c r="H228" s="7"/>
      <c r="I228" s="3"/>
    </row>
    <row r="229" spans="7:9">
      <c r="G229" s="8"/>
      <c r="H229" s="7"/>
      <c r="I229" s="3"/>
    </row>
    <row r="230" spans="7:9">
      <c r="G230" s="8"/>
      <c r="H230" s="7"/>
      <c r="I230" s="3"/>
    </row>
    <row r="231" spans="7:9">
      <c r="G231" s="8"/>
      <c r="H231" s="7"/>
      <c r="I231" s="3"/>
    </row>
    <row r="232" spans="7:9">
      <c r="G232" s="8"/>
      <c r="H232" s="7"/>
      <c r="I232" s="3"/>
    </row>
    <row r="233" spans="7:9">
      <c r="G233" s="8"/>
      <c r="H233" s="7"/>
      <c r="I233" s="3"/>
    </row>
    <row r="234" spans="7:9">
      <c r="G234" s="8"/>
      <c r="H234" s="7"/>
      <c r="I234" s="3"/>
    </row>
    <row r="235" spans="7:9">
      <c r="G235" s="8"/>
      <c r="H235" s="7"/>
      <c r="I235" s="3"/>
    </row>
    <row r="236" spans="7:9">
      <c r="G236" s="8"/>
      <c r="H236" s="7"/>
      <c r="I236" s="3"/>
    </row>
    <row r="237" spans="7:9">
      <c r="G237" s="8"/>
      <c r="H237" s="7"/>
      <c r="I237" s="3"/>
    </row>
    <row r="238" spans="7:9">
      <c r="G238" s="8"/>
      <c r="H238" s="7"/>
      <c r="I238" s="3"/>
    </row>
    <row r="239" spans="7:9">
      <c r="G239" s="8"/>
      <c r="H239" s="7"/>
      <c r="I239" s="3"/>
    </row>
    <row r="240" spans="7:9">
      <c r="G240" s="8"/>
      <c r="H240" s="7"/>
      <c r="I240" s="3"/>
    </row>
    <row r="241" spans="7:9">
      <c r="G241" s="8"/>
      <c r="H241" s="7"/>
      <c r="I241" s="3"/>
    </row>
    <row r="242" spans="7:9">
      <c r="G242" s="8"/>
      <c r="H242" s="7"/>
      <c r="I242" s="3"/>
    </row>
    <row r="243" spans="7:9">
      <c r="G243" s="8"/>
      <c r="H243" s="7"/>
      <c r="I243" s="3"/>
    </row>
    <row r="244" spans="7:9">
      <c r="G244" s="8"/>
      <c r="H244" s="7"/>
      <c r="I244" s="3"/>
    </row>
    <row r="245" spans="7:9">
      <c r="G245" s="8"/>
      <c r="H245" s="7"/>
      <c r="I245" s="3"/>
    </row>
    <row r="246" spans="7:9">
      <c r="G246" s="8"/>
      <c r="H246" s="7"/>
      <c r="I246" s="3"/>
    </row>
    <row r="247" spans="7:9">
      <c r="G247" s="8"/>
      <c r="H247" s="7"/>
      <c r="I247" s="3"/>
    </row>
    <row r="248" spans="7:9">
      <c r="G248" s="8"/>
      <c r="H248" s="7"/>
      <c r="I248" s="3"/>
    </row>
    <row r="249" spans="7:9">
      <c r="G249" s="8"/>
      <c r="H249" s="7"/>
      <c r="I249" s="3"/>
    </row>
    <row r="250" spans="7:9">
      <c r="G250" s="8"/>
      <c r="H250" s="7"/>
      <c r="I250" s="3"/>
    </row>
    <row r="251" spans="7:9">
      <c r="G251" s="8"/>
      <c r="H251" s="7"/>
      <c r="I251" s="3"/>
    </row>
    <row r="252" spans="7:9">
      <c r="G252" s="8"/>
      <c r="H252" s="7"/>
      <c r="I252" s="3"/>
    </row>
    <row r="253" spans="7:9">
      <c r="G253" s="8"/>
      <c r="H253" s="7"/>
      <c r="I253" s="3"/>
    </row>
    <row r="254" spans="7:9">
      <c r="G254" s="8"/>
      <c r="H254" s="7"/>
      <c r="I254" s="3"/>
    </row>
    <row r="255" spans="7:9">
      <c r="G255" s="8"/>
      <c r="H255" s="7"/>
      <c r="I255" s="3"/>
    </row>
    <row r="256" spans="7:9">
      <c r="G256" s="8"/>
      <c r="H256" s="7"/>
      <c r="I256" s="3"/>
    </row>
    <row r="257" spans="7:12">
      <c r="G257" s="8"/>
      <c r="H257" s="7"/>
      <c r="I257" s="3"/>
    </row>
    <row r="258" spans="7:12">
      <c r="G258" s="8"/>
      <c r="H258" s="7"/>
      <c r="I258" s="3"/>
    </row>
    <row r="259" spans="7:12">
      <c r="G259" s="8"/>
      <c r="H259" s="7"/>
      <c r="I259" s="3"/>
    </row>
    <row r="260" spans="7:12">
      <c r="G260" s="8"/>
      <c r="H260" s="7"/>
      <c r="I260" s="3"/>
    </row>
    <row r="261" spans="7:12">
      <c r="G261" s="8"/>
      <c r="H261" s="7"/>
      <c r="I261" s="3"/>
    </row>
    <row r="262" spans="7:12">
      <c r="G262" s="8"/>
      <c r="H262" s="7"/>
      <c r="I262" s="3"/>
    </row>
    <row r="263" spans="7:12">
      <c r="G263" s="8"/>
      <c r="H263" s="7"/>
      <c r="I263" s="3"/>
    </row>
    <row r="264" spans="7:12">
      <c r="G264" s="8"/>
      <c r="H264" s="7"/>
      <c r="I264" s="3"/>
    </row>
    <row r="265" spans="7:12">
      <c r="G265" s="8"/>
      <c r="H265" s="7"/>
      <c r="I265" s="3"/>
    </row>
    <row r="266" spans="7:12">
      <c r="G266" s="8"/>
      <c r="H266" s="7"/>
      <c r="I266" s="3"/>
    </row>
    <row r="267" spans="7:12">
      <c r="G267" s="8"/>
      <c r="H267" s="7"/>
      <c r="I267" s="3"/>
    </row>
    <row r="268" spans="7:12">
      <c r="G268" s="8"/>
      <c r="H268" s="7"/>
      <c r="I268" s="3"/>
    </row>
    <row r="269" spans="7:12">
      <c r="G269" s="8"/>
      <c r="H269" s="7"/>
      <c r="I269" s="3"/>
    </row>
    <row r="270" spans="7:12">
      <c r="G270" s="8"/>
      <c r="H270" s="7"/>
      <c r="I270" s="3"/>
    </row>
    <row r="271" spans="7:12">
      <c r="G271" s="3"/>
      <c r="L271" s="16"/>
    </row>
    <row r="272" spans="7:12">
      <c r="G272" s="3"/>
    </row>
    <row r="273" spans="7:7">
      <c r="G273"/>
    </row>
    <row r="274" spans="7:7">
      <c r="G274" s="3"/>
    </row>
    <row r="275" spans="7:7">
      <c r="G275" s="3"/>
    </row>
    <row r="276" spans="7:7">
      <c r="G276" s="3"/>
    </row>
    <row r="277" spans="7:7">
      <c r="G277"/>
    </row>
    <row r="278" spans="7:7">
      <c r="G278" s="3"/>
    </row>
    <row r="279" spans="7:7">
      <c r="G279" s="3"/>
    </row>
    <row r="280" spans="7:7">
      <c r="G280"/>
    </row>
    <row r="281" spans="7:7">
      <c r="G281" s="3"/>
    </row>
    <row r="282" spans="7:7">
      <c r="G282"/>
    </row>
    <row r="283" spans="7:7">
      <c r="G283"/>
    </row>
    <row r="284" spans="7:7">
      <c r="G284" s="3"/>
    </row>
    <row r="285" spans="7:7">
      <c r="G285"/>
    </row>
    <row r="286" spans="7:7">
      <c r="G286"/>
    </row>
    <row r="287" spans="7:7">
      <c r="G287"/>
    </row>
    <row r="288" spans="7:7">
      <c r="G288"/>
    </row>
    <row r="289" spans="7:7">
      <c r="G289" s="3"/>
    </row>
    <row r="290" spans="7:7">
      <c r="G290" s="3"/>
    </row>
    <row r="291" spans="7:7">
      <c r="G291"/>
    </row>
    <row r="292" spans="7:7">
      <c r="G292" s="3"/>
    </row>
    <row r="293" spans="7:7">
      <c r="G293"/>
    </row>
    <row r="294" spans="7:7">
      <c r="G294" s="3"/>
    </row>
    <row r="295" spans="7:7">
      <c r="G295" s="3"/>
    </row>
    <row r="296" spans="7:7">
      <c r="G296"/>
    </row>
    <row r="297" spans="7:7">
      <c r="G297" s="3"/>
    </row>
    <row r="298" spans="7:7">
      <c r="G298"/>
    </row>
    <row r="299" spans="7:7">
      <c r="G299" s="3"/>
    </row>
    <row r="300" spans="7:7">
      <c r="G300"/>
    </row>
    <row r="301" spans="7:7">
      <c r="G301"/>
    </row>
    <row r="302" spans="7:7">
      <c r="G302"/>
    </row>
    <row r="303" spans="7:7">
      <c r="G303" s="3"/>
    </row>
    <row r="304" spans="7:7">
      <c r="G304"/>
    </row>
    <row r="305" spans="7:7">
      <c r="G305"/>
    </row>
    <row r="306" spans="7:7">
      <c r="G306" s="3"/>
    </row>
    <row r="307" spans="7:7">
      <c r="G307" s="3"/>
    </row>
    <row r="308" spans="7:7">
      <c r="G308"/>
    </row>
    <row r="309" spans="7:7">
      <c r="G309" s="3"/>
    </row>
    <row r="310" spans="7:7">
      <c r="G310" s="3"/>
    </row>
    <row r="311" spans="7:7">
      <c r="G311"/>
    </row>
    <row r="312" spans="7:7">
      <c r="G312" s="3"/>
    </row>
    <row r="313" spans="7:7">
      <c r="G313" s="3"/>
    </row>
    <row r="314" spans="7:7">
      <c r="G314"/>
    </row>
    <row r="315" spans="7:7">
      <c r="G315" s="3"/>
    </row>
    <row r="316" spans="7:7">
      <c r="G316"/>
    </row>
    <row r="317" spans="7:7">
      <c r="G317" s="3"/>
    </row>
    <row r="318" spans="7:7">
      <c r="G318" s="3"/>
    </row>
    <row r="319" spans="7:7">
      <c r="G319" s="3"/>
    </row>
    <row r="320" spans="7:7">
      <c r="G320" s="3"/>
    </row>
    <row r="321" spans="7:7">
      <c r="G321" s="3"/>
    </row>
    <row r="322" spans="7:7">
      <c r="G322"/>
    </row>
    <row r="323" spans="7:7">
      <c r="G323"/>
    </row>
    <row r="324" spans="7:7">
      <c r="G324"/>
    </row>
    <row r="325" spans="7:7">
      <c r="G325" s="3"/>
    </row>
    <row r="326" spans="7:7">
      <c r="G326" s="3"/>
    </row>
    <row r="327" spans="7:7">
      <c r="G327" s="3"/>
    </row>
    <row r="328" spans="7:7">
      <c r="G328" s="3"/>
    </row>
    <row r="329" spans="7:7">
      <c r="G329" s="3"/>
    </row>
    <row r="330" spans="7:7">
      <c r="G330" s="3"/>
    </row>
    <row r="331" spans="7:7">
      <c r="G331"/>
    </row>
    <row r="332" spans="7:7">
      <c r="G332"/>
    </row>
    <row r="333" spans="7:7">
      <c r="G333" s="3"/>
    </row>
    <row r="334" spans="7:7">
      <c r="G334"/>
    </row>
    <row r="335" spans="7:7">
      <c r="G335" s="3"/>
    </row>
    <row r="336" spans="7:7">
      <c r="G336"/>
    </row>
    <row r="337" spans="7:7">
      <c r="G337"/>
    </row>
    <row r="338" spans="7:7">
      <c r="G338" s="3"/>
    </row>
    <row r="339" spans="7:7">
      <c r="G339"/>
    </row>
    <row r="340" spans="7:7">
      <c r="G340" s="3"/>
    </row>
    <row r="341" spans="7:7">
      <c r="G341" s="3"/>
    </row>
    <row r="342" spans="7:7">
      <c r="G342"/>
    </row>
    <row r="343" spans="7:7">
      <c r="G343"/>
    </row>
    <row r="344" spans="7:7">
      <c r="G344" s="3"/>
    </row>
    <row r="345" spans="7:7">
      <c r="G345"/>
    </row>
    <row r="346" spans="7:7">
      <c r="G346"/>
    </row>
    <row r="347" spans="7:7">
      <c r="G347"/>
    </row>
    <row r="348" spans="7:7">
      <c r="G348" s="2"/>
    </row>
    <row r="349" spans="7:7">
      <c r="G349" s="3"/>
    </row>
    <row r="350" spans="7:7">
      <c r="G350" s="3"/>
    </row>
    <row r="351" spans="7:7">
      <c r="G351"/>
    </row>
    <row r="352" spans="7:7">
      <c r="G352" s="3"/>
    </row>
    <row r="353" spans="7:7">
      <c r="G353" s="3"/>
    </row>
    <row r="354" spans="7:7">
      <c r="G354"/>
    </row>
    <row r="355" spans="7:7">
      <c r="G355"/>
    </row>
    <row r="356" spans="7:7">
      <c r="G356"/>
    </row>
    <row r="357" spans="7:7">
      <c r="G357"/>
    </row>
    <row r="358" spans="7:7">
      <c r="G358" s="3"/>
    </row>
    <row r="359" spans="7:7">
      <c r="G359" s="3"/>
    </row>
    <row r="360" spans="7:7">
      <c r="G360" s="3"/>
    </row>
    <row r="361" spans="7:7">
      <c r="G361" s="3"/>
    </row>
    <row r="362" spans="7:7">
      <c r="G362"/>
    </row>
    <row r="363" spans="7:7">
      <c r="G363" s="3"/>
    </row>
    <row r="364" spans="7:7">
      <c r="G364" s="3"/>
    </row>
    <row r="365" spans="7:7">
      <c r="G365" s="3"/>
    </row>
    <row r="366" spans="7:7">
      <c r="G366"/>
    </row>
    <row r="367" spans="7:7">
      <c r="G367"/>
    </row>
    <row r="368" spans="7:7">
      <c r="G368"/>
    </row>
    <row r="369" spans="7:7">
      <c r="G369"/>
    </row>
    <row r="370" spans="7:7">
      <c r="G370"/>
    </row>
    <row r="371" spans="7:7">
      <c r="G371"/>
    </row>
    <row r="372" spans="7:7">
      <c r="G372"/>
    </row>
    <row r="373" spans="7:7">
      <c r="G373"/>
    </row>
    <row r="374" spans="7:7">
      <c r="G374"/>
    </row>
    <row r="375" spans="7:7">
      <c r="G375"/>
    </row>
    <row r="376" spans="7:7">
      <c r="G376"/>
    </row>
    <row r="377" spans="7:7">
      <c r="G377" s="3"/>
    </row>
    <row r="378" spans="7:7">
      <c r="G378"/>
    </row>
    <row r="379" spans="7:7">
      <c r="G379" s="3"/>
    </row>
    <row r="380" spans="7:7">
      <c r="G380" s="3"/>
    </row>
    <row r="381" spans="7:7">
      <c r="G381" s="3"/>
    </row>
    <row r="382" spans="7:7">
      <c r="G382"/>
    </row>
    <row r="383" spans="7:7">
      <c r="G383"/>
    </row>
    <row r="384" spans="7:7">
      <c r="G384"/>
    </row>
    <row r="385" spans="7:10">
      <c r="G385" s="3"/>
    </row>
    <row r="386" spans="7:10">
      <c r="G386" s="3"/>
    </row>
    <row r="387" spans="7:10">
      <c r="G387"/>
    </row>
    <row r="388" spans="7:10">
      <c r="G388" s="3"/>
    </row>
    <row r="389" spans="7:10">
      <c r="G389" s="3"/>
    </row>
    <row r="390" spans="7:10">
      <c r="G390"/>
    </row>
    <row r="391" spans="7:10">
      <c r="G391" s="3"/>
    </row>
    <row r="392" spans="7:10">
      <c r="G392"/>
      <c r="H392"/>
      <c r="I392"/>
      <c r="J392"/>
    </row>
    <row r="393" spans="7:10">
      <c r="G393"/>
      <c r="H393"/>
      <c r="I393"/>
      <c r="J393"/>
    </row>
    <row r="394" spans="7:10">
      <c r="G394"/>
      <c r="H394"/>
      <c r="I394"/>
      <c r="J394"/>
    </row>
    <row r="395" spans="7:10">
      <c r="G395"/>
      <c r="H395"/>
      <c r="I395"/>
      <c r="J395"/>
    </row>
    <row r="396" spans="7:10">
      <c r="G396"/>
      <c r="H396"/>
      <c r="I396"/>
      <c r="J396"/>
    </row>
  </sheetData>
  <sortState ref="F2:M50">
    <sortCondition ref="H2:H50"/>
    <sortCondition ref="M2:M50"/>
  </sortState>
  <dataConsolidate/>
  <conditionalFormatting sqref="D2:D101">
    <cfRule type="duplicateValues" dxfId="199" priority="7"/>
  </conditionalFormatting>
  <conditionalFormatting sqref="D102:D201">
    <cfRule type="duplicateValues" dxfId="198" priority="6"/>
  </conditionalFormatting>
  <conditionalFormatting sqref="J298:J391">
    <cfRule type="cellIs" dxfId="197" priority="5" operator="lessThan">
      <formula>0</formula>
    </cfRule>
  </conditionalFormatting>
  <conditionalFormatting sqref="J271:J391">
    <cfRule type="duplicateValues" dxfId="196" priority="8"/>
  </conditionalFormatting>
  <conditionalFormatting sqref="S61:S154">
    <cfRule type="cellIs" dxfId="195" priority="3" operator="lessThan">
      <formula>0</formula>
    </cfRule>
  </conditionalFormatting>
  <conditionalFormatting sqref="S12">
    <cfRule type="duplicateValues" dxfId="194" priority="2"/>
  </conditionalFormatting>
  <conditionalFormatting sqref="I205:I270">
    <cfRule type="duplicateValues" dxfId="193" priority="1"/>
  </conditionalFormatting>
  <conditionalFormatting sqref="J206:J270 K51">
    <cfRule type="duplicateValues" dxfId="192" priority="9"/>
  </conditionalFormatting>
  <conditionalFormatting sqref="S2:S11 S13:S154">
    <cfRule type="duplicateValues" dxfId="191" priority="251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C1:W396"/>
  <sheetViews>
    <sheetView zoomScale="80" zoomScaleNormal="80" zoomScalePageLayoutView="80" workbookViewId="0">
      <selection activeCell="M2" sqref="M2:M385"/>
    </sheetView>
  </sheetViews>
  <sheetFormatPr baseColWidth="10" defaultColWidth="11" defaultRowHeight="15" x14ac:dyDescent="0"/>
  <cols>
    <col min="3" max="3" width="16.1640625" bestFit="1" customWidth="1"/>
    <col min="5" max="5" width="7.5" customWidth="1"/>
    <col min="6" max="6" width="11" style="12"/>
    <col min="7" max="7" width="18.1640625" style="4" bestFit="1" customWidth="1"/>
    <col min="8" max="8" width="8.6640625" style="4" customWidth="1"/>
    <col min="9" max="9" width="18.5" style="9" bestFit="1" customWidth="1"/>
    <col min="10" max="10" width="11" style="8"/>
    <col min="11" max="11" width="8.5" style="4" bestFit="1" customWidth="1"/>
    <col min="12" max="12" width="4.5" style="4" customWidth="1"/>
    <col min="13" max="13" width="13.33203125" style="4" customWidth="1"/>
    <col min="14" max="14" width="18.1640625" bestFit="1" customWidth="1"/>
    <col min="19" max="19" width="14" style="2" customWidth="1"/>
    <col min="20" max="20" width="5.6640625" customWidth="1"/>
    <col min="21" max="21" width="10.6640625" customWidth="1"/>
    <col min="22" max="22" width="5.6640625" customWidth="1"/>
    <col min="23" max="23" width="16.1640625" bestFit="1" customWidth="1"/>
  </cols>
  <sheetData>
    <row r="1" spans="3:20" s="18" customFormat="1" ht="20">
      <c r="G1" s="19" t="s">
        <v>329</v>
      </c>
      <c r="H1" s="19" t="s">
        <v>334</v>
      </c>
      <c r="I1" s="20" t="s">
        <v>333</v>
      </c>
      <c r="J1" s="21" t="s">
        <v>332</v>
      </c>
      <c r="K1" s="19" t="s">
        <v>331</v>
      </c>
      <c r="L1" s="19" t="s">
        <v>1867</v>
      </c>
      <c r="M1" s="19" t="s">
        <v>1863</v>
      </c>
      <c r="N1" s="18" t="s">
        <v>329</v>
      </c>
      <c r="O1" s="18" t="s">
        <v>330</v>
      </c>
      <c r="S1" s="22"/>
    </row>
    <row r="2" spans="3:20">
      <c r="C2" s="3"/>
      <c r="F2" s="12">
        <v>87</v>
      </c>
      <c r="G2" s="59" t="s">
        <v>1506</v>
      </c>
      <c r="H2" s="7">
        <f t="shared" ref="H2:H65" si="0">LOOKUP(G2,$N$2:$N$60,$O$2:$O$60)</f>
        <v>1</v>
      </c>
      <c r="I2" s="50">
        <v>40585.862500000003</v>
      </c>
      <c r="J2" s="58" t="s">
        <v>1505</v>
      </c>
      <c r="K2" s="4">
        <f t="shared" ref="K2:K65" si="1">IF(Q2&gt;Q1,1,K1+1)</f>
        <v>1</v>
      </c>
      <c r="L2" s="4">
        <v>2</v>
      </c>
      <c r="M2" s="4">
        <v>1</v>
      </c>
      <c r="N2" s="59" t="s">
        <v>1506</v>
      </c>
      <c r="O2">
        <v>1</v>
      </c>
      <c r="Q2">
        <v>1</v>
      </c>
      <c r="S2" s="8"/>
      <c r="T2" s="10"/>
    </row>
    <row r="3" spans="3:20">
      <c r="C3" s="3"/>
      <c r="F3" s="12">
        <v>48</v>
      </c>
      <c r="G3" s="59" t="s">
        <v>763</v>
      </c>
      <c r="H3" s="7">
        <f t="shared" si="0"/>
        <v>2</v>
      </c>
      <c r="I3" s="50">
        <v>40578.446527777778</v>
      </c>
      <c r="J3" s="58" t="s">
        <v>1328</v>
      </c>
      <c r="K3" s="4">
        <f t="shared" si="1"/>
        <v>1</v>
      </c>
      <c r="L3" s="4">
        <v>2</v>
      </c>
      <c r="M3" s="4">
        <v>1</v>
      </c>
      <c r="N3" s="59" t="s">
        <v>763</v>
      </c>
      <c r="O3">
        <v>2</v>
      </c>
      <c r="Q3">
        <v>2</v>
      </c>
      <c r="S3" s="8"/>
      <c r="T3" s="10"/>
    </row>
    <row r="4" spans="3:20">
      <c r="C4" s="3"/>
      <c r="F4" s="12">
        <v>103</v>
      </c>
      <c r="G4" s="59" t="s">
        <v>763</v>
      </c>
      <c r="H4" s="7">
        <f t="shared" si="0"/>
        <v>2</v>
      </c>
      <c r="I4" s="50">
        <v>40589.693055555559</v>
      </c>
      <c r="J4" s="58" t="s">
        <v>1438</v>
      </c>
      <c r="K4" s="4">
        <f t="shared" si="1"/>
        <v>2</v>
      </c>
      <c r="L4" s="4">
        <v>2</v>
      </c>
      <c r="M4" s="4">
        <v>2</v>
      </c>
      <c r="N4" s="51" t="s">
        <v>375</v>
      </c>
      <c r="O4">
        <v>3</v>
      </c>
      <c r="Q4">
        <v>2</v>
      </c>
      <c r="S4" s="8"/>
      <c r="T4" s="10"/>
    </row>
    <row r="5" spans="3:20">
      <c r="C5" s="3"/>
      <c r="F5" s="12">
        <v>110</v>
      </c>
      <c r="G5" s="51" t="s">
        <v>763</v>
      </c>
      <c r="H5" s="7">
        <f t="shared" si="0"/>
        <v>2</v>
      </c>
      <c r="I5" s="50">
        <v>40597.75277777778</v>
      </c>
      <c r="J5" s="58" t="s">
        <v>1244</v>
      </c>
      <c r="K5" s="4">
        <f t="shared" si="1"/>
        <v>3</v>
      </c>
      <c r="L5" s="4">
        <v>2</v>
      </c>
      <c r="M5" s="4">
        <v>3</v>
      </c>
      <c r="N5" s="59" t="s">
        <v>295</v>
      </c>
      <c r="O5">
        <v>4</v>
      </c>
      <c r="Q5">
        <v>2</v>
      </c>
      <c r="S5" s="8"/>
      <c r="T5" s="10"/>
    </row>
    <row r="6" spans="3:20">
      <c r="C6" s="3"/>
      <c r="F6" s="12">
        <v>135</v>
      </c>
      <c r="G6" s="59" t="s">
        <v>763</v>
      </c>
      <c r="H6" s="7">
        <f t="shared" si="0"/>
        <v>2</v>
      </c>
      <c r="I6" s="50">
        <v>40616.892361111109</v>
      </c>
      <c r="J6" s="58" t="s">
        <v>762</v>
      </c>
      <c r="K6" s="4">
        <f t="shared" si="1"/>
        <v>4</v>
      </c>
      <c r="L6" s="4">
        <v>7</v>
      </c>
      <c r="M6" s="4">
        <v>4</v>
      </c>
      <c r="N6" s="59" t="s">
        <v>950</v>
      </c>
      <c r="O6">
        <v>5</v>
      </c>
      <c r="Q6">
        <v>2</v>
      </c>
      <c r="S6" s="8"/>
      <c r="T6" s="10"/>
    </row>
    <row r="7" spans="3:20">
      <c r="C7" s="3"/>
      <c r="F7" s="12">
        <v>89</v>
      </c>
      <c r="G7" s="51" t="s">
        <v>375</v>
      </c>
      <c r="H7" s="7">
        <f t="shared" si="0"/>
        <v>3</v>
      </c>
      <c r="I7" s="50">
        <v>40585.870833333334</v>
      </c>
      <c r="J7" s="58" t="s">
        <v>374</v>
      </c>
      <c r="K7" s="4">
        <f t="shared" si="1"/>
        <v>1</v>
      </c>
      <c r="L7" s="4">
        <v>8</v>
      </c>
      <c r="M7" s="4">
        <v>1</v>
      </c>
      <c r="N7" s="59" t="s">
        <v>1580</v>
      </c>
      <c r="O7">
        <v>6</v>
      </c>
      <c r="Q7">
        <v>3</v>
      </c>
      <c r="S7" s="8"/>
      <c r="T7" s="10"/>
    </row>
    <row r="8" spans="3:20">
      <c r="C8" s="3"/>
      <c r="F8" s="12">
        <v>90</v>
      </c>
      <c r="G8" s="51" t="s">
        <v>375</v>
      </c>
      <c r="H8" s="7">
        <f t="shared" si="0"/>
        <v>3</v>
      </c>
      <c r="I8" s="50">
        <v>40585.879166666666</v>
      </c>
      <c r="J8" s="58" t="s">
        <v>1487</v>
      </c>
      <c r="K8" s="4">
        <f t="shared" si="1"/>
        <v>2</v>
      </c>
      <c r="L8" s="4">
        <v>8</v>
      </c>
      <c r="M8" s="4">
        <v>2</v>
      </c>
      <c r="N8" s="51" t="s">
        <v>385</v>
      </c>
      <c r="O8">
        <v>7</v>
      </c>
      <c r="Q8">
        <v>3</v>
      </c>
      <c r="S8" s="8"/>
      <c r="T8" s="10"/>
    </row>
    <row r="9" spans="3:20">
      <c r="C9" s="3"/>
      <c r="F9" s="12">
        <v>99</v>
      </c>
      <c r="G9" s="59" t="s">
        <v>375</v>
      </c>
      <c r="H9" s="7">
        <f t="shared" si="0"/>
        <v>3</v>
      </c>
      <c r="I9" s="50">
        <v>40586.813194444447</v>
      </c>
      <c r="J9" s="58" t="s">
        <v>1242</v>
      </c>
      <c r="K9" s="4">
        <f t="shared" si="1"/>
        <v>3</v>
      </c>
      <c r="L9" s="4">
        <v>5</v>
      </c>
      <c r="M9" s="4">
        <v>3</v>
      </c>
      <c r="N9" s="51" t="s">
        <v>292</v>
      </c>
      <c r="O9">
        <v>8</v>
      </c>
      <c r="Q9">
        <v>3</v>
      </c>
      <c r="S9" s="8"/>
      <c r="T9" s="10"/>
    </row>
    <row r="10" spans="3:20">
      <c r="C10" s="3"/>
      <c r="D10" s="1"/>
      <c r="F10" s="12">
        <v>105</v>
      </c>
      <c r="G10" s="51" t="s">
        <v>375</v>
      </c>
      <c r="H10" s="7">
        <f t="shared" si="0"/>
        <v>3</v>
      </c>
      <c r="I10" s="50">
        <v>40593.719444444447</v>
      </c>
      <c r="J10" s="58" t="s">
        <v>484</v>
      </c>
      <c r="K10" s="4">
        <f t="shared" si="1"/>
        <v>4</v>
      </c>
      <c r="L10" s="4">
        <v>11</v>
      </c>
      <c r="M10" s="4">
        <v>4</v>
      </c>
      <c r="N10" s="51" t="s">
        <v>1447</v>
      </c>
      <c r="O10">
        <v>9</v>
      </c>
      <c r="Q10">
        <v>3</v>
      </c>
      <c r="S10" s="8"/>
      <c r="T10" s="10"/>
    </row>
    <row r="11" spans="3:20">
      <c r="C11" s="3"/>
      <c r="F11" s="12">
        <v>107</v>
      </c>
      <c r="G11" s="59" t="s">
        <v>375</v>
      </c>
      <c r="H11" s="7">
        <f t="shared" si="0"/>
        <v>3</v>
      </c>
      <c r="I11" s="50">
        <v>40594.940972222219</v>
      </c>
      <c r="J11" s="58" t="s">
        <v>689</v>
      </c>
      <c r="K11" s="4">
        <f t="shared" si="1"/>
        <v>5</v>
      </c>
      <c r="L11" s="4">
        <v>18</v>
      </c>
      <c r="M11" s="4">
        <v>5</v>
      </c>
      <c r="N11" s="51" t="s">
        <v>1576</v>
      </c>
      <c r="O11">
        <v>10</v>
      </c>
      <c r="Q11">
        <v>3</v>
      </c>
      <c r="S11" s="8"/>
    </row>
    <row r="12" spans="3:20">
      <c r="C12" s="3"/>
      <c r="F12" s="12">
        <v>109</v>
      </c>
      <c r="G12" s="59" t="s">
        <v>375</v>
      </c>
      <c r="H12" s="7">
        <f t="shared" si="0"/>
        <v>3</v>
      </c>
      <c r="I12" s="50">
        <v>40594.943055555559</v>
      </c>
      <c r="J12" s="58" t="s">
        <v>969</v>
      </c>
      <c r="K12" s="4">
        <f t="shared" si="1"/>
        <v>6</v>
      </c>
      <c r="L12" s="4">
        <v>18</v>
      </c>
      <c r="M12" s="4">
        <v>6</v>
      </c>
      <c r="N12" s="51" t="s">
        <v>348</v>
      </c>
      <c r="O12">
        <v>11</v>
      </c>
      <c r="Q12">
        <v>3</v>
      </c>
      <c r="S12" s="8"/>
    </row>
    <row r="13" spans="3:20">
      <c r="C13" s="3"/>
      <c r="F13" s="12">
        <v>111</v>
      </c>
      <c r="G13" s="59" t="s">
        <v>375</v>
      </c>
      <c r="H13" s="7">
        <f t="shared" si="0"/>
        <v>3</v>
      </c>
      <c r="I13" s="50">
        <v>40598.861111111109</v>
      </c>
      <c r="J13" s="58" t="s">
        <v>1245</v>
      </c>
      <c r="K13" s="4">
        <f t="shared" si="1"/>
        <v>7</v>
      </c>
      <c r="L13" s="4">
        <v>15</v>
      </c>
      <c r="M13" s="4">
        <v>7</v>
      </c>
      <c r="N13" s="59" t="s">
        <v>1175</v>
      </c>
      <c r="O13">
        <v>12</v>
      </c>
      <c r="Q13">
        <v>3</v>
      </c>
      <c r="S13" s="8"/>
    </row>
    <row r="14" spans="3:20">
      <c r="C14" s="3"/>
      <c r="D14" s="1"/>
      <c r="F14" s="12">
        <v>113</v>
      </c>
      <c r="G14" s="51" t="s">
        <v>375</v>
      </c>
      <c r="H14" s="7">
        <f t="shared" si="0"/>
        <v>3</v>
      </c>
      <c r="I14" s="50">
        <v>40598.863888888889</v>
      </c>
      <c r="J14" s="58" t="s">
        <v>418</v>
      </c>
      <c r="K14" s="4">
        <f t="shared" si="1"/>
        <v>8</v>
      </c>
      <c r="L14" s="4">
        <v>15</v>
      </c>
      <c r="M14" s="4">
        <v>8</v>
      </c>
      <c r="N14" s="59" t="s">
        <v>293</v>
      </c>
      <c r="O14">
        <v>13</v>
      </c>
      <c r="Q14">
        <v>3</v>
      </c>
      <c r="S14" s="8"/>
      <c r="T14" s="10"/>
    </row>
    <row r="15" spans="3:20">
      <c r="C15" s="3"/>
      <c r="F15" s="12">
        <v>50</v>
      </c>
      <c r="G15" s="59" t="s">
        <v>295</v>
      </c>
      <c r="H15" s="7">
        <f t="shared" si="0"/>
        <v>4</v>
      </c>
      <c r="I15" s="50">
        <v>40578.489583333336</v>
      </c>
      <c r="J15" s="58" t="s">
        <v>1198</v>
      </c>
      <c r="K15" s="4">
        <f t="shared" si="1"/>
        <v>1</v>
      </c>
      <c r="L15" s="4">
        <v>2</v>
      </c>
      <c r="M15" s="4">
        <v>1</v>
      </c>
      <c r="N15" s="51" t="s">
        <v>1082</v>
      </c>
      <c r="O15">
        <v>14</v>
      </c>
      <c r="Q15">
        <v>4</v>
      </c>
      <c r="S15" s="25" t="s">
        <v>1872</v>
      </c>
    </row>
    <row r="16" spans="3:20">
      <c r="C16" s="3"/>
      <c r="F16" s="12">
        <v>83</v>
      </c>
      <c r="G16" s="51" t="s">
        <v>295</v>
      </c>
      <c r="H16" s="7">
        <f t="shared" si="0"/>
        <v>4</v>
      </c>
      <c r="I16" s="50">
        <v>40583.493055555555</v>
      </c>
      <c r="J16" s="58" t="s">
        <v>1103</v>
      </c>
      <c r="K16" s="4">
        <f t="shared" si="1"/>
        <v>2</v>
      </c>
      <c r="L16" s="4">
        <v>2</v>
      </c>
      <c r="M16" s="4">
        <v>2</v>
      </c>
      <c r="N16" s="51" t="s">
        <v>857</v>
      </c>
      <c r="O16">
        <v>15</v>
      </c>
      <c r="Q16">
        <v>4</v>
      </c>
      <c r="S16" s="25" t="s">
        <v>1870</v>
      </c>
      <c r="T16" t="s">
        <v>1869</v>
      </c>
    </row>
    <row r="17" spans="3:23">
      <c r="C17" s="3"/>
      <c r="F17" s="12">
        <v>122</v>
      </c>
      <c r="G17" s="51" t="s">
        <v>295</v>
      </c>
      <c r="H17" s="7">
        <f t="shared" si="0"/>
        <v>4</v>
      </c>
      <c r="I17" s="50">
        <v>40615.63958333333</v>
      </c>
      <c r="J17" s="58" t="s">
        <v>1237</v>
      </c>
      <c r="K17" s="4">
        <f t="shared" si="1"/>
        <v>3</v>
      </c>
      <c r="L17" s="4">
        <v>2</v>
      </c>
      <c r="M17" s="4">
        <v>3</v>
      </c>
      <c r="N17" s="51" t="s">
        <v>1070</v>
      </c>
      <c r="O17">
        <v>16</v>
      </c>
      <c r="Q17">
        <v>4</v>
      </c>
      <c r="S17" s="26">
        <v>1</v>
      </c>
      <c r="T17" s="4">
        <v>1</v>
      </c>
    </row>
    <row r="18" spans="3:23">
      <c r="C18" s="3"/>
      <c r="F18" s="12">
        <v>143</v>
      </c>
      <c r="G18" s="51" t="s">
        <v>295</v>
      </c>
      <c r="H18" s="7">
        <f t="shared" si="0"/>
        <v>4</v>
      </c>
      <c r="I18" s="50">
        <v>40620.588194444441</v>
      </c>
      <c r="J18" s="58" t="s">
        <v>1171</v>
      </c>
      <c r="K18" s="4">
        <f t="shared" si="1"/>
        <v>4</v>
      </c>
      <c r="L18" s="4">
        <v>18</v>
      </c>
      <c r="M18" s="4">
        <v>4</v>
      </c>
      <c r="N18" s="51" t="s">
        <v>687</v>
      </c>
      <c r="O18">
        <v>17</v>
      </c>
      <c r="Q18">
        <v>4</v>
      </c>
      <c r="S18" s="26">
        <v>2</v>
      </c>
      <c r="T18" s="4">
        <v>4</v>
      </c>
    </row>
    <row r="19" spans="3:23">
      <c r="C19" s="3"/>
      <c r="D19" s="1"/>
      <c r="F19" s="12">
        <v>216</v>
      </c>
      <c r="G19" s="51" t="s">
        <v>295</v>
      </c>
      <c r="H19" s="7">
        <f t="shared" si="0"/>
        <v>4</v>
      </c>
      <c r="I19" s="50">
        <v>40654.533333333333</v>
      </c>
      <c r="J19" s="58" t="s">
        <v>1495</v>
      </c>
      <c r="K19" s="4">
        <f t="shared" si="1"/>
        <v>5</v>
      </c>
      <c r="L19" s="4">
        <v>4</v>
      </c>
      <c r="M19" s="4">
        <v>5</v>
      </c>
      <c r="N19" s="51" t="s">
        <v>583</v>
      </c>
      <c r="O19">
        <v>18</v>
      </c>
      <c r="Q19">
        <v>4</v>
      </c>
      <c r="S19" s="26">
        <v>3</v>
      </c>
      <c r="T19" s="4">
        <v>8</v>
      </c>
    </row>
    <row r="20" spans="3:23">
      <c r="C20" s="3"/>
      <c r="F20" s="12">
        <v>281</v>
      </c>
      <c r="G20" s="51" t="s">
        <v>295</v>
      </c>
      <c r="H20" s="7">
        <f t="shared" si="0"/>
        <v>4</v>
      </c>
      <c r="I20" s="50">
        <v>40682.703472222223</v>
      </c>
      <c r="J20" s="58" t="s">
        <v>474</v>
      </c>
      <c r="K20" s="4">
        <f t="shared" si="1"/>
        <v>6</v>
      </c>
      <c r="L20" s="4">
        <v>2</v>
      </c>
      <c r="M20" s="4">
        <v>6</v>
      </c>
      <c r="N20" s="51" t="s">
        <v>506</v>
      </c>
      <c r="O20">
        <v>19</v>
      </c>
      <c r="Q20">
        <v>4</v>
      </c>
      <c r="S20" s="26">
        <v>4</v>
      </c>
      <c r="T20" s="4">
        <v>10</v>
      </c>
    </row>
    <row r="21" spans="3:23">
      <c r="C21" s="3"/>
      <c r="F21" s="12">
        <v>283</v>
      </c>
      <c r="G21" s="59" t="s">
        <v>295</v>
      </c>
      <c r="H21" s="7">
        <f t="shared" si="0"/>
        <v>4</v>
      </c>
      <c r="I21" s="50">
        <v>40682.711805555555</v>
      </c>
      <c r="J21" s="58" t="s">
        <v>1470</v>
      </c>
      <c r="K21" s="4">
        <f t="shared" si="1"/>
        <v>7</v>
      </c>
      <c r="L21" s="4">
        <v>2</v>
      </c>
      <c r="M21" s="4">
        <v>7</v>
      </c>
      <c r="N21" s="51" t="s">
        <v>887</v>
      </c>
      <c r="O21">
        <v>20</v>
      </c>
      <c r="Q21">
        <v>4</v>
      </c>
      <c r="S21" s="26">
        <v>5</v>
      </c>
      <c r="T21" s="4">
        <v>1</v>
      </c>
    </row>
    <row r="22" spans="3:23">
      <c r="C22" s="3"/>
      <c r="F22" s="12">
        <v>284</v>
      </c>
      <c r="G22" s="51" t="s">
        <v>295</v>
      </c>
      <c r="H22" s="7">
        <f t="shared" si="0"/>
        <v>4</v>
      </c>
      <c r="I22" s="50">
        <v>40682.713194444441</v>
      </c>
      <c r="J22" s="58" t="s">
        <v>453</v>
      </c>
      <c r="K22" s="4">
        <f t="shared" si="1"/>
        <v>8</v>
      </c>
      <c r="L22" s="4">
        <v>2</v>
      </c>
      <c r="M22" s="4">
        <v>8</v>
      </c>
      <c r="N22" s="51" t="s">
        <v>488</v>
      </c>
      <c r="O22">
        <v>21</v>
      </c>
      <c r="Q22">
        <v>4</v>
      </c>
      <c r="S22" s="26">
        <v>6</v>
      </c>
      <c r="T22" s="4">
        <v>1</v>
      </c>
    </row>
    <row r="23" spans="3:23">
      <c r="C23" s="3"/>
      <c r="F23" s="12">
        <v>293</v>
      </c>
      <c r="G23" s="59" t="s">
        <v>295</v>
      </c>
      <c r="H23" s="7">
        <f t="shared" si="0"/>
        <v>4</v>
      </c>
      <c r="I23" s="50">
        <v>40686.472222222219</v>
      </c>
      <c r="J23" s="58" t="s">
        <v>1449</v>
      </c>
      <c r="K23" s="4">
        <f t="shared" si="1"/>
        <v>9</v>
      </c>
      <c r="L23" s="4">
        <v>5</v>
      </c>
      <c r="M23" s="4">
        <v>9</v>
      </c>
      <c r="N23" s="59" t="s">
        <v>294</v>
      </c>
      <c r="O23">
        <v>22</v>
      </c>
      <c r="Q23">
        <v>4</v>
      </c>
      <c r="S23" s="26">
        <v>7</v>
      </c>
      <c r="T23" s="4">
        <v>7</v>
      </c>
    </row>
    <row r="24" spans="3:23">
      <c r="C24" s="3"/>
      <c r="F24" s="12">
        <v>354</v>
      </c>
      <c r="G24" s="59" t="s">
        <v>295</v>
      </c>
      <c r="H24" s="7">
        <f t="shared" si="0"/>
        <v>4</v>
      </c>
      <c r="I24" s="50">
        <v>40708.739583333336</v>
      </c>
      <c r="J24" s="58" t="s">
        <v>1305</v>
      </c>
      <c r="K24" s="4">
        <f t="shared" si="1"/>
        <v>10</v>
      </c>
      <c r="L24" s="4">
        <v>2</v>
      </c>
      <c r="M24" s="4">
        <v>10</v>
      </c>
      <c r="N24" s="51" t="s">
        <v>405</v>
      </c>
      <c r="O24">
        <v>23</v>
      </c>
      <c r="Q24">
        <v>4</v>
      </c>
      <c r="S24" s="26">
        <v>8</v>
      </c>
      <c r="T24" s="4">
        <v>5</v>
      </c>
    </row>
    <row r="25" spans="3:23">
      <c r="C25" s="3"/>
      <c r="F25" s="12">
        <v>344</v>
      </c>
      <c r="G25" s="59" t="s">
        <v>950</v>
      </c>
      <c r="H25" s="7">
        <f t="shared" si="0"/>
        <v>5</v>
      </c>
      <c r="I25" s="50">
        <v>40707.270833333336</v>
      </c>
      <c r="J25" s="58" t="s">
        <v>949</v>
      </c>
      <c r="K25" s="4">
        <f t="shared" si="1"/>
        <v>1</v>
      </c>
      <c r="L25" s="4">
        <v>2</v>
      </c>
      <c r="M25" s="4">
        <v>1</v>
      </c>
      <c r="N25" s="51" t="s">
        <v>309</v>
      </c>
      <c r="O25">
        <v>24</v>
      </c>
      <c r="Q25">
        <v>5</v>
      </c>
      <c r="S25" s="26">
        <v>9</v>
      </c>
      <c r="T25" s="4">
        <v>1</v>
      </c>
    </row>
    <row r="26" spans="3:23">
      <c r="C26" s="3"/>
      <c r="F26" s="12">
        <v>289</v>
      </c>
      <c r="G26" s="59" t="s">
        <v>1580</v>
      </c>
      <c r="H26" s="7">
        <f t="shared" si="0"/>
        <v>6</v>
      </c>
      <c r="I26" s="50">
        <v>40685.979861111111</v>
      </c>
      <c r="J26" s="58" t="s">
        <v>1331</v>
      </c>
      <c r="K26" s="4">
        <f t="shared" si="1"/>
        <v>1</v>
      </c>
      <c r="L26" s="4">
        <v>2</v>
      </c>
      <c r="M26" s="4">
        <v>1</v>
      </c>
      <c r="N26" s="51" t="s">
        <v>325</v>
      </c>
      <c r="O26">
        <v>25</v>
      </c>
      <c r="Q26">
        <v>6</v>
      </c>
      <c r="S26" s="26">
        <v>10</v>
      </c>
      <c r="T26" s="4">
        <v>1</v>
      </c>
    </row>
    <row r="27" spans="3:23">
      <c r="C27" s="3"/>
      <c r="F27" s="12">
        <v>288</v>
      </c>
      <c r="G27" s="51" t="s">
        <v>385</v>
      </c>
      <c r="H27" s="7">
        <f t="shared" si="0"/>
        <v>7</v>
      </c>
      <c r="I27" s="50">
        <v>40685.979861111111</v>
      </c>
      <c r="J27" s="58" t="s">
        <v>1330</v>
      </c>
      <c r="K27" s="4">
        <f t="shared" si="1"/>
        <v>1</v>
      </c>
      <c r="L27" s="4">
        <v>2</v>
      </c>
      <c r="M27" s="4">
        <v>1</v>
      </c>
      <c r="N27" s="51" t="s">
        <v>731</v>
      </c>
      <c r="O27">
        <v>26</v>
      </c>
      <c r="Q27">
        <v>7</v>
      </c>
      <c r="S27" s="26">
        <v>11</v>
      </c>
      <c r="T27" s="4">
        <v>3</v>
      </c>
    </row>
    <row r="28" spans="3:23">
      <c r="C28" s="3"/>
      <c r="F28" s="12">
        <v>296</v>
      </c>
      <c r="G28" s="51" t="s">
        <v>385</v>
      </c>
      <c r="H28" s="7">
        <f t="shared" si="0"/>
        <v>7</v>
      </c>
      <c r="I28" s="50">
        <v>40691.509027777778</v>
      </c>
      <c r="J28" s="58" t="s">
        <v>691</v>
      </c>
      <c r="K28" s="4">
        <f t="shared" si="1"/>
        <v>2</v>
      </c>
      <c r="L28" s="4">
        <v>2</v>
      </c>
      <c r="M28" s="4">
        <v>2</v>
      </c>
      <c r="N28" s="59" t="s">
        <v>1499</v>
      </c>
      <c r="O28">
        <v>27</v>
      </c>
      <c r="Q28">
        <v>7</v>
      </c>
      <c r="S28" s="26">
        <v>12</v>
      </c>
      <c r="T28" s="4">
        <v>1</v>
      </c>
    </row>
    <row r="29" spans="3:23">
      <c r="C29" s="3"/>
      <c r="F29" s="12">
        <v>298</v>
      </c>
      <c r="G29" s="51" t="s">
        <v>385</v>
      </c>
      <c r="H29" s="7">
        <f t="shared" si="0"/>
        <v>7</v>
      </c>
      <c r="I29" s="50">
        <v>40691.705555555556</v>
      </c>
      <c r="J29" s="58" t="s">
        <v>581</v>
      </c>
      <c r="K29" s="4">
        <f t="shared" si="1"/>
        <v>3</v>
      </c>
      <c r="L29" s="4">
        <v>6</v>
      </c>
      <c r="M29" s="4">
        <v>3</v>
      </c>
      <c r="N29" s="51" t="s">
        <v>336</v>
      </c>
      <c r="O29">
        <v>28</v>
      </c>
      <c r="Q29">
        <v>7</v>
      </c>
      <c r="S29" s="26">
        <v>13</v>
      </c>
      <c r="T29" s="4">
        <v>4</v>
      </c>
    </row>
    <row r="30" spans="3:23">
      <c r="C30" s="3"/>
      <c r="F30" s="12">
        <v>304</v>
      </c>
      <c r="G30" s="51" t="s">
        <v>385</v>
      </c>
      <c r="H30" s="7">
        <f t="shared" si="0"/>
        <v>7</v>
      </c>
      <c r="I30" s="50">
        <v>40691.526388888888</v>
      </c>
      <c r="J30" s="58" t="s">
        <v>1938</v>
      </c>
      <c r="K30" s="4">
        <f t="shared" si="1"/>
        <v>4</v>
      </c>
      <c r="L30" s="4">
        <v>2</v>
      </c>
      <c r="M30" s="4">
        <v>4</v>
      </c>
      <c r="N30" s="51" t="s">
        <v>288</v>
      </c>
      <c r="O30">
        <v>29</v>
      </c>
      <c r="Q30">
        <v>7</v>
      </c>
      <c r="S30" s="26">
        <v>14</v>
      </c>
      <c r="T30" s="4">
        <v>1</v>
      </c>
    </row>
    <row r="31" spans="3:23">
      <c r="C31" s="3"/>
      <c r="F31" s="12">
        <v>307</v>
      </c>
      <c r="G31" s="59" t="s">
        <v>385</v>
      </c>
      <c r="H31" s="7">
        <f t="shared" si="0"/>
        <v>7</v>
      </c>
      <c r="I31" s="50">
        <v>40694.42083333333</v>
      </c>
      <c r="J31" s="58" t="s">
        <v>1038</v>
      </c>
      <c r="K31" s="4">
        <f t="shared" si="1"/>
        <v>5</v>
      </c>
      <c r="L31" s="4">
        <v>7</v>
      </c>
      <c r="M31" s="4">
        <v>5</v>
      </c>
      <c r="N31" s="59" t="s">
        <v>455</v>
      </c>
      <c r="O31">
        <v>30</v>
      </c>
      <c r="Q31">
        <v>7</v>
      </c>
      <c r="S31" s="26">
        <v>15</v>
      </c>
      <c r="T31" s="4">
        <v>1</v>
      </c>
      <c r="W31" t="s">
        <v>1873</v>
      </c>
    </row>
    <row r="32" spans="3:23">
      <c r="C32" s="3"/>
      <c r="F32" s="12">
        <v>311</v>
      </c>
      <c r="G32" s="51" t="s">
        <v>385</v>
      </c>
      <c r="H32" s="7">
        <f t="shared" si="0"/>
        <v>7</v>
      </c>
      <c r="I32" s="50">
        <v>40695.972222222219</v>
      </c>
      <c r="J32" s="58" t="s">
        <v>1911</v>
      </c>
      <c r="K32" s="4">
        <f t="shared" si="1"/>
        <v>6</v>
      </c>
      <c r="L32" s="4">
        <v>0</v>
      </c>
      <c r="M32" s="4">
        <v>6</v>
      </c>
      <c r="N32" s="51" t="s">
        <v>318</v>
      </c>
      <c r="O32">
        <v>31</v>
      </c>
      <c r="Q32">
        <v>7</v>
      </c>
      <c r="S32" s="26">
        <v>16</v>
      </c>
      <c r="T32" s="4">
        <v>1</v>
      </c>
      <c r="W32">
        <f>T76/S75</f>
        <v>6.5084745762711869</v>
      </c>
    </row>
    <row r="33" spans="3:20">
      <c r="C33" s="3"/>
      <c r="F33" s="12">
        <v>378</v>
      </c>
      <c r="G33" s="59" t="s">
        <v>385</v>
      </c>
      <c r="H33" s="7">
        <f t="shared" si="0"/>
        <v>7</v>
      </c>
      <c r="I33" s="50">
        <v>40717.464583333334</v>
      </c>
      <c r="J33" s="58" t="s">
        <v>940</v>
      </c>
      <c r="K33" s="4">
        <f t="shared" si="1"/>
        <v>7</v>
      </c>
      <c r="L33" s="4">
        <v>2</v>
      </c>
      <c r="M33" s="4">
        <v>7</v>
      </c>
      <c r="N33" s="51" t="s">
        <v>543</v>
      </c>
      <c r="O33">
        <v>32</v>
      </c>
      <c r="Q33">
        <v>7</v>
      </c>
      <c r="S33" s="26">
        <v>17</v>
      </c>
      <c r="T33" s="4">
        <v>1</v>
      </c>
    </row>
    <row r="34" spans="3:20">
      <c r="C34" s="3"/>
      <c r="F34" s="12">
        <v>189</v>
      </c>
      <c r="G34" s="51" t="s">
        <v>292</v>
      </c>
      <c r="H34" s="7">
        <f t="shared" si="0"/>
        <v>8</v>
      </c>
      <c r="I34" s="50">
        <v>40643.603472222225</v>
      </c>
      <c r="J34" s="58" t="s">
        <v>1179</v>
      </c>
      <c r="K34" s="4">
        <f t="shared" si="1"/>
        <v>1</v>
      </c>
      <c r="L34" s="4">
        <v>3</v>
      </c>
      <c r="M34" s="4">
        <v>1</v>
      </c>
      <c r="N34" s="51" t="s">
        <v>563</v>
      </c>
      <c r="O34">
        <v>33</v>
      </c>
      <c r="Q34">
        <v>8</v>
      </c>
      <c r="S34" s="26">
        <v>18</v>
      </c>
      <c r="T34" s="4">
        <v>1</v>
      </c>
    </row>
    <row r="35" spans="3:20">
      <c r="C35" s="3"/>
      <c r="F35" s="12">
        <v>277</v>
      </c>
      <c r="G35" s="59" t="s">
        <v>292</v>
      </c>
      <c r="H35" s="7">
        <f t="shared" si="0"/>
        <v>8</v>
      </c>
      <c r="I35" s="50">
        <v>40681.763888888891</v>
      </c>
      <c r="J35" s="58" t="s">
        <v>1278</v>
      </c>
      <c r="K35" s="4">
        <f t="shared" si="1"/>
        <v>2</v>
      </c>
      <c r="L35" s="4">
        <v>2</v>
      </c>
      <c r="M35" s="4">
        <v>2</v>
      </c>
      <c r="N35" s="51" t="s">
        <v>651</v>
      </c>
      <c r="O35">
        <v>34</v>
      </c>
      <c r="Q35">
        <v>8</v>
      </c>
      <c r="S35" s="26">
        <v>19</v>
      </c>
      <c r="T35" s="4">
        <v>1</v>
      </c>
    </row>
    <row r="36" spans="3:20">
      <c r="C36" s="3"/>
      <c r="F36" s="12">
        <v>280</v>
      </c>
      <c r="G36" s="51" t="s">
        <v>292</v>
      </c>
      <c r="H36" s="7">
        <f t="shared" si="0"/>
        <v>8</v>
      </c>
      <c r="I36" s="50">
        <v>40677.722222222219</v>
      </c>
      <c r="J36" s="60" t="s">
        <v>1572</v>
      </c>
      <c r="K36" s="4">
        <f t="shared" si="1"/>
        <v>3</v>
      </c>
      <c r="L36" s="4">
        <v>10</v>
      </c>
      <c r="M36" s="4">
        <v>3</v>
      </c>
      <c r="N36" s="51" t="s">
        <v>440</v>
      </c>
      <c r="O36">
        <v>35</v>
      </c>
      <c r="Q36">
        <v>8</v>
      </c>
      <c r="S36" s="26">
        <v>20</v>
      </c>
      <c r="T36" s="4">
        <v>1</v>
      </c>
    </row>
    <row r="37" spans="3:20">
      <c r="C37" s="3"/>
      <c r="F37" s="12">
        <v>312</v>
      </c>
      <c r="G37" s="51" t="s">
        <v>292</v>
      </c>
      <c r="H37" s="7">
        <f t="shared" si="0"/>
        <v>8</v>
      </c>
      <c r="I37" s="50">
        <v>40684.611805555556</v>
      </c>
      <c r="J37" s="58" t="s">
        <v>464</v>
      </c>
      <c r="K37" s="4">
        <f t="shared" si="1"/>
        <v>4</v>
      </c>
      <c r="L37" s="4">
        <v>3</v>
      </c>
      <c r="M37" s="4">
        <v>4</v>
      </c>
      <c r="N37" s="51" t="s">
        <v>479</v>
      </c>
      <c r="O37">
        <v>36</v>
      </c>
      <c r="Q37">
        <v>8</v>
      </c>
      <c r="S37" s="26">
        <v>21</v>
      </c>
      <c r="T37" s="4">
        <v>1</v>
      </c>
    </row>
    <row r="38" spans="3:20">
      <c r="C38" s="3"/>
      <c r="F38" s="12">
        <v>320</v>
      </c>
      <c r="G38" s="51" t="s">
        <v>292</v>
      </c>
      <c r="H38" s="7">
        <f t="shared" si="0"/>
        <v>8</v>
      </c>
      <c r="I38" s="50">
        <v>40697.852777777778</v>
      </c>
      <c r="J38" s="58" t="s">
        <v>897</v>
      </c>
      <c r="K38" s="4">
        <f t="shared" si="1"/>
        <v>5</v>
      </c>
      <c r="L38" s="4">
        <v>2</v>
      </c>
      <c r="M38" s="4">
        <v>5</v>
      </c>
      <c r="N38" s="51" t="s">
        <v>411</v>
      </c>
      <c r="O38">
        <v>37</v>
      </c>
      <c r="Q38">
        <v>8</v>
      </c>
      <c r="S38" s="26">
        <v>22</v>
      </c>
      <c r="T38" s="4">
        <v>9</v>
      </c>
    </row>
    <row r="39" spans="3:20">
      <c r="C39" s="3"/>
      <c r="F39" s="12">
        <v>292</v>
      </c>
      <c r="G39" s="51" t="s">
        <v>1447</v>
      </c>
      <c r="H39" s="7">
        <f t="shared" si="0"/>
        <v>9</v>
      </c>
      <c r="I39" s="50">
        <v>40666.680555555555</v>
      </c>
      <c r="J39" s="58" t="s">
        <v>1448</v>
      </c>
      <c r="K39" s="4">
        <f t="shared" si="1"/>
        <v>1</v>
      </c>
      <c r="L39" s="4">
        <v>2</v>
      </c>
      <c r="M39" s="4">
        <v>1</v>
      </c>
      <c r="N39" s="51" t="s">
        <v>757</v>
      </c>
      <c r="O39">
        <v>38</v>
      </c>
      <c r="Q39">
        <v>9</v>
      </c>
      <c r="S39" s="26">
        <v>23</v>
      </c>
      <c r="T39" s="4">
        <v>3</v>
      </c>
    </row>
    <row r="40" spans="3:20">
      <c r="C40" s="3"/>
      <c r="F40" s="12">
        <v>66</v>
      </c>
      <c r="G40" s="51" t="s">
        <v>1576</v>
      </c>
      <c r="H40" s="7">
        <f t="shared" si="0"/>
        <v>10</v>
      </c>
      <c r="I40" s="50">
        <v>40580.870833333334</v>
      </c>
      <c r="J40" s="58" t="s">
        <v>350</v>
      </c>
      <c r="K40" s="4">
        <f t="shared" si="1"/>
        <v>1</v>
      </c>
      <c r="L40" s="4">
        <v>2</v>
      </c>
      <c r="M40" s="4">
        <v>1</v>
      </c>
      <c r="N40" s="59" t="s">
        <v>1578</v>
      </c>
      <c r="O40">
        <v>39</v>
      </c>
      <c r="Q40">
        <v>10</v>
      </c>
      <c r="S40" s="26">
        <v>24</v>
      </c>
      <c r="T40" s="4">
        <v>8</v>
      </c>
    </row>
    <row r="41" spans="3:20">
      <c r="C41" s="3"/>
      <c r="F41" s="12">
        <v>52</v>
      </c>
      <c r="G41" s="51" t="s">
        <v>348</v>
      </c>
      <c r="H41" s="7">
        <f t="shared" si="0"/>
        <v>11</v>
      </c>
      <c r="I41" s="50">
        <v>40576.788888888892</v>
      </c>
      <c r="J41" s="58" t="s">
        <v>1101</v>
      </c>
      <c r="K41" s="4">
        <f t="shared" si="1"/>
        <v>1</v>
      </c>
      <c r="L41" s="4">
        <v>3</v>
      </c>
      <c r="M41" s="4">
        <v>1</v>
      </c>
      <c r="N41" s="51" t="s">
        <v>306</v>
      </c>
      <c r="O41">
        <v>40</v>
      </c>
      <c r="Q41">
        <v>11</v>
      </c>
      <c r="S41" s="26">
        <v>25</v>
      </c>
      <c r="T41" s="4">
        <v>5</v>
      </c>
    </row>
    <row r="42" spans="3:20">
      <c r="C42" s="3"/>
      <c r="F42" s="12">
        <v>54</v>
      </c>
      <c r="G42" s="51" t="s">
        <v>348</v>
      </c>
      <c r="H42" s="7">
        <f t="shared" si="0"/>
        <v>11</v>
      </c>
      <c r="I42" s="50">
        <v>40577.02847222222</v>
      </c>
      <c r="J42" s="58" t="s">
        <v>751</v>
      </c>
      <c r="K42" s="4">
        <f t="shared" si="1"/>
        <v>2</v>
      </c>
      <c r="L42" s="4">
        <v>2</v>
      </c>
      <c r="M42" s="4">
        <v>2</v>
      </c>
      <c r="N42" s="51" t="s">
        <v>423</v>
      </c>
      <c r="O42">
        <v>41</v>
      </c>
      <c r="Q42">
        <v>11</v>
      </c>
      <c r="S42" s="26">
        <v>26</v>
      </c>
      <c r="T42" s="4">
        <v>2</v>
      </c>
    </row>
    <row r="43" spans="3:20">
      <c r="C43" s="3"/>
      <c r="F43" s="12">
        <v>65</v>
      </c>
      <c r="G43" s="59" t="s">
        <v>348</v>
      </c>
      <c r="H43" s="7">
        <f t="shared" si="0"/>
        <v>11</v>
      </c>
      <c r="I43" s="50">
        <v>40579.5625</v>
      </c>
      <c r="J43" s="58" t="s">
        <v>349</v>
      </c>
      <c r="K43" s="4">
        <f t="shared" si="1"/>
        <v>3</v>
      </c>
      <c r="L43" s="4">
        <v>2</v>
      </c>
      <c r="M43" s="4">
        <v>3</v>
      </c>
      <c r="N43" s="51" t="s">
        <v>371</v>
      </c>
      <c r="O43">
        <v>42</v>
      </c>
      <c r="Q43">
        <v>11</v>
      </c>
      <c r="S43" s="26">
        <v>27</v>
      </c>
      <c r="T43" s="4">
        <v>1</v>
      </c>
    </row>
    <row r="44" spans="3:20">
      <c r="C44" s="3"/>
      <c r="F44" s="12">
        <v>269</v>
      </c>
      <c r="G44" s="59" t="s">
        <v>1175</v>
      </c>
      <c r="H44" s="7">
        <f t="shared" si="0"/>
        <v>12</v>
      </c>
      <c r="I44" s="50">
        <v>40676.628472222219</v>
      </c>
      <c r="J44" s="58" t="s">
        <v>1174</v>
      </c>
      <c r="K44" s="4">
        <f t="shared" si="1"/>
        <v>1</v>
      </c>
      <c r="L44" s="4">
        <v>3</v>
      </c>
      <c r="M44" s="4">
        <v>1</v>
      </c>
      <c r="N44" s="59" t="s">
        <v>1577</v>
      </c>
      <c r="O44">
        <v>43</v>
      </c>
      <c r="Q44">
        <v>12</v>
      </c>
      <c r="S44" s="26">
        <v>28</v>
      </c>
      <c r="T44" s="4">
        <v>40</v>
      </c>
    </row>
    <row r="45" spans="3:20">
      <c r="C45" s="3"/>
      <c r="F45" s="12">
        <v>129</v>
      </c>
      <c r="G45" s="59" t="s">
        <v>293</v>
      </c>
      <c r="H45" s="7">
        <f t="shared" si="0"/>
        <v>13</v>
      </c>
      <c r="I45" s="50">
        <v>40616.65347222222</v>
      </c>
      <c r="J45" s="58" t="s">
        <v>643</v>
      </c>
      <c r="K45" s="4">
        <f t="shared" si="1"/>
        <v>1</v>
      </c>
      <c r="L45" s="4">
        <v>2</v>
      </c>
      <c r="M45" s="4">
        <v>1</v>
      </c>
      <c r="N45" s="59" t="s">
        <v>300</v>
      </c>
      <c r="O45">
        <v>44</v>
      </c>
      <c r="Q45">
        <v>13</v>
      </c>
      <c r="S45" s="26">
        <v>29</v>
      </c>
      <c r="T45" s="4">
        <v>119</v>
      </c>
    </row>
    <row r="46" spans="3:20">
      <c r="C46" s="3"/>
      <c r="F46" s="12">
        <v>286</v>
      </c>
      <c r="G46" s="51" t="s">
        <v>293</v>
      </c>
      <c r="H46" s="7">
        <f t="shared" si="0"/>
        <v>13</v>
      </c>
      <c r="I46" s="50">
        <v>40685.881944444445</v>
      </c>
      <c r="J46" s="58" t="s">
        <v>993</v>
      </c>
      <c r="K46" s="4">
        <f t="shared" si="1"/>
        <v>2</v>
      </c>
      <c r="L46" s="4">
        <v>2</v>
      </c>
      <c r="M46" s="4">
        <v>2</v>
      </c>
      <c r="N46" s="59" t="s">
        <v>918</v>
      </c>
      <c r="O46">
        <v>45</v>
      </c>
      <c r="Q46">
        <v>13</v>
      </c>
      <c r="S46" s="26">
        <v>30</v>
      </c>
      <c r="T46" s="4">
        <v>5</v>
      </c>
    </row>
    <row r="47" spans="3:20">
      <c r="C47" s="3"/>
      <c r="F47" s="12">
        <v>313</v>
      </c>
      <c r="G47" s="59" t="s">
        <v>293</v>
      </c>
      <c r="H47" s="7">
        <f t="shared" si="0"/>
        <v>13</v>
      </c>
      <c r="I47" s="50">
        <v>40696.686111111114</v>
      </c>
      <c r="J47" s="58" t="s">
        <v>465</v>
      </c>
      <c r="K47" s="4">
        <f t="shared" si="1"/>
        <v>3</v>
      </c>
      <c r="L47" s="4">
        <v>4</v>
      </c>
      <c r="M47" s="4">
        <v>3</v>
      </c>
      <c r="N47" s="59" t="s">
        <v>1340</v>
      </c>
      <c r="O47">
        <v>46</v>
      </c>
      <c r="Q47">
        <v>13</v>
      </c>
      <c r="S47" s="26">
        <v>31</v>
      </c>
      <c r="T47" s="4">
        <v>1</v>
      </c>
    </row>
    <row r="48" spans="3:20">
      <c r="C48" s="3"/>
      <c r="F48" s="12">
        <v>380</v>
      </c>
      <c r="G48" s="59" t="s">
        <v>293</v>
      </c>
      <c r="H48" s="7">
        <f t="shared" si="0"/>
        <v>13</v>
      </c>
      <c r="I48" s="50">
        <v>40718.918749999997</v>
      </c>
      <c r="J48" s="58" t="s">
        <v>814</v>
      </c>
      <c r="K48" s="4">
        <f t="shared" si="1"/>
        <v>4</v>
      </c>
      <c r="L48" s="4">
        <v>2</v>
      </c>
      <c r="M48" s="4">
        <v>4</v>
      </c>
      <c r="N48" s="59" t="s">
        <v>1130</v>
      </c>
      <c r="O48">
        <v>47</v>
      </c>
      <c r="Q48">
        <v>13</v>
      </c>
      <c r="S48" s="26">
        <v>32</v>
      </c>
      <c r="T48" s="4">
        <v>1</v>
      </c>
    </row>
    <row r="49" spans="3:20">
      <c r="C49" s="3"/>
      <c r="F49" s="12">
        <v>278</v>
      </c>
      <c r="G49" s="51" t="s">
        <v>1082</v>
      </c>
      <c r="H49" s="7">
        <f t="shared" si="0"/>
        <v>14</v>
      </c>
      <c r="I49" s="50">
        <v>40680.061111111114</v>
      </c>
      <c r="J49" s="58" t="s">
        <v>1083</v>
      </c>
      <c r="K49" s="4">
        <f t="shared" si="1"/>
        <v>1</v>
      </c>
      <c r="L49" s="4">
        <v>2</v>
      </c>
      <c r="M49" s="4">
        <v>1</v>
      </c>
      <c r="N49" s="51" t="s">
        <v>416</v>
      </c>
      <c r="O49">
        <v>48</v>
      </c>
      <c r="Q49">
        <v>14</v>
      </c>
      <c r="S49" s="26">
        <v>33</v>
      </c>
      <c r="T49" s="4">
        <v>2</v>
      </c>
    </row>
    <row r="50" spans="3:20">
      <c r="C50" s="3"/>
      <c r="F50" s="12">
        <v>381</v>
      </c>
      <c r="G50" s="51" t="s">
        <v>857</v>
      </c>
      <c r="H50" s="7">
        <f t="shared" si="0"/>
        <v>15</v>
      </c>
      <c r="I50" s="50">
        <v>40716.208333333336</v>
      </c>
      <c r="J50" s="58" t="s">
        <v>858</v>
      </c>
      <c r="K50" s="4">
        <f t="shared" si="1"/>
        <v>1</v>
      </c>
      <c r="L50" s="4">
        <v>3</v>
      </c>
      <c r="M50" s="4">
        <v>1</v>
      </c>
      <c r="N50" s="59" t="s">
        <v>974</v>
      </c>
      <c r="O50">
        <v>49</v>
      </c>
      <c r="Q50">
        <v>15</v>
      </c>
      <c r="S50" s="26">
        <v>34</v>
      </c>
      <c r="T50" s="4">
        <v>4</v>
      </c>
    </row>
    <row r="51" spans="3:20">
      <c r="C51" s="3"/>
      <c r="F51" s="12">
        <v>69</v>
      </c>
      <c r="G51" s="51" t="s">
        <v>1070</v>
      </c>
      <c r="H51" s="7">
        <f t="shared" si="0"/>
        <v>16</v>
      </c>
      <c r="I51" s="50">
        <v>40579.813194444447</v>
      </c>
      <c r="J51" s="58" t="s">
        <v>1071</v>
      </c>
      <c r="K51" s="4">
        <f t="shared" si="1"/>
        <v>1</v>
      </c>
      <c r="L51" s="4">
        <v>2</v>
      </c>
      <c r="M51" s="4">
        <v>1</v>
      </c>
      <c r="N51" s="59" t="s">
        <v>289</v>
      </c>
      <c r="O51">
        <v>50</v>
      </c>
      <c r="Q51">
        <v>16</v>
      </c>
      <c r="S51" s="26">
        <v>35</v>
      </c>
      <c r="T51" s="4">
        <v>1</v>
      </c>
    </row>
    <row r="52" spans="3:20">
      <c r="C52" s="3"/>
      <c r="F52" s="12">
        <v>106</v>
      </c>
      <c r="G52" s="51" t="s">
        <v>687</v>
      </c>
      <c r="H52" s="7">
        <f t="shared" si="0"/>
        <v>17</v>
      </c>
      <c r="I52" s="50">
        <v>40594.031944444447</v>
      </c>
      <c r="J52" s="58" t="s">
        <v>688</v>
      </c>
      <c r="K52" s="4">
        <f t="shared" si="1"/>
        <v>1</v>
      </c>
      <c r="L52" s="4">
        <v>2</v>
      </c>
      <c r="M52" s="4">
        <v>1</v>
      </c>
      <c r="N52" s="51" t="s">
        <v>1468</v>
      </c>
      <c r="O52">
        <v>51</v>
      </c>
      <c r="Q52">
        <v>17</v>
      </c>
      <c r="S52" s="26">
        <v>36</v>
      </c>
      <c r="T52" s="4">
        <v>1</v>
      </c>
    </row>
    <row r="53" spans="3:20">
      <c r="C53" s="3"/>
      <c r="F53" s="12">
        <v>299</v>
      </c>
      <c r="G53" s="51" t="s">
        <v>583</v>
      </c>
      <c r="H53" s="7">
        <f t="shared" si="0"/>
        <v>18</v>
      </c>
      <c r="I53" s="50">
        <v>40691.738888888889</v>
      </c>
      <c r="J53" s="58" t="s">
        <v>582</v>
      </c>
      <c r="K53" s="4">
        <f t="shared" si="1"/>
        <v>1</v>
      </c>
      <c r="L53" s="4">
        <v>5</v>
      </c>
      <c r="M53" s="4">
        <v>1</v>
      </c>
      <c r="N53" s="51" t="s">
        <v>694</v>
      </c>
      <c r="O53">
        <v>52</v>
      </c>
      <c r="Q53">
        <v>18</v>
      </c>
      <c r="S53" s="26">
        <v>37</v>
      </c>
      <c r="T53" s="4">
        <v>2</v>
      </c>
    </row>
    <row r="54" spans="3:20">
      <c r="C54" s="3"/>
      <c r="F54" s="12">
        <v>30</v>
      </c>
      <c r="G54" s="51" t="s">
        <v>506</v>
      </c>
      <c r="H54" s="7">
        <f t="shared" si="0"/>
        <v>19</v>
      </c>
      <c r="I54" s="50">
        <v>40564.619444444441</v>
      </c>
      <c r="J54" s="58" t="s">
        <v>505</v>
      </c>
      <c r="K54" s="4">
        <f t="shared" si="1"/>
        <v>1</v>
      </c>
      <c r="L54" s="4">
        <v>2</v>
      </c>
      <c r="M54" s="4">
        <v>1</v>
      </c>
      <c r="N54" s="59" t="s">
        <v>1581</v>
      </c>
      <c r="O54">
        <v>53</v>
      </c>
      <c r="Q54">
        <v>19</v>
      </c>
      <c r="S54" s="26">
        <v>38</v>
      </c>
      <c r="T54" s="4">
        <v>1</v>
      </c>
    </row>
    <row r="55" spans="3:20">
      <c r="C55" s="3"/>
      <c r="F55" s="12">
        <v>324</v>
      </c>
      <c r="G55" s="51" t="s">
        <v>887</v>
      </c>
      <c r="H55" s="7">
        <f t="shared" si="0"/>
        <v>20</v>
      </c>
      <c r="I55" s="50">
        <v>40699.54791666667</v>
      </c>
      <c r="J55" s="58" t="s">
        <v>888</v>
      </c>
      <c r="K55" s="4">
        <f t="shared" si="1"/>
        <v>1</v>
      </c>
      <c r="L55" s="4">
        <v>2</v>
      </c>
      <c r="M55" s="4">
        <v>1</v>
      </c>
      <c r="N55" s="51" t="s">
        <v>299</v>
      </c>
      <c r="O55">
        <v>54</v>
      </c>
      <c r="Q55">
        <v>20</v>
      </c>
      <c r="S55" s="26">
        <v>39</v>
      </c>
      <c r="T55" s="4">
        <v>1</v>
      </c>
    </row>
    <row r="56" spans="3:20">
      <c r="C56" s="3"/>
      <c r="D56" s="1"/>
      <c r="F56" s="12">
        <v>229</v>
      </c>
      <c r="G56" s="51" t="s">
        <v>488</v>
      </c>
      <c r="H56" s="7">
        <f t="shared" si="0"/>
        <v>21</v>
      </c>
      <c r="I56" s="50">
        <v>40661.9</v>
      </c>
      <c r="J56" s="58" t="s">
        <v>487</v>
      </c>
      <c r="K56" s="4">
        <f t="shared" si="1"/>
        <v>1</v>
      </c>
      <c r="L56" s="4">
        <v>2</v>
      </c>
      <c r="M56" s="4">
        <v>1</v>
      </c>
      <c r="N56" s="59" t="s">
        <v>438</v>
      </c>
      <c r="O56">
        <v>55</v>
      </c>
      <c r="Q56">
        <v>21</v>
      </c>
      <c r="S56" s="26">
        <v>40</v>
      </c>
      <c r="T56" s="4">
        <v>7</v>
      </c>
    </row>
    <row r="57" spans="3:20">
      <c r="C57" s="3"/>
      <c r="F57" s="12">
        <v>156</v>
      </c>
      <c r="G57" s="59" t="s">
        <v>294</v>
      </c>
      <c r="H57" s="7">
        <f t="shared" si="0"/>
        <v>22</v>
      </c>
      <c r="I57" s="50">
        <v>40629.980555555558</v>
      </c>
      <c r="J57" s="58" t="s">
        <v>1311</v>
      </c>
      <c r="K57" s="4">
        <f t="shared" si="1"/>
        <v>1</v>
      </c>
      <c r="L57" s="4">
        <v>15</v>
      </c>
      <c r="M57" s="4">
        <v>1</v>
      </c>
      <c r="N57" s="51" t="s">
        <v>297</v>
      </c>
      <c r="O57">
        <v>56</v>
      </c>
      <c r="Q57">
        <v>22</v>
      </c>
      <c r="S57" s="26">
        <v>41</v>
      </c>
      <c r="T57" s="4">
        <v>5</v>
      </c>
    </row>
    <row r="58" spans="3:20">
      <c r="C58" s="3"/>
      <c r="F58" s="12">
        <v>166</v>
      </c>
      <c r="G58" s="51" t="s">
        <v>294</v>
      </c>
      <c r="H58" s="7">
        <f t="shared" si="0"/>
        <v>22</v>
      </c>
      <c r="I58" s="50">
        <v>40629.980555555558</v>
      </c>
      <c r="J58" s="58" t="s">
        <v>476</v>
      </c>
      <c r="K58" s="4">
        <f t="shared" si="1"/>
        <v>2</v>
      </c>
      <c r="L58" s="4">
        <v>15</v>
      </c>
      <c r="M58" s="4">
        <v>2</v>
      </c>
      <c r="N58" s="51" t="s">
        <v>315</v>
      </c>
      <c r="O58">
        <v>57</v>
      </c>
      <c r="Q58">
        <v>22</v>
      </c>
      <c r="S58" s="26">
        <v>42</v>
      </c>
      <c r="T58" s="4">
        <v>2</v>
      </c>
    </row>
    <row r="59" spans="3:20">
      <c r="C59" s="3"/>
      <c r="F59" s="12">
        <v>181</v>
      </c>
      <c r="G59" s="51" t="s">
        <v>294</v>
      </c>
      <c r="H59" s="7">
        <f t="shared" si="0"/>
        <v>22</v>
      </c>
      <c r="I59" s="50">
        <v>40633.069444444445</v>
      </c>
      <c r="J59" s="58" t="s">
        <v>1424</v>
      </c>
      <c r="K59" s="4">
        <f t="shared" si="1"/>
        <v>3</v>
      </c>
      <c r="L59" s="4">
        <v>3</v>
      </c>
      <c r="M59" s="4">
        <v>3</v>
      </c>
      <c r="N59" s="59" t="s">
        <v>291</v>
      </c>
      <c r="O59">
        <v>58</v>
      </c>
      <c r="Q59">
        <v>22</v>
      </c>
      <c r="S59" s="26">
        <v>43</v>
      </c>
      <c r="T59" s="4">
        <v>1</v>
      </c>
    </row>
    <row r="60" spans="3:20">
      <c r="C60" s="3"/>
      <c r="F60" s="12">
        <v>191</v>
      </c>
      <c r="G60" s="51" t="s">
        <v>294</v>
      </c>
      <c r="H60" s="7">
        <f t="shared" si="0"/>
        <v>22</v>
      </c>
      <c r="I60" s="50">
        <v>40634.02847222222</v>
      </c>
      <c r="J60" s="58" t="s">
        <v>1043</v>
      </c>
      <c r="K60" s="4">
        <f t="shared" si="1"/>
        <v>4</v>
      </c>
      <c r="L60" s="4">
        <v>2</v>
      </c>
      <c r="M60" s="4">
        <v>4</v>
      </c>
      <c r="N60" s="59" t="s">
        <v>812</v>
      </c>
      <c r="O60">
        <v>59</v>
      </c>
      <c r="Q60">
        <v>22</v>
      </c>
      <c r="S60" s="26">
        <v>44</v>
      </c>
      <c r="T60" s="4">
        <v>41</v>
      </c>
    </row>
    <row r="61" spans="3:20">
      <c r="C61" s="3"/>
      <c r="F61" s="12">
        <v>214</v>
      </c>
      <c r="G61" s="51" t="s">
        <v>294</v>
      </c>
      <c r="H61" s="7">
        <f t="shared" si="0"/>
        <v>22</v>
      </c>
      <c r="I61" s="50">
        <v>40647.134722222225</v>
      </c>
      <c r="J61" s="58" t="s">
        <v>806</v>
      </c>
      <c r="K61" s="4">
        <f t="shared" si="1"/>
        <v>5</v>
      </c>
      <c r="L61" s="4">
        <v>17</v>
      </c>
      <c r="M61" s="4">
        <v>5</v>
      </c>
      <c r="Q61">
        <v>22</v>
      </c>
      <c r="S61" s="26">
        <v>45</v>
      </c>
      <c r="T61" s="4">
        <v>3</v>
      </c>
    </row>
    <row r="62" spans="3:20">
      <c r="C62" s="3"/>
      <c r="F62" s="12">
        <v>236</v>
      </c>
      <c r="G62" s="51" t="s">
        <v>294</v>
      </c>
      <c r="H62" s="7">
        <f t="shared" si="0"/>
        <v>22</v>
      </c>
      <c r="I62" s="50">
        <v>40653.032638888886</v>
      </c>
      <c r="J62" s="58" t="s">
        <v>1149</v>
      </c>
      <c r="K62" s="4">
        <f t="shared" si="1"/>
        <v>6</v>
      </c>
      <c r="L62" s="4">
        <v>5</v>
      </c>
      <c r="M62" s="4">
        <v>6</v>
      </c>
      <c r="Q62">
        <v>22</v>
      </c>
      <c r="S62" s="26">
        <v>46</v>
      </c>
      <c r="T62" s="4">
        <v>1</v>
      </c>
    </row>
    <row r="63" spans="3:20">
      <c r="C63" s="3"/>
      <c r="F63" s="12">
        <v>238</v>
      </c>
      <c r="G63" s="51" t="s">
        <v>294</v>
      </c>
      <c r="H63" s="7">
        <f t="shared" si="0"/>
        <v>22</v>
      </c>
      <c r="I63" s="50">
        <v>40664.292361111111</v>
      </c>
      <c r="J63" s="58" t="s">
        <v>1289</v>
      </c>
      <c r="K63" s="4">
        <f t="shared" si="1"/>
        <v>7</v>
      </c>
      <c r="L63" s="4">
        <v>2</v>
      </c>
      <c r="M63" s="4">
        <v>7</v>
      </c>
      <c r="Q63">
        <v>22</v>
      </c>
      <c r="S63" s="26">
        <v>47</v>
      </c>
      <c r="T63" s="4">
        <v>1</v>
      </c>
    </row>
    <row r="64" spans="3:20">
      <c r="C64" s="3"/>
      <c r="F64" s="12">
        <v>240</v>
      </c>
      <c r="G64" s="59" t="s">
        <v>294</v>
      </c>
      <c r="H64" s="7">
        <f t="shared" si="0"/>
        <v>22</v>
      </c>
      <c r="I64" s="50">
        <v>40664.664583333331</v>
      </c>
      <c r="J64" s="58" t="s">
        <v>1177</v>
      </c>
      <c r="K64" s="4">
        <f t="shared" si="1"/>
        <v>8</v>
      </c>
      <c r="L64" s="4">
        <v>2</v>
      </c>
      <c r="M64" s="4">
        <v>8</v>
      </c>
      <c r="Q64">
        <v>22</v>
      </c>
      <c r="S64" s="26">
        <v>48</v>
      </c>
      <c r="T64" s="4">
        <v>6</v>
      </c>
    </row>
    <row r="65" spans="3:20">
      <c r="C65" s="3"/>
      <c r="F65" s="12">
        <v>261</v>
      </c>
      <c r="G65" s="51" t="s">
        <v>294</v>
      </c>
      <c r="H65" s="7">
        <f t="shared" si="0"/>
        <v>22</v>
      </c>
      <c r="I65" s="50">
        <v>40673.140972222223</v>
      </c>
      <c r="J65" s="58" t="s">
        <v>436</v>
      </c>
      <c r="K65" s="4">
        <f t="shared" si="1"/>
        <v>9</v>
      </c>
      <c r="L65" s="4">
        <v>15</v>
      </c>
      <c r="M65" s="4">
        <v>9</v>
      </c>
      <c r="Q65">
        <v>22</v>
      </c>
      <c r="S65" s="26">
        <v>49</v>
      </c>
      <c r="T65" s="4">
        <v>4</v>
      </c>
    </row>
    <row r="66" spans="3:20">
      <c r="C66" s="3"/>
      <c r="F66" s="12">
        <v>73</v>
      </c>
      <c r="G66" s="51" t="s">
        <v>405</v>
      </c>
      <c r="H66" s="7">
        <f t="shared" ref="H66:H129" si="2">LOOKUP(G66,$N$2:$N$60,$O$2:$O$60)</f>
        <v>23</v>
      </c>
      <c r="I66" s="50">
        <v>40582.48541666667</v>
      </c>
      <c r="J66" s="58" t="s">
        <v>447</v>
      </c>
      <c r="K66" s="4">
        <f t="shared" ref="K66:K129" si="3">IF(Q66&gt;Q65,1,K65+1)</f>
        <v>1</v>
      </c>
      <c r="L66" s="4">
        <v>2</v>
      </c>
      <c r="M66" s="4">
        <v>1</v>
      </c>
      <c r="Q66">
        <v>23</v>
      </c>
      <c r="S66" s="26">
        <v>50</v>
      </c>
      <c r="T66" s="4">
        <v>20</v>
      </c>
    </row>
    <row r="67" spans="3:20">
      <c r="C67" s="3"/>
      <c r="F67" s="12">
        <v>78</v>
      </c>
      <c r="G67" s="59" t="s">
        <v>405</v>
      </c>
      <c r="H67" s="7">
        <f t="shared" si="2"/>
        <v>23</v>
      </c>
      <c r="I67" s="50">
        <v>40582.490972222222</v>
      </c>
      <c r="J67" s="58" t="s">
        <v>1022</v>
      </c>
      <c r="K67" s="4">
        <f t="shared" si="3"/>
        <v>2</v>
      </c>
      <c r="L67" s="4">
        <v>2</v>
      </c>
      <c r="M67" s="4">
        <v>2</v>
      </c>
      <c r="Q67">
        <v>23</v>
      </c>
      <c r="S67" s="26">
        <v>51</v>
      </c>
      <c r="T67" s="4">
        <v>2</v>
      </c>
    </row>
    <row r="68" spans="3:20">
      <c r="C68" s="3"/>
      <c r="F68" s="12">
        <v>79</v>
      </c>
      <c r="G68" s="51" t="s">
        <v>405</v>
      </c>
      <c r="H68" s="7">
        <f t="shared" si="2"/>
        <v>23</v>
      </c>
      <c r="I68" s="50">
        <v>40582.495833333334</v>
      </c>
      <c r="J68" s="58" t="s">
        <v>430</v>
      </c>
      <c r="K68" s="4">
        <f t="shared" si="3"/>
        <v>3</v>
      </c>
      <c r="L68" s="4">
        <v>2</v>
      </c>
      <c r="M68" s="4">
        <v>3</v>
      </c>
      <c r="Q68">
        <v>23</v>
      </c>
      <c r="S68" s="26">
        <v>52</v>
      </c>
      <c r="T68" s="4">
        <v>1</v>
      </c>
    </row>
    <row r="69" spans="3:20">
      <c r="C69" s="3"/>
      <c r="F69" s="12">
        <v>47</v>
      </c>
      <c r="G69" s="51" t="s">
        <v>309</v>
      </c>
      <c r="H69" s="7">
        <f t="shared" si="2"/>
        <v>24</v>
      </c>
      <c r="I69" s="50">
        <v>40577.588194444441</v>
      </c>
      <c r="J69" s="58" t="s">
        <v>1327</v>
      </c>
      <c r="K69" s="4">
        <f t="shared" si="3"/>
        <v>1</v>
      </c>
      <c r="L69" s="4">
        <v>2</v>
      </c>
      <c r="M69" s="4">
        <v>1</v>
      </c>
      <c r="Q69">
        <v>24</v>
      </c>
      <c r="S69" s="26">
        <v>53</v>
      </c>
      <c r="T69" s="4">
        <v>1</v>
      </c>
    </row>
    <row r="70" spans="3:20">
      <c r="C70" s="3"/>
      <c r="F70" s="12">
        <v>49</v>
      </c>
      <c r="G70" s="51" t="s">
        <v>309</v>
      </c>
      <c r="H70" s="7">
        <f t="shared" si="2"/>
        <v>24</v>
      </c>
      <c r="I70" s="50">
        <v>40577.911805555559</v>
      </c>
      <c r="J70" s="58" t="s">
        <v>1197</v>
      </c>
      <c r="K70" s="4">
        <f t="shared" si="3"/>
        <v>2</v>
      </c>
      <c r="L70" s="4">
        <v>3</v>
      </c>
      <c r="M70" s="4">
        <v>2</v>
      </c>
      <c r="Q70">
        <v>24</v>
      </c>
      <c r="S70" s="26">
        <v>54</v>
      </c>
      <c r="T70" s="4">
        <v>9</v>
      </c>
    </row>
    <row r="71" spans="3:20">
      <c r="C71" s="3"/>
      <c r="F71" s="12">
        <v>51</v>
      </c>
      <c r="G71" s="59" t="s">
        <v>309</v>
      </c>
      <c r="H71" s="7">
        <f t="shared" si="2"/>
        <v>24</v>
      </c>
      <c r="I71" s="50">
        <v>40578.534722222219</v>
      </c>
      <c r="J71" s="58" t="s">
        <v>1532</v>
      </c>
      <c r="K71" s="4">
        <f t="shared" si="3"/>
        <v>3</v>
      </c>
      <c r="L71" s="4">
        <v>10</v>
      </c>
      <c r="M71" s="4">
        <v>3</v>
      </c>
      <c r="Q71">
        <v>24</v>
      </c>
      <c r="S71" s="26">
        <v>55</v>
      </c>
      <c r="T71" s="4">
        <v>8</v>
      </c>
    </row>
    <row r="72" spans="3:20">
      <c r="C72" s="3"/>
      <c r="F72" s="12">
        <v>61</v>
      </c>
      <c r="G72" s="59" t="s">
        <v>309</v>
      </c>
      <c r="H72" s="7">
        <f t="shared" si="2"/>
        <v>24</v>
      </c>
      <c r="I72" s="50">
        <v>40578.9</v>
      </c>
      <c r="J72" s="58" t="s">
        <v>900</v>
      </c>
      <c r="K72" s="4">
        <f t="shared" si="3"/>
        <v>4</v>
      </c>
      <c r="L72" s="4">
        <v>2</v>
      </c>
      <c r="M72" s="4">
        <v>4</v>
      </c>
      <c r="Q72">
        <v>24</v>
      </c>
      <c r="S72" s="26">
        <v>56</v>
      </c>
      <c r="T72" s="4">
        <v>5</v>
      </c>
    </row>
    <row r="73" spans="3:20">
      <c r="C73" s="3"/>
      <c r="F73" s="12">
        <v>63</v>
      </c>
      <c r="G73" s="51" t="s">
        <v>309</v>
      </c>
      <c r="H73" s="7">
        <f t="shared" si="2"/>
        <v>24</v>
      </c>
      <c r="I73" s="50">
        <v>40578.94027777778</v>
      </c>
      <c r="J73" s="58" t="s">
        <v>414</v>
      </c>
      <c r="K73" s="4">
        <f t="shared" si="3"/>
        <v>5</v>
      </c>
      <c r="L73" s="4">
        <v>2</v>
      </c>
      <c r="M73" s="4">
        <v>5</v>
      </c>
      <c r="Q73">
        <v>24</v>
      </c>
      <c r="S73" s="26">
        <v>57</v>
      </c>
      <c r="T73" s="4">
        <v>1</v>
      </c>
    </row>
    <row r="74" spans="3:20">
      <c r="C74" s="3"/>
      <c r="F74" s="12">
        <v>64</v>
      </c>
      <c r="G74" s="59" t="s">
        <v>309</v>
      </c>
      <c r="H74" s="7">
        <f t="shared" si="2"/>
        <v>24</v>
      </c>
      <c r="I74" s="50">
        <v>40578.94027777778</v>
      </c>
      <c r="J74" s="58" t="s">
        <v>759</v>
      </c>
      <c r="K74" s="4">
        <f t="shared" si="3"/>
        <v>6</v>
      </c>
      <c r="L74" s="4">
        <v>2</v>
      </c>
      <c r="M74" s="4">
        <v>6</v>
      </c>
      <c r="Q74">
        <v>24</v>
      </c>
      <c r="S74" s="26">
        <v>58</v>
      </c>
      <c r="T74" s="4">
        <v>3</v>
      </c>
    </row>
    <row r="75" spans="3:20">
      <c r="C75" s="3"/>
      <c r="F75" s="12">
        <v>68</v>
      </c>
      <c r="G75" s="59" t="s">
        <v>309</v>
      </c>
      <c r="H75" s="7">
        <f t="shared" si="2"/>
        <v>24</v>
      </c>
      <c r="I75" s="50">
        <v>40581.434027777781</v>
      </c>
      <c r="J75" s="58" t="s">
        <v>1364</v>
      </c>
      <c r="K75" s="4">
        <f t="shared" si="3"/>
        <v>7</v>
      </c>
      <c r="L75" s="4">
        <v>2</v>
      </c>
      <c r="M75" s="4">
        <v>7</v>
      </c>
      <c r="Q75">
        <v>24</v>
      </c>
      <c r="S75" s="26">
        <v>59</v>
      </c>
      <c r="T75" s="4">
        <v>2</v>
      </c>
    </row>
    <row r="76" spans="3:20">
      <c r="C76" s="3"/>
      <c r="F76" s="12">
        <v>71</v>
      </c>
      <c r="G76" s="51" t="s">
        <v>309</v>
      </c>
      <c r="H76" s="7">
        <f t="shared" si="2"/>
        <v>24</v>
      </c>
      <c r="I76" s="50">
        <v>40581.441666666666</v>
      </c>
      <c r="J76" s="58" t="s">
        <v>1931</v>
      </c>
      <c r="K76" s="4">
        <f t="shared" si="3"/>
        <v>8</v>
      </c>
      <c r="L76" s="4">
        <v>2</v>
      </c>
      <c r="M76" s="4">
        <v>8</v>
      </c>
      <c r="Q76">
        <v>24</v>
      </c>
      <c r="S76" s="26" t="s">
        <v>1871</v>
      </c>
      <c r="T76" s="4">
        <v>384</v>
      </c>
    </row>
    <row r="77" spans="3:20">
      <c r="C77" s="3"/>
      <c r="F77" s="12">
        <v>29</v>
      </c>
      <c r="G77" s="51" t="s">
        <v>325</v>
      </c>
      <c r="H77" s="7">
        <f t="shared" si="2"/>
        <v>25</v>
      </c>
      <c r="I77" s="50">
        <v>40562.502083333333</v>
      </c>
      <c r="J77" s="58" t="s">
        <v>504</v>
      </c>
      <c r="K77" s="4">
        <f t="shared" si="3"/>
        <v>1</v>
      </c>
      <c r="L77" s="16">
        <v>3</v>
      </c>
      <c r="M77" s="4">
        <v>1</v>
      </c>
      <c r="Q77">
        <v>25</v>
      </c>
      <c r="S77" s="8"/>
      <c r="T77" s="10"/>
    </row>
    <row r="78" spans="3:20">
      <c r="C78" s="3"/>
      <c r="F78" s="12">
        <v>86</v>
      </c>
      <c r="G78" s="51" t="s">
        <v>325</v>
      </c>
      <c r="H78" s="7">
        <f t="shared" si="2"/>
        <v>25</v>
      </c>
      <c r="I78" s="50">
        <v>40585.615972222222</v>
      </c>
      <c r="J78" s="58" t="s">
        <v>1504</v>
      </c>
      <c r="K78" s="4">
        <f t="shared" si="3"/>
        <v>2</v>
      </c>
      <c r="L78" s="4">
        <v>4</v>
      </c>
      <c r="M78" s="4">
        <v>2</v>
      </c>
      <c r="Q78">
        <v>25</v>
      </c>
      <c r="S78" s="8"/>
      <c r="T78" s="10"/>
    </row>
    <row r="79" spans="3:20">
      <c r="C79" s="3"/>
      <c r="F79" s="12">
        <v>234</v>
      </c>
      <c r="G79" s="51" t="s">
        <v>325</v>
      </c>
      <c r="H79" s="7">
        <f t="shared" si="2"/>
        <v>25</v>
      </c>
      <c r="I79" s="50">
        <v>40659.490277777775</v>
      </c>
      <c r="J79" s="58" t="s">
        <v>971</v>
      </c>
      <c r="K79" s="4">
        <f t="shared" si="3"/>
        <v>3</v>
      </c>
      <c r="L79" s="4">
        <v>2</v>
      </c>
      <c r="M79" s="4">
        <v>3</v>
      </c>
      <c r="Q79">
        <v>25</v>
      </c>
      <c r="S79" s="8"/>
      <c r="T79" s="10"/>
    </row>
    <row r="80" spans="3:20">
      <c r="C80" s="3"/>
      <c r="F80" s="12">
        <v>341</v>
      </c>
      <c r="G80" s="51" t="s">
        <v>325</v>
      </c>
      <c r="H80" s="7">
        <f t="shared" si="2"/>
        <v>25</v>
      </c>
      <c r="I80" s="50">
        <v>40703.654861111114</v>
      </c>
      <c r="J80" s="58" t="s">
        <v>1345</v>
      </c>
      <c r="K80" s="4">
        <f t="shared" si="3"/>
        <v>4</v>
      </c>
      <c r="L80" s="4">
        <v>2</v>
      </c>
      <c r="M80" s="4">
        <v>4</v>
      </c>
      <c r="Q80">
        <v>25</v>
      </c>
      <c r="S80" s="8"/>
      <c r="T80" s="10"/>
    </row>
    <row r="81" spans="3:20">
      <c r="C81" s="3"/>
      <c r="F81" s="12">
        <v>349</v>
      </c>
      <c r="G81" s="51" t="s">
        <v>325</v>
      </c>
      <c r="H81" s="7">
        <f t="shared" si="2"/>
        <v>25</v>
      </c>
      <c r="I81" s="50">
        <v>40707.866666666669</v>
      </c>
      <c r="J81" s="58" t="s">
        <v>1512</v>
      </c>
      <c r="K81" s="4">
        <f t="shared" si="3"/>
        <v>5</v>
      </c>
      <c r="L81" s="4">
        <v>3</v>
      </c>
      <c r="M81" s="4">
        <v>5</v>
      </c>
      <c r="Q81">
        <v>25</v>
      </c>
      <c r="S81" s="8"/>
      <c r="T81" s="10"/>
    </row>
    <row r="82" spans="3:20">
      <c r="C82" s="3"/>
      <c r="D82" s="1"/>
      <c r="F82" s="12">
        <v>366</v>
      </c>
      <c r="G82" s="51" t="s">
        <v>731</v>
      </c>
      <c r="H82" s="7">
        <f t="shared" si="2"/>
        <v>26</v>
      </c>
      <c r="I82" s="50">
        <v>40700.961805555555</v>
      </c>
      <c r="J82" s="58" t="s">
        <v>800</v>
      </c>
      <c r="K82" s="4">
        <f t="shared" si="3"/>
        <v>1</v>
      </c>
      <c r="L82" s="4">
        <v>2</v>
      </c>
      <c r="M82" s="4">
        <v>1</v>
      </c>
      <c r="Q82">
        <v>26</v>
      </c>
      <c r="S82" s="8"/>
      <c r="T82" s="10"/>
    </row>
    <row r="83" spans="3:20">
      <c r="C83" s="3"/>
      <c r="F83" s="12">
        <v>368</v>
      </c>
      <c r="G83" s="51" t="s">
        <v>731</v>
      </c>
      <c r="H83" s="7">
        <f t="shared" si="2"/>
        <v>26</v>
      </c>
      <c r="I83" s="50">
        <v>40714.54791666667</v>
      </c>
      <c r="J83" s="58" t="s">
        <v>732</v>
      </c>
      <c r="K83" s="4">
        <f t="shared" si="3"/>
        <v>2</v>
      </c>
      <c r="L83" s="4">
        <v>2</v>
      </c>
      <c r="M83" s="4">
        <v>2</v>
      </c>
      <c r="Q83">
        <v>26</v>
      </c>
      <c r="S83" s="8"/>
      <c r="T83" s="10"/>
    </row>
    <row r="84" spans="3:20">
      <c r="C84" s="3"/>
      <c r="F84" s="12">
        <v>348</v>
      </c>
      <c r="G84" s="59" t="s">
        <v>1499</v>
      </c>
      <c r="H84" s="7">
        <f t="shared" si="2"/>
        <v>27</v>
      </c>
      <c r="I84" s="50">
        <v>40707.93472222222</v>
      </c>
      <c r="J84" s="58" t="s">
        <v>1498</v>
      </c>
      <c r="K84" s="4">
        <f t="shared" si="3"/>
        <v>1</v>
      </c>
      <c r="L84" s="4">
        <v>2</v>
      </c>
      <c r="M84" s="4">
        <v>1</v>
      </c>
      <c r="Q84">
        <v>27</v>
      </c>
      <c r="S84" s="8"/>
      <c r="T84" s="10"/>
    </row>
    <row r="85" spans="3:20">
      <c r="C85" s="3"/>
      <c r="F85" s="12">
        <v>4</v>
      </c>
      <c r="G85" s="51" t="s">
        <v>336</v>
      </c>
      <c r="H85" s="7">
        <f t="shared" si="2"/>
        <v>28</v>
      </c>
      <c r="I85" s="50">
        <v>40549.54583333333</v>
      </c>
      <c r="J85" s="58" t="s">
        <v>1020</v>
      </c>
      <c r="K85" s="4">
        <f t="shared" si="3"/>
        <v>1</v>
      </c>
      <c r="L85" s="4">
        <v>2</v>
      </c>
      <c r="M85" s="4">
        <v>1</v>
      </c>
      <c r="Q85">
        <v>28</v>
      </c>
      <c r="S85" s="8"/>
      <c r="T85" s="10"/>
    </row>
    <row r="86" spans="3:20">
      <c r="C86" s="3"/>
      <c r="F86" s="12">
        <v>20</v>
      </c>
      <c r="G86" s="51" t="s">
        <v>336</v>
      </c>
      <c r="H86" s="7">
        <f t="shared" si="2"/>
        <v>28</v>
      </c>
      <c r="I86" s="50">
        <v>40555.786805555559</v>
      </c>
      <c r="J86" s="58" t="s">
        <v>1325</v>
      </c>
      <c r="K86" s="4">
        <f t="shared" si="3"/>
        <v>2</v>
      </c>
      <c r="L86" s="4">
        <v>13</v>
      </c>
      <c r="M86" s="4">
        <v>2</v>
      </c>
      <c r="Q86">
        <v>28</v>
      </c>
      <c r="S86" s="8"/>
      <c r="T86" s="10"/>
    </row>
    <row r="87" spans="3:20">
      <c r="C87" s="3"/>
      <c r="F87" s="12">
        <v>32</v>
      </c>
      <c r="G87" s="51" t="s">
        <v>336</v>
      </c>
      <c r="H87" s="7">
        <f t="shared" si="2"/>
        <v>28</v>
      </c>
      <c r="I87" s="50">
        <v>40564.982638888891</v>
      </c>
      <c r="J87" s="58" t="s">
        <v>502</v>
      </c>
      <c r="K87" s="4">
        <f t="shared" si="3"/>
        <v>3</v>
      </c>
      <c r="L87" s="4">
        <v>2</v>
      </c>
      <c r="M87" s="4">
        <v>3</v>
      </c>
      <c r="Q87">
        <v>28</v>
      </c>
      <c r="S87" s="8"/>
      <c r="T87" s="10"/>
    </row>
    <row r="88" spans="3:20">
      <c r="C88" s="3"/>
      <c r="F88" s="12">
        <v>40</v>
      </c>
      <c r="G88" s="51" t="s">
        <v>336</v>
      </c>
      <c r="H88" s="7">
        <f t="shared" si="2"/>
        <v>28</v>
      </c>
      <c r="I88" s="50">
        <v>40574.801388888889</v>
      </c>
      <c r="J88" s="58" t="s">
        <v>616</v>
      </c>
      <c r="K88" s="4">
        <f t="shared" si="3"/>
        <v>4</v>
      </c>
      <c r="L88" s="4">
        <v>2</v>
      </c>
      <c r="M88" s="4">
        <v>4</v>
      </c>
      <c r="Q88">
        <v>28</v>
      </c>
      <c r="S88" s="8"/>
      <c r="T88" s="10"/>
    </row>
    <row r="89" spans="3:20">
      <c r="C89" s="3"/>
      <c r="F89" s="12">
        <v>46</v>
      </c>
      <c r="G89" s="51" t="s">
        <v>336</v>
      </c>
      <c r="H89" s="7">
        <f t="shared" si="2"/>
        <v>28</v>
      </c>
      <c r="I89" s="50">
        <v>40576.507638888892</v>
      </c>
      <c r="J89" s="58" t="s">
        <v>619</v>
      </c>
      <c r="K89" s="4">
        <f t="shared" si="3"/>
        <v>5</v>
      </c>
      <c r="L89" s="4">
        <v>2</v>
      </c>
      <c r="M89" s="4">
        <v>5</v>
      </c>
      <c r="Q89">
        <v>28</v>
      </c>
      <c r="S89" s="8"/>
      <c r="T89" s="10"/>
    </row>
    <row r="90" spans="3:20">
      <c r="C90" s="3"/>
      <c r="F90" s="12">
        <v>57</v>
      </c>
      <c r="G90" s="51" t="s">
        <v>336</v>
      </c>
      <c r="H90" s="7">
        <f t="shared" si="2"/>
        <v>28</v>
      </c>
      <c r="I90" s="50">
        <v>40578.856944444444</v>
      </c>
      <c r="J90" s="58" t="s">
        <v>1391</v>
      </c>
      <c r="K90" s="4">
        <f t="shared" si="3"/>
        <v>6</v>
      </c>
      <c r="L90" s="4">
        <v>2</v>
      </c>
      <c r="M90" s="4">
        <v>6</v>
      </c>
      <c r="Q90">
        <v>28</v>
      </c>
      <c r="S90" s="8"/>
      <c r="T90" s="10"/>
    </row>
    <row r="91" spans="3:20">
      <c r="C91" s="3"/>
      <c r="F91" s="12">
        <v>59</v>
      </c>
      <c r="G91" s="51" t="s">
        <v>336</v>
      </c>
      <c r="H91" s="7">
        <f t="shared" si="2"/>
        <v>28</v>
      </c>
      <c r="I91" s="50">
        <v>40578.894444444442</v>
      </c>
      <c r="J91" s="58" t="s">
        <v>1090</v>
      </c>
      <c r="K91" s="4">
        <f t="shared" si="3"/>
        <v>7</v>
      </c>
      <c r="L91" s="4">
        <v>3</v>
      </c>
      <c r="M91" s="4">
        <v>7</v>
      </c>
      <c r="Q91">
        <v>28</v>
      </c>
      <c r="S91" s="8"/>
      <c r="T91" s="10"/>
    </row>
    <row r="92" spans="3:20">
      <c r="C92" s="3"/>
      <c r="F92" s="12">
        <v>75</v>
      </c>
      <c r="G92" s="51" t="s">
        <v>336</v>
      </c>
      <c r="H92" s="7">
        <f t="shared" si="2"/>
        <v>28</v>
      </c>
      <c r="I92" s="50">
        <v>40582.490277777775</v>
      </c>
      <c r="J92" s="58" t="s">
        <v>1074</v>
      </c>
      <c r="K92" s="4">
        <f t="shared" si="3"/>
        <v>8</v>
      </c>
      <c r="L92" s="4">
        <v>2</v>
      </c>
      <c r="M92" s="4">
        <v>8</v>
      </c>
      <c r="Q92">
        <v>28</v>
      </c>
      <c r="S92" s="8"/>
      <c r="T92" s="10"/>
    </row>
    <row r="93" spans="3:20">
      <c r="C93" s="3"/>
      <c r="F93" s="12">
        <v>115</v>
      </c>
      <c r="G93" s="51" t="s">
        <v>336</v>
      </c>
      <c r="H93" s="7">
        <f t="shared" si="2"/>
        <v>28</v>
      </c>
      <c r="I93" s="50">
        <v>40601.824999999997</v>
      </c>
      <c r="J93" s="58" t="s">
        <v>1162</v>
      </c>
      <c r="K93" s="4">
        <f t="shared" si="3"/>
        <v>9</v>
      </c>
      <c r="L93" s="4">
        <v>2</v>
      </c>
      <c r="M93" s="4">
        <v>9</v>
      </c>
      <c r="Q93">
        <v>28</v>
      </c>
      <c r="S93" s="8"/>
      <c r="T93" s="10"/>
    </row>
    <row r="94" spans="3:20">
      <c r="C94" s="3"/>
      <c r="F94" s="12">
        <v>127</v>
      </c>
      <c r="G94" s="51" t="s">
        <v>336</v>
      </c>
      <c r="H94" s="7">
        <f t="shared" si="2"/>
        <v>28</v>
      </c>
      <c r="I94" s="50">
        <v>40616.55972222222</v>
      </c>
      <c r="J94" s="58" t="s">
        <v>741</v>
      </c>
      <c r="K94" s="4">
        <f t="shared" si="3"/>
        <v>10</v>
      </c>
      <c r="L94" s="4">
        <v>7</v>
      </c>
      <c r="M94" s="4">
        <v>10</v>
      </c>
      <c r="Q94">
        <v>28</v>
      </c>
      <c r="S94" s="8"/>
      <c r="T94" s="10"/>
    </row>
    <row r="95" spans="3:20">
      <c r="C95" s="3"/>
      <c r="F95" s="12">
        <v>131</v>
      </c>
      <c r="G95" s="51" t="s">
        <v>336</v>
      </c>
      <c r="H95" s="7">
        <f t="shared" si="2"/>
        <v>28</v>
      </c>
      <c r="I95" s="50">
        <v>40616.756944444445</v>
      </c>
      <c r="J95" s="58" t="s">
        <v>934</v>
      </c>
      <c r="K95" s="4">
        <f t="shared" si="3"/>
        <v>11</v>
      </c>
      <c r="L95" s="4">
        <v>2</v>
      </c>
      <c r="M95" s="4">
        <v>11</v>
      </c>
      <c r="Q95">
        <v>28</v>
      </c>
      <c r="S95" s="8"/>
      <c r="T95" s="10"/>
    </row>
    <row r="96" spans="3:20">
      <c r="C96" s="3"/>
      <c r="F96" s="12">
        <v>139</v>
      </c>
      <c r="G96" s="51" t="s">
        <v>336</v>
      </c>
      <c r="H96" s="7">
        <f t="shared" si="2"/>
        <v>28</v>
      </c>
      <c r="I96" s="50">
        <v>40619.964583333334</v>
      </c>
      <c r="J96" s="58" t="s">
        <v>1319</v>
      </c>
      <c r="K96" s="4">
        <f t="shared" si="3"/>
        <v>12</v>
      </c>
      <c r="L96" s="4">
        <v>2</v>
      </c>
      <c r="M96" s="4">
        <v>12</v>
      </c>
      <c r="Q96">
        <v>28</v>
      </c>
      <c r="S96" s="8"/>
      <c r="T96" s="10"/>
    </row>
    <row r="97" spans="3:20">
      <c r="C97" s="3"/>
      <c r="F97" s="12">
        <v>142</v>
      </c>
      <c r="G97" s="51" t="s">
        <v>336</v>
      </c>
      <c r="H97" s="7">
        <f t="shared" si="2"/>
        <v>28</v>
      </c>
      <c r="I97" s="50">
        <v>40620.717361111114</v>
      </c>
      <c r="J97" s="58" t="s">
        <v>729</v>
      </c>
      <c r="K97" s="4">
        <f t="shared" si="3"/>
        <v>13</v>
      </c>
      <c r="L97" s="4">
        <v>2</v>
      </c>
      <c r="M97" s="4">
        <v>13</v>
      </c>
      <c r="Q97">
        <v>28</v>
      </c>
      <c r="S97" s="8"/>
      <c r="T97" s="10"/>
    </row>
    <row r="98" spans="3:20">
      <c r="C98" s="3"/>
      <c r="F98" s="12">
        <v>146</v>
      </c>
      <c r="G98" s="51" t="s">
        <v>336</v>
      </c>
      <c r="H98" s="7">
        <f t="shared" si="2"/>
        <v>28</v>
      </c>
      <c r="I98" s="50">
        <v>40620.929166666669</v>
      </c>
      <c r="J98" s="58" t="s">
        <v>511</v>
      </c>
      <c r="K98" s="4">
        <f t="shared" si="3"/>
        <v>14</v>
      </c>
      <c r="L98" s="4">
        <v>5</v>
      </c>
      <c r="M98" s="4">
        <v>14</v>
      </c>
      <c r="Q98">
        <v>28</v>
      </c>
      <c r="S98" s="8"/>
      <c r="T98" s="10"/>
    </row>
    <row r="99" spans="3:20">
      <c r="C99" s="3"/>
      <c r="F99" s="12">
        <v>153</v>
      </c>
      <c r="G99" s="51" t="s">
        <v>336</v>
      </c>
      <c r="H99" s="7">
        <f t="shared" si="2"/>
        <v>28</v>
      </c>
      <c r="I99" s="50">
        <v>40626.988194444442</v>
      </c>
      <c r="J99" s="58" t="s">
        <v>512</v>
      </c>
      <c r="K99" s="4">
        <f t="shared" si="3"/>
        <v>15</v>
      </c>
      <c r="L99" s="4">
        <v>2</v>
      </c>
      <c r="M99" s="4">
        <v>15</v>
      </c>
      <c r="Q99">
        <v>28</v>
      </c>
      <c r="S99" s="8"/>
      <c r="T99" s="10"/>
    </row>
    <row r="100" spans="3:20">
      <c r="C100" s="3"/>
      <c r="F100" s="12">
        <v>154</v>
      </c>
      <c r="G100" s="51" t="s">
        <v>336</v>
      </c>
      <c r="H100" s="7">
        <f t="shared" si="2"/>
        <v>28</v>
      </c>
      <c r="I100" s="50">
        <v>40629.90625</v>
      </c>
      <c r="J100" s="58" t="s">
        <v>607</v>
      </c>
      <c r="K100" s="4">
        <f t="shared" si="3"/>
        <v>16</v>
      </c>
      <c r="L100" s="4">
        <v>10</v>
      </c>
      <c r="M100" s="4">
        <v>16</v>
      </c>
      <c r="Q100">
        <v>28</v>
      </c>
      <c r="S100" s="8"/>
      <c r="T100" s="10"/>
    </row>
    <row r="101" spans="3:20">
      <c r="C101" s="3"/>
      <c r="F101" s="12">
        <v>158</v>
      </c>
      <c r="G101" s="51" t="s">
        <v>336</v>
      </c>
      <c r="H101" s="7">
        <f t="shared" si="2"/>
        <v>28</v>
      </c>
      <c r="I101" s="50">
        <v>40630.592361111114</v>
      </c>
      <c r="J101" s="58" t="s">
        <v>1385</v>
      </c>
      <c r="K101" s="4">
        <f t="shared" si="3"/>
        <v>17</v>
      </c>
      <c r="L101" s="4">
        <v>10</v>
      </c>
      <c r="M101" s="4">
        <v>17</v>
      </c>
      <c r="Q101">
        <v>28</v>
      </c>
      <c r="S101" s="8"/>
      <c r="T101" s="10"/>
    </row>
    <row r="102" spans="3:20">
      <c r="C102" s="3"/>
      <c r="F102" s="12">
        <v>162</v>
      </c>
      <c r="G102" s="51" t="s">
        <v>336</v>
      </c>
      <c r="H102" s="7">
        <f t="shared" si="2"/>
        <v>28</v>
      </c>
      <c r="I102" s="50">
        <v>40631.431944444441</v>
      </c>
      <c r="J102" s="58" t="s">
        <v>1187</v>
      </c>
      <c r="K102" s="4">
        <f t="shared" si="3"/>
        <v>18</v>
      </c>
      <c r="L102" s="4">
        <v>4</v>
      </c>
      <c r="M102" s="4">
        <v>18</v>
      </c>
      <c r="Q102">
        <v>28</v>
      </c>
      <c r="S102" s="8"/>
      <c r="T102" s="10"/>
    </row>
    <row r="103" spans="3:20">
      <c r="C103" s="3"/>
      <c r="F103" s="12">
        <v>165</v>
      </c>
      <c r="G103" s="51" t="s">
        <v>336</v>
      </c>
      <c r="H103" s="7">
        <f t="shared" si="2"/>
        <v>28</v>
      </c>
      <c r="I103" s="50">
        <v>40632.42291666667</v>
      </c>
      <c r="J103" s="58" t="s">
        <v>571</v>
      </c>
      <c r="K103" s="4">
        <f t="shared" si="3"/>
        <v>19</v>
      </c>
      <c r="L103" s="4">
        <v>2</v>
      </c>
      <c r="M103" s="4">
        <v>19</v>
      </c>
      <c r="Q103">
        <v>28</v>
      </c>
      <c r="S103" s="8"/>
      <c r="T103" s="10"/>
    </row>
    <row r="104" spans="3:20">
      <c r="C104" s="3"/>
      <c r="F104" s="12">
        <v>175</v>
      </c>
      <c r="G104" s="51" t="s">
        <v>336</v>
      </c>
      <c r="H104" s="7">
        <f t="shared" si="2"/>
        <v>28</v>
      </c>
      <c r="I104" s="50">
        <v>40633.790277777778</v>
      </c>
      <c r="J104" s="58" t="s">
        <v>1333</v>
      </c>
      <c r="K104" s="4">
        <f t="shared" si="3"/>
        <v>20</v>
      </c>
      <c r="L104" s="4">
        <v>2</v>
      </c>
      <c r="M104" s="4">
        <v>20</v>
      </c>
      <c r="Q104">
        <v>28</v>
      </c>
      <c r="S104" s="8"/>
      <c r="T104" s="10"/>
    </row>
    <row r="105" spans="3:20">
      <c r="C105" s="3"/>
      <c r="F105" s="12">
        <v>179</v>
      </c>
      <c r="G105" s="51" t="s">
        <v>336</v>
      </c>
      <c r="H105" s="7">
        <f t="shared" si="2"/>
        <v>28</v>
      </c>
      <c r="I105" s="50">
        <v>40633.793055555558</v>
      </c>
      <c r="J105" s="58" t="s">
        <v>1156</v>
      </c>
      <c r="K105" s="4">
        <f t="shared" si="3"/>
        <v>21</v>
      </c>
      <c r="L105" s="4">
        <v>2</v>
      </c>
      <c r="M105" s="4">
        <v>21</v>
      </c>
      <c r="Q105">
        <v>28</v>
      </c>
      <c r="S105" s="8"/>
      <c r="T105" s="10"/>
    </row>
    <row r="106" spans="3:20">
      <c r="C106" s="3"/>
      <c r="F106" s="12">
        <v>183</v>
      </c>
      <c r="G106" s="51" t="s">
        <v>336</v>
      </c>
      <c r="H106" s="7">
        <f t="shared" si="2"/>
        <v>28</v>
      </c>
      <c r="I106" s="50">
        <v>40634.634027777778</v>
      </c>
      <c r="J106" s="58" t="s">
        <v>433</v>
      </c>
      <c r="K106" s="4">
        <f t="shared" si="3"/>
        <v>22</v>
      </c>
      <c r="L106" s="4">
        <v>2</v>
      </c>
      <c r="M106" s="4">
        <v>22</v>
      </c>
      <c r="Q106">
        <v>28</v>
      </c>
      <c r="S106" s="8"/>
      <c r="T106" s="10"/>
    </row>
    <row r="107" spans="3:20">
      <c r="C107" s="3"/>
      <c r="F107" s="12">
        <v>194</v>
      </c>
      <c r="G107" s="51" t="s">
        <v>336</v>
      </c>
      <c r="H107" s="7">
        <f t="shared" si="2"/>
        <v>28</v>
      </c>
      <c r="I107" s="50">
        <v>40648.84097222222</v>
      </c>
      <c r="J107" s="58" t="s">
        <v>1165</v>
      </c>
      <c r="K107" s="4">
        <f t="shared" si="3"/>
        <v>23</v>
      </c>
      <c r="L107" s="4">
        <v>2</v>
      </c>
      <c r="M107" s="4">
        <v>23</v>
      </c>
      <c r="Q107">
        <v>28</v>
      </c>
      <c r="S107" s="8"/>
      <c r="T107" s="10"/>
    </row>
    <row r="108" spans="3:20">
      <c r="C108" s="3"/>
      <c r="F108" s="12">
        <v>198</v>
      </c>
      <c r="G108" s="51" t="s">
        <v>336</v>
      </c>
      <c r="H108" s="7">
        <f t="shared" si="2"/>
        <v>28</v>
      </c>
      <c r="I108" s="50">
        <v>40648.935416666667</v>
      </c>
      <c r="J108" s="58" t="s">
        <v>1153</v>
      </c>
      <c r="K108" s="4">
        <f t="shared" si="3"/>
        <v>24</v>
      </c>
      <c r="L108" s="4">
        <v>2</v>
      </c>
      <c r="M108" s="4">
        <v>24</v>
      </c>
      <c r="Q108">
        <v>28</v>
      </c>
      <c r="S108" s="8"/>
      <c r="T108" s="10"/>
    </row>
    <row r="109" spans="3:20">
      <c r="C109" s="3"/>
      <c r="F109" s="12">
        <v>200</v>
      </c>
      <c r="G109" s="51" t="s">
        <v>336</v>
      </c>
      <c r="H109" s="7">
        <f t="shared" si="2"/>
        <v>28</v>
      </c>
      <c r="I109" s="50">
        <v>40648.956944444442</v>
      </c>
      <c r="J109" s="58" t="s">
        <v>538</v>
      </c>
      <c r="K109" s="4">
        <f t="shared" si="3"/>
        <v>25</v>
      </c>
      <c r="L109" s="4">
        <v>2</v>
      </c>
      <c r="M109" s="4">
        <v>25</v>
      </c>
      <c r="Q109">
        <v>28</v>
      </c>
      <c r="S109" s="8"/>
      <c r="T109" s="10"/>
    </row>
    <row r="110" spans="3:20">
      <c r="C110" s="3"/>
      <c r="F110" s="12">
        <v>201</v>
      </c>
      <c r="G110" s="51" t="s">
        <v>336</v>
      </c>
      <c r="H110" s="7">
        <f t="shared" si="2"/>
        <v>28</v>
      </c>
      <c r="I110" s="50">
        <v>40651.552777777775</v>
      </c>
      <c r="J110" s="58" t="s">
        <v>539</v>
      </c>
      <c r="K110" s="4">
        <f t="shared" si="3"/>
        <v>26</v>
      </c>
      <c r="L110" s="4">
        <v>2</v>
      </c>
      <c r="M110" s="4">
        <v>26</v>
      </c>
      <c r="Q110">
        <v>28</v>
      </c>
      <c r="S110" s="8"/>
      <c r="T110" s="10"/>
    </row>
    <row r="111" spans="3:20">
      <c r="C111" s="3"/>
      <c r="F111" s="12">
        <v>203</v>
      </c>
      <c r="G111" s="51" t="s">
        <v>336</v>
      </c>
      <c r="H111" s="7">
        <f t="shared" si="2"/>
        <v>28</v>
      </c>
      <c r="I111" s="50">
        <v>40651.559027777781</v>
      </c>
      <c r="J111" s="58" t="s">
        <v>1479</v>
      </c>
      <c r="K111" s="4">
        <f t="shared" si="3"/>
        <v>27</v>
      </c>
      <c r="L111" s="4">
        <v>2</v>
      </c>
      <c r="M111" s="4">
        <v>27</v>
      </c>
      <c r="Q111">
        <v>28</v>
      </c>
      <c r="S111" s="8"/>
      <c r="T111" s="10"/>
    </row>
    <row r="112" spans="3:20">
      <c r="C112" s="3"/>
      <c r="F112" s="12">
        <v>207</v>
      </c>
      <c r="G112" s="51" t="s">
        <v>336</v>
      </c>
      <c r="H112" s="7">
        <f t="shared" si="2"/>
        <v>28</v>
      </c>
      <c r="I112" s="50">
        <v>40651.5625</v>
      </c>
      <c r="J112" s="58" t="s">
        <v>795</v>
      </c>
      <c r="K112" s="4">
        <f t="shared" si="3"/>
        <v>28</v>
      </c>
      <c r="L112" s="4">
        <v>2</v>
      </c>
      <c r="M112" s="4">
        <v>28</v>
      </c>
      <c r="Q112">
        <v>28</v>
      </c>
      <c r="S112" s="8"/>
      <c r="T112" s="10"/>
    </row>
    <row r="113" spans="3:20">
      <c r="C113" s="3"/>
      <c r="F113" s="12">
        <v>210</v>
      </c>
      <c r="G113" s="51" t="s">
        <v>336</v>
      </c>
      <c r="H113" s="7">
        <f t="shared" si="2"/>
        <v>28</v>
      </c>
      <c r="I113" s="50">
        <v>40651.918055555558</v>
      </c>
      <c r="J113" s="58" t="s">
        <v>1092</v>
      </c>
      <c r="K113" s="4">
        <f t="shared" si="3"/>
        <v>29</v>
      </c>
      <c r="L113" s="4">
        <v>2</v>
      </c>
      <c r="M113" s="4">
        <v>29</v>
      </c>
      <c r="Q113">
        <v>28</v>
      </c>
      <c r="S113" s="8"/>
      <c r="T113" s="10"/>
    </row>
    <row r="114" spans="3:20">
      <c r="C114" s="3"/>
      <c r="F114" s="12">
        <v>213</v>
      </c>
      <c r="G114" s="51" t="s">
        <v>336</v>
      </c>
      <c r="H114" s="7">
        <f t="shared" si="2"/>
        <v>28</v>
      </c>
      <c r="I114" s="50">
        <v>40652.48541666667</v>
      </c>
      <c r="J114" s="58" t="s">
        <v>755</v>
      </c>
      <c r="K114" s="4">
        <f t="shared" si="3"/>
        <v>30</v>
      </c>
      <c r="L114" s="4">
        <v>3</v>
      </c>
      <c r="M114" s="4">
        <v>30</v>
      </c>
      <c r="Q114">
        <v>28</v>
      </c>
      <c r="S114" s="8"/>
      <c r="T114" s="10"/>
    </row>
    <row r="115" spans="3:20">
      <c r="C115" s="3"/>
      <c r="F115" s="12">
        <v>219</v>
      </c>
      <c r="G115" s="51" t="s">
        <v>336</v>
      </c>
      <c r="H115" s="7">
        <f t="shared" si="2"/>
        <v>28</v>
      </c>
      <c r="I115" s="50">
        <v>40655.538888888892</v>
      </c>
      <c r="J115" s="58" t="s">
        <v>1060</v>
      </c>
      <c r="K115" s="4">
        <f t="shared" si="3"/>
        <v>31</v>
      </c>
      <c r="L115" s="4">
        <v>3</v>
      </c>
      <c r="M115" s="4">
        <v>31</v>
      </c>
      <c r="Q115">
        <v>28</v>
      </c>
      <c r="S115" s="8"/>
      <c r="T115" s="10"/>
    </row>
    <row r="116" spans="3:20">
      <c r="C116" s="3"/>
      <c r="F116" s="12">
        <v>264</v>
      </c>
      <c r="G116" s="51" t="s">
        <v>336</v>
      </c>
      <c r="H116" s="7">
        <f t="shared" si="2"/>
        <v>28</v>
      </c>
      <c r="I116" s="50">
        <v>40673.773611111108</v>
      </c>
      <c r="J116" s="58" t="s">
        <v>472</v>
      </c>
      <c r="K116" s="4">
        <f t="shared" si="3"/>
        <v>32</v>
      </c>
      <c r="L116" s="4">
        <v>6</v>
      </c>
      <c r="M116" s="4">
        <v>32</v>
      </c>
      <c r="Q116">
        <v>28</v>
      </c>
      <c r="S116" s="8"/>
      <c r="T116" s="10"/>
    </row>
    <row r="117" spans="3:20">
      <c r="C117" s="3"/>
      <c r="F117" s="12">
        <v>271</v>
      </c>
      <c r="G117" s="51" t="s">
        <v>336</v>
      </c>
      <c r="H117" s="7">
        <f t="shared" si="2"/>
        <v>28</v>
      </c>
      <c r="I117" s="50">
        <v>40679.414583333331</v>
      </c>
      <c r="J117" s="58" t="s">
        <v>1265</v>
      </c>
      <c r="K117" s="4">
        <f t="shared" si="3"/>
        <v>33</v>
      </c>
      <c r="L117" s="4">
        <v>2</v>
      </c>
      <c r="M117" s="4">
        <v>33</v>
      </c>
      <c r="Q117">
        <v>28</v>
      </c>
      <c r="S117" s="8"/>
    </row>
    <row r="118" spans="3:20">
      <c r="C118" s="3"/>
      <c r="F118" s="12">
        <v>273</v>
      </c>
      <c r="G118" s="51" t="s">
        <v>336</v>
      </c>
      <c r="H118" s="7">
        <f t="shared" si="2"/>
        <v>28</v>
      </c>
      <c r="I118" s="50">
        <v>40679.624305555553</v>
      </c>
      <c r="J118" s="58" t="s">
        <v>928</v>
      </c>
      <c r="K118" s="4">
        <f t="shared" si="3"/>
        <v>34</v>
      </c>
      <c r="L118" s="4">
        <v>3</v>
      </c>
      <c r="M118" s="4">
        <v>34</v>
      </c>
      <c r="Q118">
        <v>28</v>
      </c>
      <c r="S118" s="8"/>
    </row>
    <row r="119" spans="3:20">
      <c r="C119" s="3"/>
      <c r="F119" s="12">
        <v>323</v>
      </c>
      <c r="G119" s="51" t="s">
        <v>336</v>
      </c>
      <c r="H119" s="7">
        <f t="shared" si="2"/>
        <v>28</v>
      </c>
      <c r="I119" s="50">
        <v>40698.474999999999</v>
      </c>
      <c r="J119" s="58" t="s">
        <v>892</v>
      </c>
      <c r="K119" s="4">
        <f t="shared" si="3"/>
        <v>35</v>
      </c>
      <c r="L119" s="4">
        <v>10</v>
      </c>
      <c r="M119" s="4">
        <v>35</v>
      </c>
      <c r="Q119">
        <v>28</v>
      </c>
      <c r="S119" s="8"/>
    </row>
    <row r="120" spans="3:20">
      <c r="C120" s="3"/>
      <c r="F120" s="12">
        <v>335</v>
      </c>
      <c r="G120" s="51" t="s">
        <v>336</v>
      </c>
      <c r="H120" s="7">
        <f t="shared" si="2"/>
        <v>28</v>
      </c>
      <c r="I120" s="50">
        <v>40701.622916666667</v>
      </c>
      <c r="J120" s="58" t="s">
        <v>1262</v>
      </c>
      <c r="K120" s="4">
        <f t="shared" si="3"/>
        <v>36</v>
      </c>
      <c r="L120" s="4">
        <v>4</v>
      </c>
      <c r="M120" s="4">
        <v>36</v>
      </c>
      <c r="Q120">
        <v>28</v>
      </c>
      <c r="S120" s="8"/>
    </row>
    <row r="121" spans="3:20">
      <c r="C121" s="3"/>
      <c r="F121" s="12">
        <v>358</v>
      </c>
      <c r="G121" s="51" t="s">
        <v>336</v>
      </c>
      <c r="H121" s="7">
        <f t="shared" si="2"/>
        <v>28</v>
      </c>
      <c r="I121" s="50">
        <v>40711.575694444444</v>
      </c>
      <c r="J121" s="58" t="s">
        <v>1192</v>
      </c>
      <c r="K121" s="4">
        <f t="shared" si="3"/>
        <v>37</v>
      </c>
      <c r="L121" s="4">
        <v>3</v>
      </c>
      <c r="M121" s="4">
        <v>37</v>
      </c>
      <c r="Q121">
        <v>28</v>
      </c>
      <c r="S121" s="8"/>
    </row>
    <row r="122" spans="3:20">
      <c r="C122" s="3"/>
      <c r="F122" s="12">
        <v>360</v>
      </c>
      <c r="G122" s="51" t="s">
        <v>336</v>
      </c>
      <c r="H122" s="7">
        <f t="shared" si="2"/>
        <v>28</v>
      </c>
      <c r="I122" s="50">
        <v>40711.911805555559</v>
      </c>
      <c r="J122" s="58" t="s">
        <v>1005</v>
      </c>
      <c r="K122" s="4">
        <f t="shared" si="3"/>
        <v>38</v>
      </c>
      <c r="L122" s="4">
        <v>13</v>
      </c>
      <c r="M122" s="4">
        <v>38</v>
      </c>
      <c r="Q122">
        <v>28</v>
      </c>
      <c r="S122" s="8"/>
    </row>
    <row r="123" spans="3:20">
      <c r="C123" s="3"/>
      <c r="F123" s="12">
        <v>362</v>
      </c>
      <c r="G123" s="51" t="s">
        <v>336</v>
      </c>
      <c r="H123" s="7">
        <f t="shared" si="2"/>
        <v>28</v>
      </c>
      <c r="I123" s="50">
        <v>40711.97152777778</v>
      </c>
      <c r="J123" s="58" t="s">
        <v>1314</v>
      </c>
      <c r="K123" s="4">
        <f t="shared" si="3"/>
        <v>39</v>
      </c>
      <c r="L123" s="4">
        <v>2</v>
      </c>
      <c r="M123" s="4">
        <v>39</v>
      </c>
      <c r="Q123">
        <v>28</v>
      </c>
      <c r="S123" s="8"/>
    </row>
    <row r="124" spans="3:20">
      <c r="C124" s="3"/>
      <c r="F124" s="12">
        <v>364</v>
      </c>
      <c r="G124" s="51" t="s">
        <v>336</v>
      </c>
      <c r="H124" s="7">
        <f t="shared" si="2"/>
        <v>28</v>
      </c>
      <c r="I124" s="50">
        <v>40712.394444444442</v>
      </c>
      <c r="J124" s="58" t="s">
        <v>810</v>
      </c>
      <c r="K124" s="4">
        <f t="shared" si="3"/>
        <v>40</v>
      </c>
      <c r="L124" s="4">
        <v>23</v>
      </c>
      <c r="M124" s="4">
        <v>40</v>
      </c>
      <c r="Q124">
        <v>28</v>
      </c>
      <c r="S124" s="8"/>
    </row>
    <row r="125" spans="3:20">
      <c r="C125" s="3"/>
      <c r="F125" s="12">
        <v>1</v>
      </c>
      <c r="G125" s="51" t="s">
        <v>288</v>
      </c>
      <c r="H125" s="7">
        <f t="shared" si="2"/>
        <v>29</v>
      </c>
      <c r="I125" s="50">
        <v>40543.904861111114</v>
      </c>
      <c r="J125" s="58" t="s">
        <v>1457</v>
      </c>
      <c r="K125" s="4">
        <f t="shared" si="3"/>
        <v>1</v>
      </c>
      <c r="L125" s="4">
        <v>2</v>
      </c>
      <c r="M125" s="4">
        <v>1</v>
      </c>
      <c r="Q125">
        <v>29</v>
      </c>
      <c r="S125" s="8"/>
    </row>
    <row r="126" spans="3:20">
      <c r="C126" s="3"/>
      <c r="F126" s="12">
        <v>3</v>
      </c>
      <c r="G126" s="51" t="s">
        <v>288</v>
      </c>
      <c r="H126" s="7">
        <f t="shared" si="2"/>
        <v>29</v>
      </c>
      <c r="I126" s="50">
        <v>40549.470833333333</v>
      </c>
      <c r="J126" s="58" t="s">
        <v>1019</v>
      </c>
      <c r="K126" s="4">
        <f t="shared" si="3"/>
        <v>2</v>
      </c>
      <c r="L126" s="4">
        <v>33</v>
      </c>
      <c r="M126" s="4">
        <v>2</v>
      </c>
      <c r="Q126">
        <v>29</v>
      </c>
      <c r="S126" s="8"/>
    </row>
    <row r="127" spans="3:20">
      <c r="C127" s="3"/>
      <c r="F127" s="12">
        <v>6</v>
      </c>
      <c r="G127" s="51" t="s">
        <v>288</v>
      </c>
      <c r="H127" s="7">
        <f t="shared" si="2"/>
        <v>29</v>
      </c>
      <c r="I127" s="50">
        <v>40549.665972222225</v>
      </c>
      <c r="J127" s="58" t="s">
        <v>442</v>
      </c>
      <c r="K127" s="4">
        <f t="shared" si="3"/>
        <v>3</v>
      </c>
      <c r="L127" s="4">
        <v>2</v>
      </c>
      <c r="M127" s="4">
        <v>3</v>
      </c>
      <c r="Q127">
        <v>29</v>
      </c>
      <c r="S127" s="8"/>
    </row>
    <row r="128" spans="3:20">
      <c r="C128" s="3"/>
      <c r="F128" s="12">
        <v>7</v>
      </c>
      <c r="G128" s="51" t="s">
        <v>288</v>
      </c>
      <c r="H128" s="7">
        <f t="shared" si="2"/>
        <v>29</v>
      </c>
      <c r="I128" s="50">
        <v>40548.931944444441</v>
      </c>
      <c r="J128" s="58" t="s">
        <v>1321</v>
      </c>
      <c r="K128" s="4">
        <f t="shared" si="3"/>
        <v>4</v>
      </c>
      <c r="L128" s="4">
        <v>13</v>
      </c>
      <c r="M128" s="4">
        <v>4</v>
      </c>
      <c r="Q128">
        <v>29</v>
      </c>
      <c r="S128" s="8"/>
    </row>
    <row r="129" spans="3:19">
      <c r="C129" s="3"/>
      <c r="F129" s="12">
        <v>10</v>
      </c>
      <c r="G129" s="59" t="s">
        <v>288</v>
      </c>
      <c r="H129" s="7">
        <f t="shared" si="2"/>
        <v>29</v>
      </c>
      <c r="I129" s="50">
        <v>40552.756249999999</v>
      </c>
      <c r="J129" s="58" t="s">
        <v>1515</v>
      </c>
      <c r="K129" s="4">
        <f t="shared" si="3"/>
        <v>5</v>
      </c>
      <c r="L129" s="4">
        <v>2</v>
      </c>
      <c r="M129" s="4">
        <v>5</v>
      </c>
      <c r="Q129">
        <v>29</v>
      </c>
      <c r="S129" s="8"/>
    </row>
    <row r="130" spans="3:19">
      <c r="C130" s="3"/>
      <c r="F130" s="12">
        <v>19</v>
      </c>
      <c r="G130" s="51" t="s">
        <v>288</v>
      </c>
      <c r="H130" s="7">
        <f t="shared" ref="H130:H193" si="4">LOOKUP(G130,$N$2:$N$60,$O$2:$O$60)</f>
        <v>29</v>
      </c>
      <c r="I130" s="50">
        <v>40550.690972222219</v>
      </c>
      <c r="J130" s="58" t="s">
        <v>1324</v>
      </c>
      <c r="K130" s="4">
        <f t="shared" ref="K130:K193" si="5">IF(Q130&gt;Q129,1,K129+1)</f>
        <v>6</v>
      </c>
      <c r="L130" s="4">
        <v>3</v>
      </c>
      <c r="M130" s="4">
        <v>6</v>
      </c>
      <c r="Q130">
        <v>29</v>
      </c>
      <c r="S130" s="8"/>
    </row>
    <row r="131" spans="3:19">
      <c r="C131" s="3"/>
      <c r="F131" s="12">
        <v>22</v>
      </c>
      <c r="G131" s="59" t="s">
        <v>288</v>
      </c>
      <c r="H131" s="7">
        <f t="shared" si="4"/>
        <v>29</v>
      </c>
      <c r="I131" s="50">
        <v>40555.907638888886</v>
      </c>
      <c r="J131" s="58" t="s">
        <v>1565</v>
      </c>
      <c r="K131" s="4">
        <f t="shared" si="5"/>
        <v>7</v>
      </c>
      <c r="L131" s="4">
        <v>3</v>
      </c>
      <c r="M131" s="4">
        <v>7</v>
      </c>
      <c r="Q131">
        <v>29</v>
      </c>
      <c r="S131" s="8"/>
    </row>
    <row r="132" spans="3:19">
      <c r="C132" s="3"/>
      <c r="F132" s="12">
        <v>27</v>
      </c>
      <c r="G132" s="51" t="s">
        <v>288</v>
      </c>
      <c r="H132" s="7">
        <f t="shared" si="4"/>
        <v>29</v>
      </c>
      <c r="I132" s="50">
        <v>40558.448611111111</v>
      </c>
      <c r="J132" s="58" t="s">
        <v>1465</v>
      </c>
      <c r="K132" s="4">
        <f t="shared" si="5"/>
        <v>8</v>
      </c>
      <c r="L132" s="4">
        <v>2</v>
      </c>
      <c r="M132" s="4">
        <v>8</v>
      </c>
      <c r="Q132">
        <v>29</v>
      </c>
      <c r="S132" s="8"/>
    </row>
    <row r="133" spans="3:19">
      <c r="C133" s="3"/>
      <c r="F133" s="12">
        <v>31</v>
      </c>
      <c r="G133" s="51" t="s">
        <v>288</v>
      </c>
      <c r="H133" s="7">
        <f t="shared" si="4"/>
        <v>29</v>
      </c>
      <c r="I133" s="50">
        <v>40564.434027777781</v>
      </c>
      <c r="J133" s="58" t="s">
        <v>1929</v>
      </c>
      <c r="K133" s="4">
        <f t="shared" si="5"/>
        <v>9</v>
      </c>
      <c r="L133" s="4">
        <v>4</v>
      </c>
      <c r="M133" s="4">
        <v>9</v>
      </c>
      <c r="Q133">
        <v>29</v>
      </c>
      <c r="S133" s="8"/>
    </row>
    <row r="134" spans="3:19">
      <c r="C134" s="3"/>
      <c r="F134" s="12">
        <v>33</v>
      </c>
      <c r="G134" s="51" t="s">
        <v>288</v>
      </c>
      <c r="H134" s="7">
        <f t="shared" si="4"/>
        <v>29</v>
      </c>
      <c r="I134" s="50">
        <v>40572.676388888889</v>
      </c>
      <c r="J134" s="58" t="s">
        <v>409</v>
      </c>
      <c r="K134" s="4">
        <f t="shared" si="5"/>
        <v>10</v>
      </c>
      <c r="L134" s="4">
        <v>3</v>
      </c>
      <c r="M134" s="4">
        <v>10</v>
      </c>
      <c r="Q134">
        <v>29</v>
      </c>
      <c r="S134" s="8"/>
    </row>
    <row r="135" spans="3:19">
      <c r="C135" s="3"/>
      <c r="F135" s="12">
        <v>36</v>
      </c>
      <c r="G135" s="51" t="s">
        <v>288</v>
      </c>
      <c r="H135" s="7">
        <f t="shared" si="4"/>
        <v>29</v>
      </c>
      <c r="I135" s="50">
        <v>40574.42083333333</v>
      </c>
      <c r="J135" s="58" t="s">
        <v>481</v>
      </c>
      <c r="K135" s="4">
        <f t="shared" si="5"/>
        <v>11</v>
      </c>
      <c r="L135" s="4">
        <v>3</v>
      </c>
      <c r="M135" s="4">
        <v>11</v>
      </c>
      <c r="Q135">
        <v>29</v>
      </c>
      <c r="S135" s="8"/>
    </row>
    <row r="136" spans="3:19">
      <c r="C136" s="3"/>
      <c r="F136" s="12">
        <v>38</v>
      </c>
      <c r="G136" s="59" t="s">
        <v>288</v>
      </c>
      <c r="H136" s="7">
        <f t="shared" si="4"/>
        <v>29</v>
      </c>
      <c r="I136" s="50">
        <v>40574.540972222225</v>
      </c>
      <c r="J136" s="58" t="s">
        <v>696</v>
      </c>
      <c r="K136" s="4">
        <f t="shared" si="5"/>
        <v>12</v>
      </c>
      <c r="L136" s="4">
        <v>3</v>
      </c>
      <c r="M136" s="4">
        <v>12</v>
      </c>
      <c r="Q136">
        <v>29</v>
      </c>
      <c r="S136" s="8"/>
    </row>
    <row r="137" spans="3:19">
      <c r="C137" s="3"/>
      <c r="F137" s="12">
        <v>39</v>
      </c>
      <c r="G137" s="51" t="s">
        <v>288</v>
      </c>
      <c r="H137" s="7">
        <f t="shared" si="4"/>
        <v>29</v>
      </c>
      <c r="I137" s="50">
        <v>40574.798611111109</v>
      </c>
      <c r="J137" s="58" t="s">
        <v>615</v>
      </c>
      <c r="K137" s="4">
        <f t="shared" si="5"/>
        <v>13</v>
      </c>
      <c r="L137" s="4">
        <v>2</v>
      </c>
      <c r="M137" s="4">
        <v>13</v>
      </c>
      <c r="Q137">
        <v>29</v>
      </c>
      <c r="S137" s="8"/>
    </row>
    <row r="138" spans="3:19">
      <c r="C138" s="3"/>
      <c r="F138" s="12">
        <v>41</v>
      </c>
      <c r="G138" s="51" t="s">
        <v>288</v>
      </c>
      <c r="H138" s="7">
        <f t="shared" si="4"/>
        <v>29</v>
      </c>
      <c r="I138" s="50">
        <v>40574.709027777775</v>
      </c>
      <c r="J138" s="58" t="s">
        <v>1338</v>
      </c>
      <c r="K138" s="4">
        <f t="shared" si="5"/>
        <v>14</v>
      </c>
      <c r="L138" s="4">
        <v>5</v>
      </c>
      <c r="M138" s="4">
        <v>14</v>
      </c>
      <c r="Q138">
        <v>29</v>
      </c>
      <c r="S138" s="8"/>
    </row>
    <row r="139" spans="3:19">
      <c r="C139" s="3"/>
      <c r="F139" s="12">
        <v>43</v>
      </c>
      <c r="G139" s="51" t="s">
        <v>288</v>
      </c>
      <c r="H139" s="7">
        <f t="shared" si="4"/>
        <v>29</v>
      </c>
      <c r="I139" s="50">
        <v>40574.547222222223</v>
      </c>
      <c r="J139" s="58" t="s">
        <v>604</v>
      </c>
      <c r="K139" s="4">
        <f t="shared" si="5"/>
        <v>15</v>
      </c>
      <c r="L139" s="4">
        <v>2</v>
      </c>
      <c r="M139" s="4">
        <v>15</v>
      </c>
      <c r="Q139">
        <v>29</v>
      </c>
      <c r="S139" s="8"/>
    </row>
    <row r="140" spans="3:19">
      <c r="C140" s="3"/>
      <c r="F140" s="12">
        <v>45</v>
      </c>
      <c r="G140" s="51" t="s">
        <v>288</v>
      </c>
      <c r="H140" s="7">
        <f t="shared" si="4"/>
        <v>29</v>
      </c>
      <c r="I140" s="50">
        <v>40576.402083333334</v>
      </c>
      <c r="J140" s="58" t="s">
        <v>618</v>
      </c>
      <c r="K140" s="4">
        <f t="shared" si="5"/>
        <v>16</v>
      </c>
      <c r="L140" s="4">
        <v>2</v>
      </c>
      <c r="M140" s="4">
        <v>16</v>
      </c>
      <c r="Q140">
        <v>29</v>
      </c>
      <c r="S140" s="8"/>
    </row>
    <row r="141" spans="3:19">
      <c r="C141" s="3"/>
      <c r="F141" s="12">
        <v>53</v>
      </c>
      <c r="G141" s="59" t="s">
        <v>288</v>
      </c>
      <c r="H141" s="7">
        <f t="shared" si="4"/>
        <v>29</v>
      </c>
      <c r="I141" s="50">
        <v>40578.772222222222</v>
      </c>
      <c r="J141" s="58" t="s">
        <v>1930</v>
      </c>
      <c r="K141" s="4">
        <f t="shared" si="5"/>
        <v>17</v>
      </c>
      <c r="L141" s="4">
        <v>2</v>
      </c>
      <c r="M141" s="4">
        <v>17</v>
      </c>
      <c r="Q141">
        <v>29</v>
      </c>
      <c r="S141" s="8"/>
    </row>
    <row r="142" spans="3:19">
      <c r="C142" s="3"/>
      <c r="F142" s="12">
        <v>55</v>
      </c>
      <c r="G142" s="59" t="s">
        <v>288</v>
      </c>
      <c r="H142" s="7">
        <f t="shared" si="4"/>
        <v>29</v>
      </c>
      <c r="I142" s="50">
        <v>40578.840277777781</v>
      </c>
      <c r="J142" s="58" t="s">
        <v>752</v>
      </c>
      <c r="K142" s="4">
        <f t="shared" si="5"/>
        <v>18</v>
      </c>
      <c r="L142" s="4">
        <v>2</v>
      </c>
      <c r="M142" s="4">
        <v>18</v>
      </c>
      <c r="Q142">
        <v>29</v>
      </c>
      <c r="S142" s="8"/>
    </row>
    <row r="143" spans="3:19">
      <c r="C143" s="3"/>
      <c r="F143" s="12">
        <v>56</v>
      </c>
      <c r="G143" s="51" t="s">
        <v>288</v>
      </c>
      <c r="H143" s="7">
        <f t="shared" si="4"/>
        <v>29</v>
      </c>
      <c r="I143" s="50">
        <v>40578.849305555559</v>
      </c>
      <c r="J143" s="58" t="s">
        <v>1390</v>
      </c>
      <c r="K143" s="4">
        <f t="shared" si="5"/>
        <v>19</v>
      </c>
      <c r="L143" s="4">
        <v>2</v>
      </c>
      <c r="M143" s="4">
        <v>19</v>
      </c>
      <c r="Q143">
        <v>29</v>
      </c>
      <c r="S143" s="8"/>
    </row>
    <row r="144" spans="3:19">
      <c r="C144" s="3"/>
      <c r="D144" s="1"/>
      <c r="F144" s="12">
        <v>58</v>
      </c>
      <c r="G144" s="51" t="s">
        <v>288</v>
      </c>
      <c r="H144" s="7">
        <f t="shared" si="4"/>
        <v>29</v>
      </c>
      <c r="I144" s="50">
        <v>40578.884722222225</v>
      </c>
      <c r="J144" s="58" t="s">
        <v>1089</v>
      </c>
      <c r="K144" s="4">
        <f t="shared" si="5"/>
        <v>20</v>
      </c>
      <c r="L144" s="4">
        <v>3</v>
      </c>
      <c r="M144" s="4">
        <v>20</v>
      </c>
      <c r="Q144">
        <v>29</v>
      </c>
      <c r="S144" s="8"/>
    </row>
    <row r="145" spans="3:19">
      <c r="C145" s="3"/>
      <c r="F145" s="12">
        <v>62</v>
      </c>
      <c r="G145" s="51" t="s">
        <v>288</v>
      </c>
      <c r="H145" s="7">
        <f t="shared" si="4"/>
        <v>29</v>
      </c>
      <c r="I145" s="50">
        <v>40578.895138888889</v>
      </c>
      <c r="J145" s="58" t="s">
        <v>413</v>
      </c>
      <c r="K145" s="4">
        <f t="shared" si="5"/>
        <v>21</v>
      </c>
      <c r="L145" s="4">
        <v>2</v>
      </c>
      <c r="M145" s="4">
        <v>21</v>
      </c>
      <c r="Q145">
        <v>29</v>
      </c>
      <c r="S145" s="8"/>
    </row>
    <row r="146" spans="3:19">
      <c r="C146" s="3"/>
      <c r="F146" s="12">
        <v>67</v>
      </c>
      <c r="G146" s="51" t="s">
        <v>288</v>
      </c>
      <c r="H146" s="7">
        <f t="shared" si="4"/>
        <v>29</v>
      </c>
      <c r="I146" s="50">
        <v>40578.98333333333</v>
      </c>
      <c r="J146" s="58" t="s">
        <v>1363</v>
      </c>
      <c r="K146" s="4">
        <f t="shared" si="5"/>
        <v>22</v>
      </c>
      <c r="L146" s="4">
        <v>2</v>
      </c>
      <c r="M146" s="4">
        <v>22</v>
      </c>
      <c r="Q146">
        <v>29</v>
      </c>
      <c r="S146" s="8"/>
    </row>
    <row r="147" spans="3:19">
      <c r="C147" s="3"/>
      <c r="F147" s="12">
        <v>70</v>
      </c>
      <c r="G147" s="59" t="s">
        <v>288</v>
      </c>
      <c r="H147" s="7">
        <f t="shared" si="4"/>
        <v>29</v>
      </c>
      <c r="I147" s="50">
        <v>40582.067361111112</v>
      </c>
      <c r="J147" s="58" t="s">
        <v>1072</v>
      </c>
      <c r="K147" s="4">
        <f t="shared" si="5"/>
        <v>23</v>
      </c>
      <c r="L147" s="4">
        <v>2</v>
      </c>
      <c r="M147" s="4">
        <v>23</v>
      </c>
      <c r="Q147">
        <v>29</v>
      </c>
      <c r="S147" s="8"/>
    </row>
    <row r="148" spans="3:19">
      <c r="C148" s="3"/>
      <c r="F148" s="12">
        <v>72</v>
      </c>
      <c r="G148" s="59" t="s">
        <v>288</v>
      </c>
      <c r="H148" s="7">
        <f t="shared" si="4"/>
        <v>29</v>
      </c>
      <c r="I148" s="50">
        <v>40582.484027777777</v>
      </c>
      <c r="J148" s="58" t="s">
        <v>792</v>
      </c>
      <c r="K148" s="4">
        <f t="shared" si="5"/>
        <v>24</v>
      </c>
      <c r="L148" s="4">
        <v>2</v>
      </c>
      <c r="M148" s="4">
        <v>24</v>
      </c>
      <c r="Q148">
        <v>29</v>
      </c>
      <c r="S148" s="8"/>
    </row>
    <row r="149" spans="3:19">
      <c r="C149" s="3"/>
      <c r="F149" s="12">
        <v>74</v>
      </c>
      <c r="G149" s="51" t="s">
        <v>288</v>
      </c>
      <c r="H149" s="7">
        <f t="shared" si="4"/>
        <v>29</v>
      </c>
      <c r="I149" s="50">
        <v>40582.486805555556</v>
      </c>
      <c r="J149" s="58" t="s">
        <v>448</v>
      </c>
      <c r="K149" s="4">
        <f t="shared" si="5"/>
        <v>25</v>
      </c>
      <c r="L149" s="4">
        <v>2</v>
      </c>
      <c r="M149" s="4">
        <v>25</v>
      </c>
      <c r="Q149">
        <v>29</v>
      </c>
      <c r="S149" s="8"/>
    </row>
    <row r="150" spans="3:19">
      <c r="C150" s="3"/>
      <c r="F150" s="12">
        <v>77</v>
      </c>
      <c r="G150" s="59" t="s">
        <v>288</v>
      </c>
      <c r="H150" s="7">
        <f t="shared" si="4"/>
        <v>29</v>
      </c>
      <c r="I150" s="50">
        <v>40582.490277777775</v>
      </c>
      <c r="J150" s="58" t="s">
        <v>937</v>
      </c>
      <c r="K150" s="4">
        <f t="shared" si="5"/>
        <v>26</v>
      </c>
      <c r="L150" s="4">
        <v>2</v>
      </c>
      <c r="M150" s="4">
        <v>26</v>
      </c>
      <c r="Q150">
        <v>29</v>
      </c>
      <c r="S150" s="8"/>
    </row>
    <row r="151" spans="3:19">
      <c r="C151" s="3"/>
      <c r="F151" s="12">
        <v>80</v>
      </c>
      <c r="G151" s="51" t="s">
        <v>288</v>
      </c>
      <c r="H151" s="7">
        <f t="shared" si="4"/>
        <v>29</v>
      </c>
      <c r="I151" s="50">
        <v>40582.496527777781</v>
      </c>
      <c r="J151" s="58" t="s">
        <v>431</v>
      </c>
      <c r="K151" s="4">
        <f t="shared" si="5"/>
        <v>27</v>
      </c>
      <c r="L151" s="4">
        <v>2</v>
      </c>
      <c r="M151" s="4">
        <v>27</v>
      </c>
      <c r="Q151">
        <v>29</v>
      </c>
      <c r="S151" s="8"/>
    </row>
    <row r="152" spans="3:19">
      <c r="C152" s="3"/>
      <c r="F152" s="12">
        <v>85</v>
      </c>
      <c r="G152" s="59" t="s">
        <v>288</v>
      </c>
      <c r="H152" s="7">
        <f t="shared" si="4"/>
        <v>29</v>
      </c>
      <c r="I152" s="50">
        <v>40585.620833333334</v>
      </c>
      <c r="J152" s="58" t="s">
        <v>1011</v>
      </c>
      <c r="K152" s="4">
        <f t="shared" si="5"/>
        <v>28</v>
      </c>
      <c r="L152" s="4">
        <v>6</v>
      </c>
      <c r="M152" s="4">
        <v>28</v>
      </c>
      <c r="Q152">
        <v>29</v>
      </c>
      <c r="S152" s="8"/>
    </row>
    <row r="153" spans="3:19">
      <c r="C153" s="3"/>
      <c r="F153" s="12">
        <v>88</v>
      </c>
      <c r="G153" s="59" t="s">
        <v>288</v>
      </c>
      <c r="H153" s="7">
        <f t="shared" si="4"/>
        <v>29</v>
      </c>
      <c r="I153" s="50">
        <v>40584.697222222225</v>
      </c>
      <c r="J153" s="58" t="s">
        <v>373</v>
      </c>
      <c r="K153" s="4">
        <f t="shared" si="5"/>
        <v>29</v>
      </c>
      <c r="L153" s="4">
        <v>3</v>
      </c>
      <c r="M153" s="4">
        <v>29</v>
      </c>
      <c r="Q153">
        <v>29</v>
      </c>
      <c r="S153" s="8"/>
    </row>
    <row r="154" spans="3:19">
      <c r="C154" s="3"/>
      <c r="F154" s="12">
        <v>93</v>
      </c>
      <c r="G154" s="59" t="s">
        <v>288</v>
      </c>
      <c r="H154" s="7">
        <f t="shared" si="4"/>
        <v>29</v>
      </c>
      <c r="I154" s="50">
        <v>40586.333333333336</v>
      </c>
      <c r="J154" s="58" t="s">
        <v>1544</v>
      </c>
      <c r="K154" s="4">
        <f t="shared" si="5"/>
        <v>30</v>
      </c>
      <c r="L154" s="4">
        <v>2</v>
      </c>
      <c r="M154" s="4">
        <v>30</v>
      </c>
      <c r="Q154">
        <v>29</v>
      </c>
      <c r="S154" s="8"/>
    </row>
    <row r="155" spans="3:19">
      <c r="C155" s="3"/>
      <c r="F155" s="12">
        <v>95</v>
      </c>
      <c r="G155" s="59" t="s">
        <v>288</v>
      </c>
      <c r="H155" s="7">
        <f t="shared" si="4"/>
        <v>29</v>
      </c>
      <c r="I155" s="50">
        <v>40586.42291666667</v>
      </c>
      <c r="J155" s="58" t="s">
        <v>1932</v>
      </c>
      <c r="K155" s="4">
        <f t="shared" si="5"/>
        <v>31</v>
      </c>
      <c r="L155" s="4">
        <v>6</v>
      </c>
      <c r="M155" s="4">
        <v>31</v>
      </c>
      <c r="Q155">
        <v>29</v>
      </c>
    </row>
    <row r="156" spans="3:19">
      <c r="C156" s="3"/>
      <c r="F156" s="12">
        <v>97</v>
      </c>
      <c r="G156" s="59" t="s">
        <v>288</v>
      </c>
      <c r="H156" s="7">
        <f t="shared" si="4"/>
        <v>29</v>
      </c>
      <c r="I156" s="50">
        <v>40586.425694444442</v>
      </c>
      <c r="J156" s="58" t="s">
        <v>1518</v>
      </c>
      <c r="K156" s="4">
        <f t="shared" si="5"/>
        <v>32</v>
      </c>
      <c r="L156" s="4">
        <v>2</v>
      </c>
      <c r="M156" s="4">
        <v>32</v>
      </c>
      <c r="Q156">
        <v>29</v>
      </c>
    </row>
    <row r="157" spans="3:19">
      <c r="C157" s="3"/>
      <c r="F157" s="12">
        <v>98</v>
      </c>
      <c r="G157" s="51" t="s">
        <v>288</v>
      </c>
      <c r="H157" s="7">
        <f t="shared" si="4"/>
        <v>29</v>
      </c>
      <c r="I157" s="50">
        <v>40586.438888888886</v>
      </c>
      <c r="J157" s="58" t="s">
        <v>1241</v>
      </c>
      <c r="K157" s="4">
        <f t="shared" si="5"/>
        <v>33</v>
      </c>
      <c r="L157" s="4">
        <v>14</v>
      </c>
      <c r="M157" s="4">
        <v>33</v>
      </c>
      <c r="Q157">
        <v>29</v>
      </c>
    </row>
    <row r="158" spans="3:19">
      <c r="C158" s="3"/>
      <c r="F158" s="12">
        <v>101</v>
      </c>
      <c r="G158" s="59" t="s">
        <v>288</v>
      </c>
      <c r="H158" s="7">
        <f t="shared" si="4"/>
        <v>29</v>
      </c>
      <c r="I158" s="50">
        <v>40588.432638888888</v>
      </c>
      <c r="J158" s="58" t="s">
        <v>914</v>
      </c>
      <c r="K158" s="4">
        <f t="shared" si="5"/>
        <v>34</v>
      </c>
      <c r="L158" s="4">
        <v>2</v>
      </c>
      <c r="M158" s="4">
        <v>34</v>
      </c>
      <c r="Q158">
        <v>29</v>
      </c>
    </row>
    <row r="159" spans="3:19">
      <c r="C159" s="3"/>
      <c r="F159" s="12">
        <v>102</v>
      </c>
      <c r="G159" s="51" t="s">
        <v>288</v>
      </c>
      <c r="H159" s="7">
        <f t="shared" si="4"/>
        <v>29</v>
      </c>
      <c r="I159" s="50">
        <v>40589.388194444444</v>
      </c>
      <c r="J159" s="58" t="s">
        <v>1437</v>
      </c>
      <c r="K159" s="4">
        <f t="shared" si="5"/>
        <v>35</v>
      </c>
      <c r="L159" s="4">
        <v>2</v>
      </c>
      <c r="M159" s="4">
        <v>35</v>
      </c>
      <c r="Q159">
        <v>29</v>
      </c>
    </row>
    <row r="160" spans="3:19">
      <c r="C160" s="3"/>
      <c r="F160" s="12">
        <v>108</v>
      </c>
      <c r="G160" s="51" t="s">
        <v>288</v>
      </c>
      <c r="H160" s="7">
        <f t="shared" si="4"/>
        <v>29</v>
      </c>
      <c r="I160" s="50">
        <v>40594.836111111108</v>
      </c>
      <c r="J160" s="58" t="s">
        <v>968</v>
      </c>
      <c r="K160" s="4">
        <f t="shared" si="5"/>
        <v>36</v>
      </c>
      <c r="L160" s="4">
        <v>2</v>
      </c>
      <c r="M160" s="4">
        <v>36</v>
      </c>
      <c r="Q160">
        <v>29</v>
      </c>
    </row>
    <row r="161" spans="3:17">
      <c r="C161" s="3"/>
      <c r="F161" s="12">
        <v>114</v>
      </c>
      <c r="G161" s="51" t="s">
        <v>288</v>
      </c>
      <c r="H161" s="7">
        <f t="shared" si="4"/>
        <v>29</v>
      </c>
      <c r="I161" s="50">
        <v>40601.490277777775</v>
      </c>
      <c r="J161" s="58" t="s">
        <v>1161</v>
      </c>
      <c r="K161" s="4">
        <f t="shared" si="5"/>
        <v>37</v>
      </c>
      <c r="L161" s="4">
        <v>3</v>
      </c>
      <c r="M161" s="4">
        <v>37</v>
      </c>
      <c r="Q161">
        <v>29</v>
      </c>
    </row>
    <row r="162" spans="3:17">
      <c r="C162" s="3"/>
      <c r="F162" s="12">
        <v>116</v>
      </c>
      <c r="G162" s="51" t="s">
        <v>288</v>
      </c>
      <c r="H162" s="7">
        <f t="shared" si="4"/>
        <v>29</v>
      </c>
      <c r="I162" s="50">
        <v>40608.938888888886</v>
      </c>
      <c r="J162" s="58" t="s">
        <v>925</v>
      </c>
      <c r="K162" s="4">
        <f t="shared" si="5"/>
        <v>38</v>
      </c>
      <c r="L162" s="4">
        <v>2</v>
      </c>
      <c r="M162" s="4">
        <v>38</v>
      </c>
      <c r="Q162">
        <v>29</v>
      </c>
    </row>
    <row r="163" spans="3:17">
      <c r="C163" s="3"/>
      <c r="F163" s="12">
        <v>120</v>
      </c>
      <c r="G163" s="51" t="s">
        <v>288</v>
      </c>
      <c r="H163" s="7">
        <f t="shared" si="4"/>
        <v>29</v>
      </c>
      <c r="I163" s="50">
        <v>40612.776388888888</v>
      </c>
      <c r="J163" s="58" t="s">
        <v>567</v>
      </c>
      <c r="K163" s="4">
        <f t="shared" si="5"/>
        <v>39</v>
      </c>
      <c r="L163" s="4">
        <v>2</v>
      </c>
      <c r="M163" s="4">
        <v>39</v>
      </c>
      <c r="Q163">
        <v>29</v>
      </c>
    </row>
    <row r="164" spans="3:17">
      <c r="C164" s="3"/>
      <c r="F164" s="12">
        <v>123</v>
      </c>
      <c r="G164" s="59" t="s">
        <v>288</v>
      </c>
      <c r="H164" s="7">
        <f t="shared" si="4"/>
        <v>29</v>
      </c>
      <c r="I164" s="50">
        <v>40615.873611111114</v>
      </c>
      <c r="J164" s="58" t="s">
        <v>1933</v>
      </c>
      <c r="K164" s="4">
        <f t="shared" si="5"/>
        <v>40</v>
      </c>
      <c r="L164" s="4">
        <v>2</v>
      </c>
      <c r="M164" s="4">
        <v>40</v>
      </c>
      <c r="Q164">
        <v>29</v>
      </c>
    </row>
    <row r="165" spans="3:17">
      <c r="C165" s="3"/>
      <c r="F165" s="12">
        <v>126</v>
      </c>
      <c r="G165" s="51" t="s">
        <v>288</v>
      </c>
      <c r="H165" s="7">
        <f t="shared" si="4"/>
        <v>29</v>
      </c>
      <c r="I165" s="50">
        <v>40616.479861111111</v>
      </c>
      <c r="J165" s="58" t="s">
        <v>740</v>
      </c>
      <c r="K165" s="4">
        <f t="shared" si="5"/>
        <v>41</v>
      </c>
      <c r="L165" s="4">
        <v>2</v>
      </c>
      <c r="M165" s="4">
        <v>41</v>
      </c>
      <c r="Q165">
        <v>29</v>
      </c>
    </row>
    <row r="166" spans="3:17">
      <c r="C166" s="3"/>
      <c r="F166" s="12">
        <v>130</v>
      </c>
      <c r="G166" s="51" t="s">
        <v>288</v>
      </c>
      <c r="H166" s="7">
        <f t="shared" si="4"/>
        <v>29</v>
      </c>
      <c r="I166" s="50">
        <v>40616.563888888886</v>
      </c>
      <c r="J166" s="58" t="s">
        <v>933</v>
      </c>
      <c r="K166" s="4">
        <f t="shared" si="5"/>
        <v>42</v>
      </c>
      <c r="L166" s="4">
        <v>7</v>
      </c>
      <c r="M166" s="4">
        <v>42</v>
      </c>
      <c r="Q166">
        <v>29</v>
      </c>
    </row>
    <row r="167" spans="3:17">
      <c r="C167" s="3"/>
      <c r="F167" s="12">
        <v>132</v>
      </c>
      <c r="G167" s="51" t="s">
        <v>288</v>
      </c>
      <c r="H167" s="7">
        <f t="shared" si="4"/>
        <v>29</v>
      </c>
      <c r="I167" s="50">
        <v>40616.478472222225</v>
      </c>
      <c r="J167" s="58" t="s">
        <v>797</v>
      </c>
      <c r="K167" s="4">
        <f t="shared" si="5"/>
        <v>43</v>
      </c>
      <c r="L167" s="4">
        <v>2</v>
      </c>
      <c r="M167" s="4">
        <v>43</v>
      </c>
      <c r="Q167">
        <v>29</v>
      </c>
    </row>
    <row r="168" spans="3:17">
      <c r="C168" s="3"/>
      <c r="F168" s="12">
        <v>134</v>
      </c>
      <c r="G168" s="51" t="s">
        <v>288</v>
      </c>
      <c r="H168" s="7">
        <f t="shared" si="4"/>
        <v>29</v>
      </c>
      <c r="I168" s="50">
        <v>40616.880555555559</v>
      </c>
      <c r="J168" s="58" t="s">
        <v>761</v>
      </c>
      <c r="K168" s="4">
        <f t="shared" si="5"/>
        <v>44</v>
      </c>
      <c r="L168" s="4">
        <v>2</v>
      </c>
      <c r="M168" s="4">
        <v>44</v>
      </c>
      <c r="Q168">
        <v>29</v>
      </c>
    </row>
    <row r="169" spans="3:17">
      <c r="C169" s="3"/>
      <c r="F169" s="12">
        <v>138</v>
      </c>
      <c r="G169" s="51" t="s">
        <v>288</v>
      </c>
      <c r="H169" s="7">
        <f t="shared" si="4"/>
        <v>29</v>
      </c>
      <c r="I169" s="50">
        <v>40619.563888888886</v>
      </c>
      <c r="J169" s="58" t="s">
        <v>1318</v>
      </c>
      <c r="K169" s="4">
        <f t="shared" si="5"/>
        <v>45</v>
      </c>
      <c r="L169" s="4">
        <v>3</v>
      </c>
      <c r="M169" s="4">
        <v>45</v>
      </c>
      <c r="Q169">
        <v>29</v>
      </c>
    </row>
    <row r="170" spans="3:17">
      <c r="C170" s="3"/>
      <c r="F170" s="12">
        <v>144</v>
      </c>
      <c r="G170" s="59" t="s">
        <v>288</v>
      </c>
      <c r="H170" s="7">
        <f t="shared" si="4"/>
        <v>29</v>
      </c>
      <c r="I170" s="50">
        <v>40620.840277777781</v>
      </c>
      <c r="J170" s="58" t="s">
        <v>1934</v>
      </c>
      <c r="K170" s="4">
        <f t="shared" si="5"/>
        <v>46</v>
      </c>
      <c r="L170" s="4">
        <v>2</v>
      </c>
      <c r="M170" s="4">
        <v>46</v>
      </c>
      <c r="Q170">
        <v>29</v>
      </c>
    </row>
    <row r="171" spans="3:17">
      <c r="C171" s="3"/>
      <c r="F171" s="12">
        <v>145</v>
      </c>
      <c r="G171" s="51" t="s">
        <v>288</v>
      </c>
      <c r="H171" s="7">
        <f t="shared" si="4"/>
        <v>29</v>
      </c>
      <c r="I171" s="50">
        <v>40620.634722222225</v>
      </c>
      <c r="J171" s="58" t="s">
        <v>679</v>
      </c>
      <c r="K171" s="4">
        <f t="shared" si="5"/>
        <v>47</v>
      </c>
      <c r="L171" s="4">
        <v>2</v>
      </c>
      <c r="M171" s="4">
        <v>47</v>
      </c>
      <c r="Q171">
        <v>29</v>
      </c>
    </row>
    <row r="172" spans="3:17">
      <c r="C172" s="3"/>
      <c r="F172" s="12">
        <v>147</v>
      </c>
      <c r="G172" s="51" t="s">
        <v>288</v>
      </c>
      <c r="H172" s="7">
        <f t="shared" si="4"/>
        <v>29</v>
      </c>
      <c r="I172" s="50">
        <v>40620.894444444442</v>
      </c>
      <c r="J172" s="58" t="s">
        <v>634</v>
      </c>
      <c r="K172" s="4">
        <f t="shared" si="5"/>
        <v>48</v>
      </c>
      <c r="L172" s="4">
        <v>6</v>
      </c>
      <c r="M172" s="4">
        <v>48</v>
      </c>
      <c r="Q172">
        <v>29</v>
      </c>
    </row>
    <row r="173" spans="3:17">
      <c r="C173" s="3"/>
      <c r="F173" s="12">
        <v>149</v>
      </c>
      <c r="G173" s="51" t="s">
        <v>288</v>
      </c>
      <c r="H173" s="7">
        <f t="shared" si="4"/>
        <v>29</v>
      </c>
      <c r="I173" s="50">
        <v>40622.984027777777</v>
      </c>
      <c r="J173" s="58" t="s">
        <v>1135</v>
      </c>
      <c r="K173" s="4">
        <f t="shared" si="5"/>
        <v>49</v>
      </c>
      <c r="L173" s="4">
        <v>2</v>
      </c>
      <c r="M173" s="4">
        <v>49</v>
      </c>
      <c r="Q173">
        <v>29</v>
      </c>
    </row>
    <row r="174" spans="3:17">
      <c r="C174" s="3"/>
      <c r="F174" s="12">
        <v>155</v>
      </c>
      <c r="G174" s="51" t="s">
        <v>288</v>
      </c>
      <c r="H174" s="7">
        <f t="shared" si="4"/>
        <v>29</v>
      </c>
      <c r="I174" s="50">
        <v>40629.880555555559</v>
      </c>
      <c r="J174" s="58" t="s">
        <v>1310</v>
      </c>
      <c r="K174" s="4">
        <f t="shared" si="5"/>
        <v>50</v>
      </c>
      <c r="L174" s="4">
        <v>2</v>
      </c>
      <c r="M174" s="4">
        <v>50</v>
      </c>
      <c r="Q174">
        <v>29</v>
      </c>
    </row>
    <row r="175" spans="3:17">
      <c r="C175" s="3"/>
      <c r="F175" s="12">
        <v>157</v>
      </c>
      <c r="G175" s="51" t="s">
        <v>288</v>
      </c>
      <c r="H175" s="7">
        <f t="shared" si="4"/>
        <v>29</v>
      </c>
      <c r="I175" s="50">
        <v>40628.90347222222</v>
      </c>
      <c r="J175" s="58" t="s">
        <v>1384</v>
      </c>
      <c r="K175" s="4">
        <f t="shared" si="5"/>
        <v>51</v>
      </c>
      <c r="L175" s="4">
        <v>2</v>
      </c>
      <c r="M175" s="4">
        <v>51</v>
      </c>
      <c r="Q175">
        <v>29</v>
      </c>
    </row>
    <row r="176" spans="3:17">
      <c r="C176" s="3"/>
      <c r="F176" s="12">
        <v>159</v>
      </c>
      <c r="G176" s="51" t="s">
        <v>288</v>
      </c>
      <c r="H176" s="7">
        <f t="shared" si="4"/>
        <v>29</v>
      </c>
      <c r="I176" s="50">
        <v>40630.592361111114</v>
      </c>
      <c r="J176" s="58" t="s">
        <v>670</v>
      </c>
      <c r="K176" s="4">
        <f t="shared" si="5"/>
        <v>52</v>
      </c>
      <c r="L176" s="4">
        <v>10</v>
      </c>
      <c r="M176" s="4">
        <v>52</v>
      </c>
      <c r="Q176">
        <v>29</v>
      </c>
    </row>
    <row r="177" spans="3:17">
      <c r="C177" s="3"/>
      <c r="F177" s="12">
        <v>161</v>
      </c>
      <c r="G177" s="51" t="s">
        <v>288</v>
      </c>
      <c r="H177" s="7">
        <f t="shared" si="4"/>
        <v>29</v>
      </c>
      <c r="I177" s="50">
        <v>40631.375</v>
      </c>
      <c r="J177" s="58" t="s">
        <v>1186</v>
      </c>
      <c r="K177" s="4">
        <f t="shared" si="5"/>
        <v>53</v>
      </c>
      <c r="L177" s="4">
        <v>2</v>
      </c>
      <c r="M177" s="4">
        <v>53</v>
      </c>
      <c r="Q177">
        <v>29</v>
      </c>
    </row>
    <row r="178" spans="3:17">
      <c r="C178" s="3"/>
      <c r="F178" s="12">
        <v>164</v>
      </c>
      <c r="G178" s="59" t="s">
        <v>288</v>
      </c>
      <c r="H178" s="7">
        <f t="shared" si="4"/>
        <v>29</v>
      </c>
      <c r="I178" s="50">
        <v>40632.416666666664</v>
      </c>
      <c r="J178" s="58" t="s">
        <v>570</v>
      </c>
      <c r="K178" s="4">
        <f t="shared" si="5"/>
        <v>54</v>
      </c>
      <c r="L178" s="4">
        <v>7</v>
      </c>
      <c r="M178" s="4">
        <v>54</v>
      </c>
      <c r="Q178">
        <v>29</v>
      </c>
    </row>
    <row r="179" spans="3:17">
      <c r="C179" s="3"/>
      <c r="F179" s="12">
        <v>167</v>
      </c>
      <c r="G179" s="51" t="s">
        <v>288</v>
      </c>
      <c r="H179" s="7">
        <f t="shared" si="4"/>
        <v>29</v>
      </c>
      <c r="I179" s="50">
        <v>40632.606249999997</v>
      </c>
      <c r="J179" s="58" t="s">
        <v>477</v>
      </c>
      <c r="K179" s="4">
        <f t="shared" si="5"/>
        <v>55</v>
      </c>
      <c r="L179" s="4">
        <v>3</v>
      </c>
      <c r="M179" s="4">
        <v>55</v>
      </c>
      <c r="Q179">
        <v>29</v>
      </c>
    </row>
    <row r="180" spans="3:17">
      <c r="C180" s="3"/>
      <c r="F180" s="12">
        <v>171</v>
      </c>
      <c r="G180" s="51" t="s">
        <v>288</v>
      </c>
      <c r="H180" s="7">
        <f t="shared" si="4"/>
        <v>29</v>
      </c>
      <c r="I180" s="50">
        <v>40632.42291666667</v>
      </c>
      <c r="J180" s="58" t="s">
        <v>676</v>
      </c>
      <c r="K180" s="4">
        <f t="shared" si="5"/>
        <v>56</v>
      </c>
      <c r="L180" s="4">
        <v>2</v>
      </c>
      <c r="M180" s="4">
        <v>56</v>
      </c>
      <c r="Q180">
        <v>29</v>
      </c>
    </row>
    <row r="181" spans="3:17">
      <c r="C181" s="3"/>
      <c r="F181" s="12">
        <v>174</v>
      </c>
      <c r="G181" s="51" t="s">
        <v>288</v>
      </c>
      <c r="H181" s="7">
        <f t="shared" si="4"/>
        <v>29</v>
      </c>
      <c r="I181" s="50">
        <v>40632.901388888888</v>
      </c>
      <c r="J181" s="58" t="s">
        <v>665</v>
      </c>
      <c r="K181" s="4">
        <f t="shared" si="5"/>
        <v>57</v>
      </c>
      <c r="L181" s="4">
        <v>2</v>
      </c>
      <c r="M181" s="4">
        <v>57</v>
      </c>
      <c r="Q181">
        <v>29</v>
      </c>
    </row>
    <row r="182" spans="3:17">
      <c r="C182" s="3"/>
      <c r="F182" s="12">
        <v>177</v>
      </c>
      <c r="G182" s="59" t="s">
        <v>288</v>
      </c>
      <c r="H182" s="7">
        <f t="shared" si="4"/>
        <v>29</v>
      </c>
      <c r="I182" s="50">
        <v>40633.791666666664</v>
      </c>
      <c r="J182" s="58" t="s">
        <v>586</v>
      </c>
      <c r="K182" s="4">
        <f t="shared" si="5"/>
        <v>58</v>
      </c>
      <c r="L182" s="4">
        <v>2</v>
      </c>
      <c r="M182" s="4">
        <v>58</v>
      </c>
      <c r="Q182">
        <v>29</v>
      </c>
    </row>
    <row r="183" spans="3:17">
      <c r="C183" s="3"/>
      <c r="F183" s="12">
        <v>178</v>
      </c>
      <c r="G183" s="51" t="s">
        <v>288</v>
      </c>
      <c r="H183" s="7">
        <f t="shared" si="4"/>
        <v>29</v>
      </c>
      <c r="I183" s="50">
        <v>40633.763194444444</v>
      </c>
      <c r="J183" s="58" t="s">
        <v>1155</v>
      </c>
      <c r="K183" s="4">
        <f t="shared" si="5"/>
        <v>59</v>
      </c>
      <c r="L183" s="4">
        <v>3</v>
      </c>
      <c r="M183" s="4">
        <v>59</v>
      </c>
      <c r="Q183">
        <v>29</v>
      </c>
    </row>
    <row r="184" spans="3:17">
      <c r="C184" s="3"/>
      <c r="F184" s="12">
        <v>182</v>
      </c>
      <c r="G184" s="51" t="s">
        <v>288</v>
      </c>
      <c r="H184" s="7">
        <f t="shared" si="4"/>
        <v>29</v>
      </c>
      <c r="I184" s="50">
        <v>40634.629166666666</v>
      </c>
      <c r="J184" s="58" t="s">
        <v>579</v>
      </c>
      <c r="K184" s="4">
        <f t="shared" si="5"/>
        <v>60</v>
      </c>
      <c r="L184" s="4">
        <v>2</v>
      </c>
      <c r="M184" s="4">
        <v>60</v>
      </c>
      <c r="Q184">
        <v>29</v>
      </c>
    </row>
    <row r="185" spans="3:17">
      <c r="C185" s="3"/>
      <c r="F185" s="12">
        <v>184</v>
      </c>
      <c r="G185" s="51" t="s">
        <v>288</v>
      </c>
      <c r="H185" s="7">
        <f t="shared" si="4"/>
        <v>29</v>
      </c>
      <c r="I185" s="50">
        <v>40634.600694444445</v>
      </c>
      <c r="J185" s="58" t="s">
        <v>1108</v>
      </c>
      <c r="K185" s="4">
        <f t="shared" si="5"/>
        <v>61</v>
      </c>
      <c r="L185" s="4">
        <v>6</v>
      </c>
      <c r="M185" s="4">
        <v>61</v>
      </c>
      <c r="Q185">
        <v>29</v>
      </c>
    </row>
    <row r="186" spans="3:17">
      <c r="C186" s="3"/>
      <c r="F186" s="12">
        <v>188</v>
      </c>
      <c r="G186" s="59" t="s">
        <v>288</v>
      </c>
      <c r="H186" s="7">
        <f t="shared" si="4"/>
        <v>29</v>
      </c>
      <c r="I186" s="50">
        <v>40637.410416666666</v>
      </c>
      <c r="J186" s="58" t="s">
        <v>1002</v>
      </c>
      <c r="K186" s="4">
        <f t="shared" si="5"/>
        <v>62</v>
      </c>
      <c r="L186" s="4">
        <v>2</v>
      </c>
      <c r="M186" s="4">
        <v>62</v>
      </c>
      <c r="Q186">
        <v>29</v>
      </c>
    </row>
    <row r="187" spans="3:17">
      <c r="C187" s="3"/>
      <c r="F187" s="12">
        <v>190</v>
      </c>
      <c r="G187" s="59" t="s">
        <v>288</v>
      </c>
      <c r="H187" s="7">
        <f t="shared" si="4"/>
        <v>29</v>
      </c>
      <c r="I187" s="50">
        <v>40644.39166666667</v>
      </c>
      <c r="J187" s="58" t="s">
        <v>1180</v>
      </c>
      <c r="K187" s="4">
        <f t="shared" si="5"/>
        <v>63</v>
      </c>
      <c r="L187" s="4">
        <v>2</v>
      </c>
      <c r="M187" s="4">
        <v>63</v>
      </c>
      <c r="Q187">
        <v>29</v>
      </c>
    </row>
    <row r="188" spans="3:17">
      <c r="C188" s="3"/>
      <c r="F188" s="12">
        <v>192</v>
      </c>
      <c r="G188" s="59" t="s">
        <v>288</v>
      </c>
      <c r="H188" s="7">
        <f t="shared" si="4"/>
        <v>29</v>
      </c>
      <c r="I188" s="50">
        <v>40646.385416666664</v>
      </c>
      <c r="J188" s="58" t="s">
        <v>1044</v>
      </c>
      <c r="K188" s="4">
        <f t="shared" si="5"/>
        <v>64</v>
      </c>
      <c r="L188" s="4">
        <v>5</v>
      </c>
      <c r="M188" s="4">
        <v>64</v>
      </c>
      <c r="Q188">
        <v>29</v>
      </c>
    </row>
    <row r="189" spans="3:17">
      <c r="C189" s="3"/>
      <c r="F189" s="12">
        <v>193</v>
      </c>
      <c r="G189" s="51" t="s">
        <v>288</v>
      </c>
      <c r="H189" s="7">
        <f t="shared" si="4"/>
        <v>29</v>
      </c>
      <c r="I189" s="50">
        <v>40648.731249999997</v>
      </c>
      <c r="J189" s="58" t="s">
        <v>1164</v>
      </c>
      <c r="K189" s="4">
        <f t="shared" si="5"/>
        <v>65</v>
      </c>
      <c r="L189" s="4">
        <v>2</v>
      </c>
      <c r="M189" s="4">
        <v>65</v>
      </c>
      <c r="Q189">
        <v>29</v>
      </c>
    </row>
    <row r="190" spans="3:17">
      <c r="C190" s="3"/>
      <c r="F190" s="12">
        <v>195</v>
      </c>
      <c r="G190" s="51" t="s">
        <v>288</v>
      </c>
      <c r="H190" s="7">
        <f t="shared" si="4"/>
        <v>29</v>
      </c>
      <c r="I190" s="50">
        <v>40648.621527777781</v>
      </c>
      <c r="J190" s="58" t="s">
        <v>1132</v>
      </c>
      <c r="K190" s="4">
        <f t="shared" si="5"/>
        <v>66</v>
      </c>
      <c r="L190" s="4">
        <v>4</v>
      </c>
      <c r="M190" s="4">
        <v>66</v>
      </c>
      <c r="Q190">
        <v>29</v>
      </c>
    </row>
    <row r="191" spans="3:17">
      <c r="C191" s="3"/>
      <c r="F191" s="12">
        <v>197</v>
      </c>
      <c r="G191" s="51" t="s">
        <v>288</v>
      </c>
      <c r="H191" s="7">
        <f t="shared" si="4"/>
        <v>29</v>
      </c>
      <c r="I191" s="50">
        <v>40648.902777777781</v>
      </c>
      <c r="J191" s="58" t="s">
        <v>1152</v>
      </c>
      <c r="K191" s="4">
        <f t="shared" si="5"/>
        <v>67</v>
      </c>
      <c r="L191" s="4">
        <v>10</v>
      </c>
      <c r="M191" s="4">
        <v>67</v>
      </c>
      <c r="Q191">
        <v>29</v>
      </c>
    </row>
    <row r="192" spans="3:17">
      <c r="C192" s="3"/>
      <c r="F192" s="12">
        <v>199</v>
      </c>
      <c r="G192" s="51" t="s">
        <v>288</v>
      </c>
      <c r="H192" s="7">
        <f t="shared" si="4"/>
        <v>29</v>
      </c>
      <c r="I192" s="50">
        <v>40648.955555555556</v>
      </c>
      <c r="J192" s="58" t="s">
        <v>1062</v>
      </c>
      <c r="K192" s="4">
        <f t="shared" si="5"/>
        <v>68</v>
      </c>
      <c r="L192" s="4">
        <v>2</v>
      </c>
      <c r="M192" s="4">
        <v>68</v>
      </c>
      <c r="Q192">
        <v>29</v>
      </c>
    </row>
    <row r="193" spans="3:17">
      <c r="C193" s="3"/>
      <c r="F193" s="12">
        <v>202</v>
      </c>
      <c r="G193" s="51" t="s">
        <v>288</v>
      </c>
      <c r="H193" s="7">
        <f t="shared" si="4"/>
        <v>29</v>
      </c>
      <c r="I193" s="50">
        <v>40651.556250000001</v>
      </c>
      <c r="J193" s="58" t="s">
        <v>1478</v>
      </c>
      <c r="K193" s="4">
        <f t="shared" si="5"/>
        <v>69</v>
      </c>
      <c r="L193" s="4">
        <v>9</v>
      </c>
      <c r="M193" s="4">
        <v>69</v>
      </c>
      <c r="Q193">
        <v>29</v>
      </c>
    </row>
    <row r="194" spans="3:17">
      <c r="C194" s="3"/>
      <c r="F194" s="12">
        <v>205</v>
      </c>
      <c r="G194" s="59" t="s">
        <v>288</v>
      </c>
      <c r="H194" s="7">
        <f t="shared" ref="H194:H257" si="6">LOOKUP(G194,$N$2:$N$60,$O$2:$O$60)</f>
        <v>29</v>
      </c>
      <c r="I194" s="50">
        <v>40651.561111111114</v>
      </c>
      <c r="J194" s="58" t="s">
        <v>1025</v>
      </c>
      <c r="K194" s="4">
        <f t="shared" ref="K194:K257" si="7">IF(Q194&gt;Q193,1,K193+1)</f>
        <v>70</v>
      </c>
      <c r="L194" s="4">
        <v>10</v>
      </c>
      <c r="M194" s="4">
        <v>70</v>
      </c>
      <c r="Q194">
        <v>29</v>
      </c>
    </row>
    <row r="195" spans="3:17">
      <c r="C195" s="3"/>
      <c r="F195" s="12">
        <v>206</v>
      </c>
      <c r="G195" s="51" t="s">
        <v>288</v>
      </c>
      <c r="H195" s="7">
        <f t="shared" si="6"/>
        <v>29</v>
      </c>
      <c r="I195" s="50">
        <v>40651.561805555553</v>
      </c>
      <c r="J195" s="58" t="s">
        <v>794</v>
      </c>
      <c r="K195" s="4">
        <f t="shared" si="7"/>
        <v>71</v>
      </c>
      <c r="L195" s="4">
        <v>10</v>
      </c>
      <c r="M195" s="4">
        <v>71</v>
      </c>
      <c r="Q195">
        <v>29</v>
      </c>
    </row>
    <row r="196" spans="3:17">
      <c r="C196" s="3"/>
      <c r="F196" s="12">
        <v>208</v>
      </c>
      <c r="G196" s="51" t="s">
        <v>288</v>
      </c>
      <c r="H196" s="7">
        <f t="shared" si="6"/>
        <v>29</v>
      </c>
      <c r="I196" s="50">
        <v>40651.558333333334</v>
      </c>
      <c r="J196" s="58" t="s">
        <v>595</v>
      </c>
      <c r="K196" s="4">
        <f t="shared" si="7"/>
        <v>72</v>
      </c>
      <c r="L196" s="4">
        <v>2</v>
      </c>
      <c r="M196" s="4">
        <v>72</v>
      </c>
      <c r="Q196">
        <v>29</v>
      </c>
    </row>
    <row r="197" spans="3:17">
      <c r="C197" s="3"/>
      <c r="F197" s="12">
        <v>212</v>
      </c>
      <c r="G197" s="51" t="s">
        <v>288</v>
      </c>
      <c r="H197" s="7">
        <f t="shared" si="6"/>
        <v>29</v>
      </c>
      <c r="I197" s="50">
        <v>40652.4375</v>
      </c>
      <c r="J197" s="58" t="s">
        <v>754</v>
      </c>
      <c r="K197" s="4">
        <f t="shared" si="7"/>
        <v>73</v>
      </c>
      <c r="L197" s="4">
        <v>2</v>
      </c>
      <c r="M197" s="4">
        <v>73</v>
      </c>
      <c r="Q197">
        <v>29</v>
      </c>
    </row>
    <row r="198" spans="3:17">
      <c r="C198" s="3"/>
      <c r="F198" s="12">
        <v>217</v>
      </c>
      <c r="G198" s="59" t="s">
        <v>288</v>
      </c>
      <c r="H198" s="7">
        <f t="shared" si="6"/>
        <v>29</v>
      </c>
      <c r="I198" s="50">
        <v>40654.63958333333</v>
      </c>
      <c r="J198" s="58" t="s">
        <v>1496</v>
      </c>
      <c r="K198" s="4">
        <f t="shared" si="7"/>
        <v>74</v>
      </c>
      <c r="L198" s="4">
        <v>2</v>
      </c>
      <c r="M198" s="4">
        <v>74</v>
      </c>
      <c r="Q198">
        <v>29</v>
      </c>
    </row>
    <row r="199" spans="3:17">
      <c r="C199" s="3"/>
      <c r="F199" s="12">
        <v>218</v>
      </c>
      <c r="G199" s="51" t="s">
        <v>288</v>
      </c>
      <c r="H199" s="7">
        <f t="shared" si="6"/>
        <v>29</v>
      </c>
      <c r="I199" s="50">
        <v>40655.459027777775</v>
      </c>
      <c r="J199" s="58" t="s">
        <v>1059</v>
      </c>
      <c r="K199" s="4">
        <f t="shared" si="7"/>
        <v>75</v>
      </c>
      <c r="L199" s="4">
        <v>3</v>
      </c>
      <c r="M199" s="4">
        <v>75</v>
      </c>
      <c r="Q199">
        <v>29</v>
      </c>
    </row>
    <row r="200" spans="3:17">
      <c r="C200" s="3"/>
      <c r="F200" s="12">
        <v>220</v>
      </c>
      <c r="G200" s="51" t="s">
        <v>288</v>
      </c>
      <c r="H200" s="7">
        <f t="shared" si="6"/>
        <v>29</v>
      </c>
      <c r="I200" s="50">
        <v>40654.87777777778</v>
      </c>
      <c r="J200" s="58" t="s">
        <v>1105</v>
      </c>
      <c r="K200" s="4">
        <f t="shared" si="7"/>
        <v>76</v>
      </c>
      <c r="L200" s="4">
        <v>2</v>
      </c>
      <c r="M200" s="4">
        <v>76</v>
      </c>
      <c r="Q200">
        <v>29</v>
      </c>
    </row>
    <row r="201" spans="3:17">
      <c r="C201" s="3"/>
      <c r="F201" s="12">
        <v>223</v>
      </c>
      <c r="G201" s="59" t="s">
        <v>288</v>
      </c>
      <c r="H201" s="7">
        <f t="shared" si="6"/>
        <v>29</v>
      </c>
      <c r="I201" s="50">
        <v>40658.513888888891</v>
      </c>
      <c r="J201" s="58" t="s">
        <v>855</v>
      </c>
      <c r="K201" s="4">
        <f t="shared" si="7"/>
        <v>77</v>
      </c>
      <c r="L201" s="4">
        <v>2</v>
      </c>
      <c r="M201" s="4">
        <v>77</v>
      </c>
      <c r="Q201">
        <v>29</v>
      </c>
    </row>
    <row r="202" spans="3:17">
      <c r="F202" s="12">
        <v>224</v>
      </c>
      <c r="G202" s="51" t="s">
        <v>288</v>
      </c>
      <c r="H202" s="7">
        <f t="shared" si="6"/>
        <v>29</v>
      </c>
      <c r="I202" s="50">
        <v>40658.55972222222</v>
      </c>
      <c r="J202" s="58" t="s">
        <v>1472</v>
      </c>
      <c r="K202" s="4">
        <f t="shared" si="7"/>
        <v>78</v>
      </c>
      <c r="L202" s="4">
        <v>10</v>
      </c>
      <c r="M202" s="4">
        <v>78</v>
      </c>
      <c r="Q202">
        <v>29</v>
      </c>
    </row>
    <row r="203" spans="3:17">
      <c r="F203" s="12">
        <v>226</v>
      </c>
      <c r="G203" s="51" t="s">
        <v>288</v>
      </c>
      <c r="H203" s="7">
        <f t="shared" si="6"/>
        <v>29</v>
      </c>
      <c r="I203" s="50">
        <v>40659.734722222223</v>
      </c>
      <c r="J203" s="58" t="s">
        <v>1054</v>
      </c>
      <c r="K203" s="4">
        <f t="shared" si="7"/>
        <v>79</v>
      </c>
      <c r="L203" s="4">
        <v>10</v>
      </c>
      <c r="M203" s="4">
        <v>79</v>
      </c>
      <c r="Q203">
        <v>29</v>
      </c>
    </row>
    <row r="204" spans="3:17">
      <c r="F204" s="12">
        <v>228</v>
      </c>
      <c r="G204" s="51" t="s">
        <v>288</v>
      </c>
      <c r="H204" s="7">
        <f t="shared" si="6"/>
        <v>29</v>
      </c>
      <c r="I204" s="50">
        <v>40661.711111111108</v>
      </c>
      <c r="J204" s="58" t="s">
        <v>486</v>
      </c>
      <c r="K204" s="4">
        <f t="shared" si="7"/>
        <v>80</v>
      </c>
      <c r="L204" s="4">
        <v>3</v>
      </c>
      <c r="M204" s="4">
        <v>80</v>
      </c>
      <c r="Q204">
        <v>29</v>
      </c>
    </row>
    <row r="205" spans="3:17">
      <c r="F205" s="12">
        <v>239</v>
      </c>
      <c r="G205" s="59" t="s">
        <v>288</v>
      </c>
      <c r="H205" s="7">
        <f t="shared" si="6"/>
        <v>29</v>
      </c>
      <c r="I205" s="50">
        <v>40664.635416666664</v>
      </c>
      <c r="J205" s="58" t="s">
        <v>1290</v>
      </c>
      <c r="K205" s="4">
        <f t="shared" si="7"/>
        <v>81</v>
      </c>
      <c r="L205" s="4">
        <v>2</v>
      </c>
      <c r="M205" s="4">
        <v>81</v>
      </c>
      <c r="Q205">
        <v>29</v>
      </c>
    </row>
    <row r="206" spans="3:17">
      <c r="F206" s="12">
        <v>241</v>
      </c>
      <c r="G206" s="51" t="s">
        <v>288</v>
      </c>
      <c r="H206" s="7">
        <f t="shared" si="6"/>
        <v>29</v>
      </c>
      <c r="I206" s="50">
        <v>40664.679166666669</v>
      </c>
      <c r="J206" s="58" t="s">
        <v>1935</v>
      </c>
      <c r="K206" s="4">
        <f t="shared" si="7"/>
        <v>82</v>
      </c>
      <c r="L206" s="4">
        <v>2</v>
      </c>
      <c r="M206" s="4">
        <v>82</v>
      </c>
      <c r="Q206">
        <v>29</v>
      </c>
    </row>
    <row r="207" spans="3:17">
      <c r="F207" s="12">
        <v>243</v>
      </c>
      <c r="G207" s="51" t="s">
        <v>288</v>
      </c>
      <c r="H207" s="7">
        <f t="shared" si="6"/>
        <v>29</v>
      </c>
      <c r="I207" s="50">
        <v>40664.537499999999</v>
      </c>
      <c r="J207" s="58" t="s">
        <v>952</v>
      </c>
      <c r="K207" s="4">
        <f t="shared" si="7"/>
        <v>83</v>
      </c>
      <c r="L207" s="4">
        <v>3</v>
      </c>
      <c r="M207" s="4">
        <v>83</v>
      </c>
      <c r="Q207">
        <v>29</v>
      </c>
    </row>
    <row r="208" spans="3:17">
      <c r="F208" s="12">
        <v>249</v>
      </c>
      <c r="G208" s="51" t="s">
        <v>288</v>
      </c>
      <c r="H208" s="7">
        <f t="shared" si="6"/>
        <v>29</v>
      </c>
      <c r="I208" s="50">
        <v>40667.481944444444</v>
      </c>
      <c r="J208" s="58" t="s">
        <v>1381</v>
      </c>
      <c r="K208" s="4">
        <f t="shared" si="7"/>
        <v>84</v>
      </c>
      <c r="L208" s="4">
        <v>2</v>
      </c>
      <c r="M208" s="4">
        <v>84</v>
      </c>
      <c r="Q208">
        <v>29</v>
      </c>
    </row>
    <row r="209" spans="6:17">
      <c r="F209" s="12">
        <v>251</v>
      </c>
      <c r="G209" s="51" t="s">
        <v>288</v>
      </c>
      <c r="H209" s="7">
        <f t="shared" si="6"/>
        <v>29</v>
      </c>
      <c r="I209" s="50">
        <v>40645.581250000003</v>
      </c>
      <c r="J209" s="58" t="s">
        <v>1366</v>
      </c>
      <c r="K209" s="4">
        <f t="shared" si="7"/>
        <v>85</v>
      </c>
      <c r="L209" s="4">
        <v>10</v>
      </c>
      <c r="M209" s="4">
        <v>85</v>
      </c>
      <c r="Q209">
        <v>29</v>
      </c>
    </row>
    <row r="210" spans="6:17">
      <c r="F210" s="12">
        <v>257</v>
      </c>
      <c r="G210" s="51" t="s">
        <v>288</v>
      </c>
      <c r="H210" s="7">
        <f t="shared" si="6"/>
        <v>29</v>
      </c>
      <c r="I210" s="50">
        <v>40672.400000000001</v>
      </c>
      <c r="J210" s="58" t="s">
        <v>1417</v>
      </c>
      <c r="K210" s="4">
        <f t="shared" si="7"/>
        <v>86</v>
      </c>
      <c r="L210" s="4">
        <v>2</v>
      </c>
      <c r="M210" s="4">
        <v>86</v>
      </c>
      <c r="Q210">
        <v>29</v>
      </c>
    </row>
    <row r="211" spans="6:17">
      <c r="F211" s="12">
        <v>260</v>
      </c>
      <c r="G211" s="59" t="s">
        <v>288</v>
      </c>
      <c r="H211" s="7">
        <f t="shared" si="6"/>
        <v>29</v>
      </c>
      <c r="I211" s="50">
        <v>40673.445138888892</v>
      </c>
      <c r="J211" s="58" t="s">
        <v>674</v>
      </c>
      <c r="K211" s="4">
        <f t="shared" si="7"/>
        <v>87</v>
      </c>
      <c r="L211" s="4">
        <v>2</v>
      </c>
      <c r="M211" s="4">
        <v>87</v>
      </c>
      <c r="Q211">
        <v>29</v>
      </c>
    </row>
    <row r="212" spans="6:17">
      <c r="F212" s="12">
        <v>263</v>
      </c>
      <c r="G212" s="51" t="s">
        <v>288</v>
      </c>
      <c r="H212" s="7">
        <f t="shared" si="6"/>
        <v>29</v>
      </c>
      <c r="I212" s="50">
        <v>40621.917361111111</v>
      </c>
      <c r="J212" s="58" t="s">
        <v>471</v>
      </c>
      <c r="K212" s="4">
        <f t="shared" si="7"/>
        <v>88</v>
      </c>
      <c r="L212" s="4">
        <v>2</v>
      </c>
      <c r="M212" s="4">
        <v>88</v>
      </c>
      <c r="Q212">
        <v>29</v>
      </c>
    </row>
    <row r="213" spans="6:17">
      <c r="F213" s="12">
        <v>265</v>
      </c>
      <c r="G213" s="51" t="s">
        <v>288</v>
      </c>
      <c r="H213" s="7">
        <f t="shared" si="6"/>
        <v>29</v>
      </c>
      <c r="I213" s="50">
        <v>40674.727777777778</v>
      </c>
      <c r="J213" s="58" t="s">
        <v>1120</v>
      </c>
      <c r="K213" s="4">
        <f t="shared" si="7"/>
        <v>89</v>
      </c>
      <c r="L213" s="4">
        <v>2</v>
      </c>
      <c r="M213" s="4">
        <v>89</v>
      </c>
      <c r="Q213">
        <v>29</v>
      </c>
    </row>
    <row r="214" spans="6:17">
      <c r="F214" s="12">
        <v>268</v>
      </c>
      <c r="G214" s="59" t="s">
        <v>288</v>
      </c>
      <c r="H214" s="7">
        <f t="shared" si="6"/>
        <v>29</v>
      </c>
      <c r="I214" s="50">
        <v>40676.600694444445</v>
      </c>
      <c r="J214" s="58" t="s">
        <v>1875</v>
      </c>
      <c r="K214" s="4">
        <f t="shared" si="7"/>
        <v>90</v>
      </c>
      <c r="L214" s="4">
        <v>2</v>
      </c>
      <c r="M214" s="4">
        <v>90</v>
      </c>
      <c r="Q214">
        <v>29</v>
      </c>
    </row>
    <row r="215" spans="6:17">
      <c r="F215" s="12">
        <v>270</v>
      </c>
      <c r="G215" s="51" t="s">
        <v>288</v>
      </c>
      <c r="H215" s="7">
        <f t="shared" si="6"/>
        <v>29</v>
      </c>
      <c r="I215" s="50">
        <v>40676.601388888892</v>
      </c>
      <c r="J215" s="58" t="s">
        <v>1264</v>
      </c>
      <c r="K215" s="4">
        <f t="shared" si="7"/>
        <v>91</v>
      </c>
      <c r="L215" s="4">
        <v>2</v>
      </c>
      <c r="M215" s="4">
        <v>91</v>
      </c>
      <c r="Q215">
        <v>29</v>
      </c>
    </row>
    <row r="216" spans="6:17">
      <c r="F216" s="12">
        <v>272</v>
      </c>
      <c r="G216" s="51" t="s">
        <v>288</v>
      </c>
      <c r="H216" s="7">
        <f t="shared" si="6"/>
        <v>29</v>
      </c>
      <c r="I216" s="50">
        <v>40679.607638888891</v>
      </c>
      <c r="J216" s="58" t="s">
        <v>1937</v>
      </c>
      <c r="K216" s="4">
        <f t="shared" si="7"/>
        <v>92</v>
      </c>
      <c r="L216" s="4">
        <v>10</v>
      </c>
      <c r="M216" s="4">
        <v>92</v>
      </c>
      <c r="Q216">
        <v>29</v>
      </c>
    </row>
    <row r="217" spans="6:17">
      <c r="F217" s="12">
        <v>275</v>
      </c>
      <c r="G217" s="59" t="s">
        <v>288</v>
      </c>
      <c r="H217" s="7">
        <f t="shared" si="6"/>
        <v>29</v>
      </c>
      <c r="I217" s="50">
        <v>40679.646527777775</v>
      </c>
      <c r="J217" s="58" t="s">
        <v>1435</v>
      </c>
      <c r="K217" s="4">
        <f t="shared" si="7"/>
        <v>93</v>
      </c>
      <c r="L217" s="4">
        <v>3</v>
      </c>
      <c r="M217" s="4">
        <v>93</v>
      </c>
      <c r="Q217">
        <v>29</v>
      </c>
    </row>
    <row r="218" spans="6:17">
      <c r="F218" s="12">
        <v>287</v>
      </c>
      <c r="G218" s="59" t="s">
        <v>288</v>
      </c>
      <c r="H218" s="7">
        <f t="shared" si="6"/>
        <v>29</v>
      </c>
      <c r="I218" s="50">
        <v>40685.92083333333</v>
      </c>
      <c r="J218" s="58" t="s">
        <v>994</v>
      </c>
      <c r="K218" s="4">
        <f t="shared" si="7"/>
        <v>94</v>
      </c>
      <c r="L218" s="4">
        <v>2</v>
      </c>
      <c r="M218" s="4">
        <v>94</v>
      </c>
      <c r="Q218">
        <v>29</v>
      </c>
    </row>
    <row r="219" spans="6:17">
      <c r="F219" s="12">
        <v>290</v>
      </c>
      <c r="G219" s="51" t="s">
        <v>288</v>
      </c>
      <c r="H219" s="7">
        <f t="shared" si="6"/>
        <v>29</v>
      </c>
      <c r="I219" s="50">
        <v>40686.084722222222</v>
      </c>
      <c r="J219" s="58" t="s">
        <v>1207</v>
      </c>
      <c r="K219" s="4">
        <f t="shared" si="7"/>
        <v>95</v>
      </c>
      <c r="L219" s="4">
        <v>10</v>
      </c>
      <c r="M219" s="4">
        <v>95</v>
      </c>
      <c r="Q219">
        <v>29</v>
      </c>
    </row>
    <row r="220" spans="6:17">
      <c r="F220" s="12">
        <v>317</v>
      </c>
      <c r="G220" s="59" t="s">
        <v>288</v>
      </c>
      <c r="H220" s="7">
        <f t="shared" si="6"/>
        <v>29</v>
      </c>
      <c r="I220" s="50">
        <v>40697.648611111108</v>
      </c>
      <c r="J220" s="58" t="s">
        <v>1014</v>
      </c>
      <c r="K220" s="4">
        <f t="shared" si="7"/>
        <v>96</v>
      </c>
      <c r="L220" s="4">
        <v>3</v>
      </c>
      <c r="M220" s="4">
        <v>96</v>
      </c>
      <c r="Q220">
        <v>29</v>
      </c>
    </row>
    <row r="221" spans="6:17">
      <c r="F221" s="12">
        <v>318</v>
      </c>
      <c r="G221" s="51" t="s">
        <v>288</v>
      </c>
      <c r="H221" s="7">
        <f t="shared" si="6"/>
        <v>29</v>
      </c>
      <c r="I221" s="50">
        <v>40676.574999999997</v>
      </c>
      <c r="J221" s="58" t="s">
        <v>1086</v>
      </c>
      <c r="K221" s="4">
        <f t="shared" si="7"/>
        <v>97</v>
      </c>
      <c r="L221" s="4">
        <v>3</v>
      </c>
      <c r="M221" s="4">
        <v>97</v>
      </c>
      <c r="Q221">
        <v>29</v>
      </c>
    </row>
    <row r="222" spans="6:17">
      <c r="F222" s="12">
        <v>321</v>
      </c>
      <c r="G222" s="59" t="s">
        <v>288</v>
      </c>
      <c r="H222" s="7">
        <f t="shared" si="6"/>
        <v>29</v>
      </c>
      <c r="I222" s="50">
        <v>40698.442361111112</v>
      </c>
      <c r="J222" s="58" t="s">
        <v>898</v>
      </c>
      <c r="K222" s="4">
        <f t="shared" si="7"/>
        <v>98</v>
      </c>
      <c r="L222" s="4">
        <v>2</v>
      </c>
      <c r="M222" s="4">
        <v>98</v>
      </c>
      <c r="Q222">
        <v>29</v>
      </c>
    </row>
    <row r="223" spans="6:17">
      <c r="F223" s="12">
        <v>322</v>
      </c>
      <c r="G223" s="51" t="s">
        <v>288</v>
      </c>
      <c r="H223" s="7">
        <f t="shared" si="6"/>
        <v>29</v>
      </c>
      <c r="I223" s="50">
        <v>40697.484722222223</v>
      </c>
      <c r="J223" s="58" t="s">
        <v>891</v>
      </c>
      <c r="K223" s="4">
        <f t="shared" si="7"/>
        <v>99</v>
      </c>
      <c r="L223" s="4">
        <v>7</v>
      </c>
      <c r="M223" s="4">
        <v>99</v>
      </c>
      <c r="Q223">
        <v>29</v>
      </c>
    </row>
    <row r="224" spans="6:17">
      <c r="F224" s="12">
        <v>325</v>
      </c>
      <c r="G224" s="59" t="s">
        <v>288</v>
      </c>
      <c r="H224" s="7">
        <f t="shared" si="6"/>
        <v>29</v>
      </c>
      <c r="I224" s="50">
        <v>40699.677083333336</v>
      </c>
      <c r="J224" s="58" t="s">
        <v>889</v>
      </c>
      <c r="K224" s="4">
        <f t="shared" si="7"/>
        <v>100</v>
      </c>
      <c r="L224" s="4">
        <v>4</v>
      </c>
      <c r="M224" s="4">
        <v>100</v>
      </c>
      <c r="Q224">
        <v>29</v>
      </c>
    </row>
    <row r="225" spans="6:17">
      <c r="F225" s="12">
        <v>328</v>
      </c>
      <c r="G225" s="51" t="s">
        <v>288</v>
      </c>
      <c r="H225" s="7">
        <f t="shared" si="6"/>
        <v>29</v>
      </c>
      <c r="I225" s="50">
        <v>40700.678472222222</v>
      </c>
      <c r="J225" s="58" t="s">
        <v>394</v>
      </c>
      <c r="K225" s="4">
        <f t="shared" si="7"/>
        <v>101</v>
      </c>
      <c r="L225" s="4">
        <v>3</v>
      </c>
      <c r="M225" s="4">
        <v>101</v>
      </c>
      <c r="Q225">
        <v>29</v>
      </c>
    </row>
    <row r="226" spans="6:17">
      <c r="F226" s="12">
        <v>330</v>
      </c>
      <c r="G226" s="51" t="s">
        <v>288</v>
      </c>
      <c r="H226" s="7">
        <f t="shared" si="6"/>
        <v>29</v>
      </c>
      <c r="I226" s="50">
        <v>40700.768055555556</v>
      </c>
      <c r="J226" s="58" t="s">
        <v>548</v>
      </c>
      <c r="K226" s="4">
        <f t="shared" si="7"/>
        <v>102</v>
      </c>
      <c r="L226" s="4">
        <v>2</v>
      </c>
      <c r="M226" s="4">
        <v>102</v>
      </c>
      <c r="Q226">
        <v>29</v>
      </c>
    </row>
    <row r="227" spans="6:17">
      <c r="F227" s="12">
        <v>333</v>
      </c>
      <c r="G227" s="51" t="s">
        <v>288</v>
      </c>
      <c r="H227" s="7">
        <f t="shared" si="6"/>
        <v>29</v>
      </c>
      <c r="I227" s="50">
        <v>40701.436805555553</v>
      </c>
      <c r="J227" s="58" t="s">
        <v>425</v>
      </c>
      <c r="K227" s="4">
        <f t="shared" si="7"/>
        <v>103</v>
      </c>
      <c r="L227" s="4">
        <v>2</v>
      </c>
      <c r="M227" s="4">
        <v>103</v>
      </c>
      <c r="Q227">
        <v>29</v>
      </c>
    </row>
    <row r="228" spans="6:17">
      <c r="F228" s="12">
        <v>334</v>
      </c>
      <c r="G228" s="51" t="s">
        <v>288</v>
      </c>
      <c r="H228" s="7">
        <f t="shared" si="6"/>
        <v>29</v>
      </c>
      <c r="I228" s="50">
        <v>40701.602083333331</v>
      </c>
      <c r="J228" s="58" t="s">
        <v>1912</v>
      </c>
      <c r="K228" s="4">
        <f t="shared" si="7"/>
        <v>104</v>
      </c>
      <c r="L228" s="4">
        <v>2</v>
      </c>
      <c r="M228" s="4">
        <v>104</v>
      </c>
      <c r="Q228">
        <v>29</v>
      </c>
    </row>
    <row r="229" spans="6:17">
      <c r="F229" s="12">
        <v>342</v>
      </c>
      <c r="G229" s="59" t="s">
        <v>288</v>
      </c>
      <c r="H229" s="7">
        <f t="shared" si="6"/>
        <v>29</v>
      </c>
      <c r="I229" s="50">
        <v>40706.921527777777</v>
      </c>
      <c r="J229" s="58" t="s">
        <v>1346</v>
      </c>
      <c r="K229" s="4">
        <f t="shared" si="7"/>
        <v>105</v>
      </c>
      <c r="L229" s="4">
        <v>2</v>
      </c>
      <c r="M229" s="4">
        <v>105</v>
      </c>
      <c r="Q229">
        <v>29</v>
      </c>
    </row>
    <row r="230" spans="6:17">
      <c r="F230" s="12">
        <v>343</v>
      </c>
      <c r="G230" s="51" t="s">
        <v>288</v>
      </c>
      <c r="H230" s="7">
        <f t="shared" si="6"/>
        <v>29</v>
      </c>
      <c r="I230" s="50">
        <v>40705.777083333334</v>
      </c>
      <c r="J230" s="58" t="s">
        <v>948</v>
      </c>
      <c r="K230" s="4">
        <f t="shared" si="7"/>
        <v>106</v>
      </c>
      <c r="L230" s="4">
        <v>6</v>
      </c>
      <c r="M230" s="4">
        <v>106</v>
      </c>
      <c r="Q230">
        <v>29</v>
      </c>
    </row>
    <row r="231" spans="6:17">
      <c r="F231" s="12">
        <v>346</v>
      </c>
      <c r="G231" s="59" t="s">
        <v>288</v>
      </c>
      <c r="H231" s="7">
        <f t="shared" si="6"/>
        <v>29</v>
      </c>
      <c r="I231" s="50">
        <v>40707.390277777777</v>
      </c>
      <c r="J231" s="58" t="s">
        <v>646</v>
      </c>
      <c r="K231" s="4">
        <f t="shared" si="7"/>
        <v>107</v>
      </c>
      <c r="L231" s="4">
        <v>2</v>
      </c>
      <c r="M231" s="4">
        <v>107</v>
      </c>
      <c r="Q231">
        <v>29</v>
      </c>
    </row>
    <row r="232" spans="6:17">
      <c r="F232" s="12">
        <v>347</v>
      </c>
      <c r="G232" s="51" t="s">
        <v>288</v>
      </c>
      <c r="H232" s="7">
        <f t="shared" si="6"/>
        <v>29</v>
      </c>
      <c r="I232" s="50">
        <v>40707.402083333334</v>
      </c>
      <c r="J232" s="58" t="s">
        <v>1913</v>
      </c>
      <c r="K232" s="4">
        <f t="shared" si="7"/>
        <v>108</v>
      </c>
      <c r="L232" s="4">
        <v>10</v>
      </c>
      <c r="M232" s="4">
        <v>108</v>
      </c>
      <c r="Q232">
        <v>29</v>
      </c>
    </row>
    <row r="233" spans="6:17">
      <c r="F233" s="12">
        <v>357</v>
      </c>
      <c r="G233" s="51" t="s">
        <v>288</v>
      </c>
      <c r="H233" s="7">
        <f t="shared" si="6"/>
        <v>29</v>
      </c>
      <c r="I233" s="50">
        <v>40711.476388888892</v>
      </c>
      <c r="J233" s="58" t="s">
        <v>1191</v>
      </c>
      <c r="K233" s="4">
        <f t="shared" si="7"/>
        <v>109</v>
      </c>
      <c r="L233" s="4">
        <v>11</v>
      </c>
      <c r="M233" s="4">
        <v>109</v>
      </c>
      <c r="Q233">
        <v>29</v>
      </c>
    </row>
    <row r="234" spans="6:17">
      <c r="F234" s="12">
        <v>359</v>
      </c>
      <c r="G234" s="51" t="s">
        <v>288</v>
      </c>
      <c r="H234" s="7">
        <f t="shared" si="6"/>
        <v>29</v>
      </c>
      <c r="I234" s="50">
        <v>40711.777083333334</v>
      </c>
      <c r="J234" s="58" t="s">
        <v>1004</v>
      </c>
      <c r="K234" s="4">
        <f t="shared" si="7"/>
        <v>110</v>
      </c>
      <c r="L234" s="4">
        <v>7</v>
      </c>
      <c r="M234" s="4">
        <v>110</v>
      </c>
      <c r="Q234">
        <v>29</v>
      </c>
    </row>
    <row r="235" spans="6:17">
      <c r="F235" s="12">
        <v>361</v>
      </c>
      <c r="G235" s="51" t="s">
        <v>288</v>
      </c>
      <c r="H235" s="7">
        <f t="shared" si="6"/>
        <v>29</v>
      </c>
      <c r="I235" s="50">
        <v>40711.925000000003</v>
      </c>
      <c r="J235" s="58" t="s">
        <v>1313</v>
      </c>
      <c r="K235" s="4">
        <f t="shared" si="7"/>
        <v>111</v>
      </c>
      <c r="L235" s="4">
        <v>13</v>
      </c>
      <c r="M235" s="4">
        <v>111</v>
      </c>
      <c r="Q235">
        <v>29</v>
      </c>
    </row>
    <row r="236" spans="6:17">
      <c r="F236" s="12">
        <v>363</v>
      </c>
      <c r="G236" s="51" t="s">
        <v>288</v>
      </c>
      <c r="H236" s="7">
        <f t="shared" si="6"/>
        <v>29</v>
      </c>
      <c r="I236" s="50">
        <v>40711.97152777778</v>
      </c>
      <c r="J236" s="58" t="s">
        <v>809</v>
      </c>
      <c r="K236" s="4">
        <f t="shared" si="7"/>
        <v>112</v>
      </c>
      <c r="L236" s="4">
        <v>2</v>
      </c>
      <c r="M236" s="4">
        <v>112</v>
      </c>
      <c r="Q236">
        <v>29</v>
      </c>
    </row>
    <row r="237" spans="6:17">
      <c r="F237" s="12">
        <v>367</v>
      </c>
      <c r="G237" s="59" t="s">
        <v>288</v>
      </c>
      <c r="H237" s="7">
        <f t="shared" si="6"/>
        <v>29</v>
      </c>
      <c r="I237" s="50">
        <v>40714.463888888888</v>
      </c>
      <c r="J237" s="58" t="s">
        <v>801</v>
      </c>
      <c r="K237" s="4">
        <f t="shared" si="7"/>
        <v>113</v>
      </c>
      <c r="L237" s="4">
        <v>2</v>
      </c>
      <c r="M237" s="4">
        <v>113</v>
      </c>
      <c r="Q237">
        <v>29</v>
      </c>
    </row>
    <row r="238" spans="6:17">
      <c r="F238" s="12">
        <v>369</v>
      </c>
      <c r="G238" s="59" t="s">
        <v>288</v>
      </c>
      <c r="H238" s="7">
        <f t="shared" si="6"/>
        <v>29</v>
      </c>
      <c r="I238" s="50">
        <v>40714.746527777781</v>
      </c>
      <c r="J238" s="58" t="s">
        <v>733</v>
      </c>
      <c r="K238" s="4">
        <f t="shared" si="7"/>
        <v>114</v>
      </c>
      <c r="L238" s="4">
        <v>2</v>
      </c>
      <c r="M238" s="4">
        <v>114</v>
      </c>
      <c r="Q238">
        <v>29</v>
      </c>
    </row>
    <row r="239" spans="6:17">
      <c r="F239" s="12">
        <v>370</v>
      </c>
      <c r="G239" s="59" t="s">
        <v>288</v>
      </c>
      <c r="H239" s="7">
        <f t="shared" si="6"/>
        <v>29</v>
      </c>
      <c r="I239" s="50">
        <v>40714.463888888888</v>
      </c>
      <c r="J239" s="58" t="s">
        <v>381</v>
      </c>
      <c r="K239" s="4">
        <f t="shared" si="7"/>
        <v>115</v>
      </c>
      <c r="L239" s="4">
        <v>2</v>
      </c>
      <c r="M239" s="4">
        <v>115</v>
      </c>
      <c r="Q239">
        <v>29</v>
      </c>
    </row>
    <row r="240" spans="6:17">
      <c r="F240" s="12">
        <v>372</v>
      </c>
      <c r="G240" s="51" t="s">
        <v>288</v>
      </c>
      <c r="H240" s="7">
        <f t="shared" si="6"/>
        <v>29</v>
      </c>
      <c r="I240" s="50">
        <v>40712.396527777775</v>
      </c>
      <c r="J240" s="58" t="s">
        <v>1257</v>
      </c>
      <c r="K240" s="4">
        <f t="shared" si="7"/>
        <v>116</v>
      </c>
      <c r="L240" s="4">
        <v>23</v>
      </c>
      <c r="M240" s="4">
        <v>116</v>
      </c>
      <c r="Q240">
        <v>29</v>
      </c>
    </row>
    <row r="241" spans="6:17">
      <c r="F241" s="12">
        <v>376</v>
      </c>
      <c r="G241" s="51" t="s">
        <v>288</v>
      </c>
      <c r="H241" s="7">
        <f t="shared" si="6"/>
        <v>29</v>
      </c>
      <c r="I241" s="50">
        <v>40715.709722222222</v>
      </c>
      <c r="J241" s="58" t="s">
        <v>403</v>
      </c>
      <c r="K241" s="4">
        <f t="shared" si="7"/>
        <v>117</v>
      </c>
      <c r="L241" s="4">
        <v>2</v>
      </c>
      <c r="M241" s="4">
        <v>117</v>
      </c>
      <c r="Q241">
        <v>29</v>
      </c>
    </row>
    <row r="242" spans="6:17">
      <c r="F242" s="12">
        <v>382</v>
      </c>
      <c r="G242" s="59" t="s">
        <v>288</v>
      </c>
      <c r="H242" s="7">
        <f t="shared" si="6"/>
        <v>29</v>
      </c>
      <c r="I242" s="50">
        <v>40721.417361111111</v>
      </c>
      <c r="J242" s="58" t="s">
        <v>859</v>
      </c>
      <c r="K242" s="4">
        <f t="shared" si="7"/>
        <v>118</v>
      </c>
      <c r="L242" s="4">
        <v>2</v>
      </c>
      <c r="M242" s="4">
        <v>118</v>
      </c>
      <c r="Q242">
        <v>29</v>
      </c>
    </row>
    <row r="243" spans="6:17">
      <c r="F243" s="12">
        <v>383</v>
      </c>
      <c r="G243" s="51" t="s">
        <v>288</v>
      </c>
      <c r="H243" s="7">
        <f t="shared" si="6"/>
        <v>29</v>
      </c>
      <c r="I243" s="50">
        <v>40722.973611111112</v>
      </c>
      <c r="J243" s="58" t="s">
        <v>998</v>
      </c>
      <c r="K243" s="4">
        <f t="shared" si="7"/>
        <v>119</v>
      </c>
      <c r="L243" s="4">
        <v>5</v>
      </c>
      <c r="M243" s="4">
        <v>119</v>
      </c>
      <c r="Q243">
        <v>29</v>
      </c>
    </row>
    <row r="244" spans="6:17">
      <c r="F244" s="12">
        <v>266</v>
      </c>
      <c r="G244" s="59" t="s">
        <v>455</v>
      </c>
      <c r="H244" s="7">
        <f t="shared" si="6"/>
        <v>30</v>
      </c>
      <c r="I244" s="50">
        <v>40675.417361111111</v>
      </c>
      <c r="J244" s="58" t="s">
        <v>1121</v>
      </c>
      <c r="K244" s="4">
        <f t="shared" si="7"/>
        <v>1</v>
      </c>
      <c r="L244" s="4">
        <v>2</v>
      </c>
      <c r="M244" s="4">
        <v>1</v>
      </c>
      <c r="Q244">
        <v>30</v>
      </c>
    </row>
    <row r="245" spans="6:17">
      <c r="F245" s="12">
        <v>285</v>
      </c>
      <c r="G245" s="51" t="s">
        <v>455</v>
      </c>
      <c r="H245" s="7">
        <f t="shared" si="6"/>
        <v>30</v>
      </c>
      <c r="I245" s="50">
        <v>40683.387499999997</v>
      </c>
      <c r="J245" s="58" t="s">
        <v>454</v>
      </c>
      <c r="K245" s="4">
        <f t="shared" si="7"/>
        <v>2</v>
      </c>
      <c r="L245" s="4">
        <v>7</v>
      </c>
      <c r="M245" s="4">
        <v>2</v>
      </c>
      <c r="Q245">
        <v>30</v>
      </c>
    </row>
    <row r="246" spans="6:17">
      <c r="F246" s="12">
        <v>291</v>
      </c>
      <c r="G246" s="59" t="s">
        <v>455</v>
      </c>
      <c r="H246" s="7">
        <f t="shared" si="6"/>
        <v>30</v>
      </c>
      <c r="I246" s="50">
        <v>40686.400694444441</v>
      </c>
      <c r="J246" s="58" t="s">
        <v>1208</v>
      </c>
      <c r="K246" s="4">
        <f t="shared" si="7"/>
        <v>3</v>
      </c>
      <c r="L246" s="4">
        <v>3</v>
      </c>
      <c r="M246" s="4">
        <v>3</v>
      </c>
      <c r="Q246">
        <v>30</v>
      </c>
    </row>
    <row r="247" spans="6:17">
      <c r="F247" s="12">
        <v>294</v>
      </c>
      <c r="G247" s="51" t="s">
        <v>455</v>
      </c>
      <c r="H247" s="7">
        <f t="shared" si="6"/>
        <v>30</v>
      </c>
      <c r="I247" s="50">
        <v>40686.694444444445</v>
      </c>
      <c r="J247" s="58" t="s">
        <v>1228</v>
      </c>
      <c r="K247" s="4">
        <f t="shared" si="7"/>
        <v>4</v>
      </c>
      <c r="L247" s="4">
        <v>10</v>
      </c>
      <c r="M247" s="4">
        <v>4</v>
      </c>
      <c r="Q247">
        <v>30</v>
      </c>
    </row>
    <row r="248" spans="6:17">
      <c r="F248" s="12">
        <v>302</v>
      </c>
      <c r="G248" s="51" t="s">
        <v>455</v>
      </c>
      <c r="H248" s="7">
        <f t="shared" si="6"/>
        <v>30</v>
      </c>
      <c r="I248" s="50">
        <v>40687.570833333331</v>
      </c>
      <c r="J248" s="58" t="s">
        <v>1231</v>
      </c>
      <c r="K248" s="4">
        <f t="shared" si="7"/>
        <v>5</v>
      </c>
      <c r="L248" s="4">
        <v>2</v>
      </c>
      <c r="M248" s="4">
        <v>5</v>
      </c>
      <c r="Q248">
        <v>30</v>
      </c>
    </row>
    <row r="249" spans="6:17">
      <c r="F249" s="12">
        <v>104</v>
      </c>
      <c r="G249" s="51" t="s">
        <v>318</v>
      </c>
      <c r="H249" s="7">
        <f t="shared" si="6"/>
        <v>31</v>
      </c>
      <c r="I249" s="50">
        <v>40593.37222222222</v>
      </c>
      <c r="J249" s="58" t="s">
        <v>483</v>
      </c>
      <c r="K249" s="4">
        <f t="shared" si="7"/>
        <v>1</v>
      </c>
      <c r="L249" s="4">
        <v>3</v>
      </c>
      <c r="M249" s="4">
        <v>1</v>
      </c>
      <c r="Q249">
        <v>31</v>
      </c>
    </row>
    <row r="250" spans="6:17">
      <c r="F250" s="12">
        <v>374</v>
      </c>
      <c r="G250" s="51" t="s">
        <v>543</v>
      </c>
      <c r="H250" s="7">
        <f t="shared" si="6"/>
        <v>32</v>
      </c>
      <c r="I250" s="50">
        <v>40715.681944444441</v>
      </c>
      <c r="J250" s="58" t="s">
        <v>542</v>
      </c>
      <c r="K250" s="4">
        <f t="shared" si="7"/>
        <v>1</v>
      </c>
      <c r="L250" s="4">
        <v>2</v>
      </c>
      <c r="M250" s="4">
        <v>1</v>
      </c>
      <c r="Q250">
        <v>32</v>
      </c>
    </row>
    <row r="251" spans="6:17">
      <c r="F251" s="12">
        <v>76</v>
      </c>
      <c r="G251" s="51" t="s">
        <v>563</v>
      </c>
      <c r="H251" s="7">
        <f t="shared" si="6"/>
        <v>33</v>
      </c>
      <c r="I251" s="50">
        <v>40581.615277777775</v>
      </c>
      <c r="J251" s="58" t="s">
        <v>936</v>
      </c>
      <c r="K251" s="4">
        <f t="shared" si="7"/>
        <v>1</v>
      </c>
      <c r="L251" s="4">
        <v>3</v>
      </c>
      <c r="M251" s="4">
        <v>1</v>
      </c>
      <c r="Q251">
        <v>33</v>
      </c>
    </row>
    <row r="252" spans="6:17">
      <c r="F252" s="12">
        <v>81</v>
      </c>
      <c r="G252" s="51" t="s">
        <v>563</v>
      </c>
      <c r="H252" s="7">
        <f t="shared" si="6"/>
        <v>33</v>
      </c>
      <c r="I252" s="50">
        <v>40583.780555555553</v>
      </c>
      <c r="J252" s="58" t="s">
        <v>564</v>
      </c>
      <c r="K252" s="4">
        <f t="shared" si="7"/>
        <v>2</v>
      </c>
      <c r="L252" s="4">
        <v>4</v>
      </c>
      <c r="M252" s="4">
        <v>2</v>
      </c>
      <c r="Q252">
        <v>33</v>
      </c>
    </row>
    <row r="253" spans="6:17">
      <c r="F253" s="12">
        <v>96</v>
      </c>
      <c r="G253" s="51" t="s">
        <v>651</v>
      </c>
      <c r="H253" s="7">
        <f t="shared" si="6"/>
        <v>34</v>
      </c>
      <c r="I253" s="50">
        <v>40582.879861111112</v>
      </c>
      <c r="J253" s="58" t="s">
        <v>1517</v>
      </c>
      <c r="K253" s="4">
        <f t="shared" si="7"/>
        <v>1</v>
      </c>
      <c r="L253" s="4">
        <v>2</v>
      </c>
      <c r="M253" s="4">
        <v>1</v>
      </c>
      <c r="Q253">
        <v>34</v>
      </c>
    </row>
    <row r="254" spans="6:17">
      <c r="F254" s="12">
        <v>231</v>
      </c>
      <c r="G254" s="59" t="s">
        <v>651</v>
      </c>
      <c r="H254" s="7">
        <f t="shared" si="6"/>
        <v>34</v>
      </c>
      <c r="I254" s="50">
        <v>40661.934027777781</v>
      </c>
      <c r="J254" s="58" t="s">
        <v>976</v>
      </c>
      <c r="K254" s="4">
        <f t="shared" si="7"/>
        <v>2</v>
      </c>
      <c r="L254" s="4">
        <v>2</v>
      </c>
      <c r="M254" s="4">
        <v>2</v>
      </c>
      <c r="Q254">
        <v>34</v>
      </c>
    </row>
    <row r="255" spans="6:17">
      <c r="F255" s="12">
        <v>232</v>
      </c>
      <c r="G255" s="51" t="s">
        <v>651</v>
      </c>
      <c r="H255" s="7">
        <f t="shared" si="6"/>
        <v>34</v>
      </c>
      <c r="I255" s="50">
        <v>40661.560416666667</v>
      </c>
      <c r="J255" s="58" t="s">
        <v>652</v>
      </c>
      <c r="K255" s="4">
        <f t="shared" si="7"/>
        <v>3</v>
      </c>
      <c r="L255" s="4">
        <v>2</v>
      </c>
      <c r="M255" s="4">
        <v>3</v>
      </c>
      <c r="Q255">
        <v>34</v>
      </c>
    </row>
    <row r="256" spans="6:17">
      <c r="F256" s="12">
        <v>274</v>
      </c>
      <c r="G256" s="51" t="s">
        <v>651</v>
      </c>
      <c r="H256" s="7">
        <f t="shared" si="6"/>
        <v>34</v>
      </c>
      <c r="I256" s="50">
        <v>40676.914583333331</v>
      </c>
      <c r="J256" s="58" t="s">
        <v>1434</v>
      </c>
      <c r="K256" s="4">
        <f t="shared" si="7"/>
        <v>4</v>
      </c>
      <c r="L256" s="4">
        <v>6</v>
      </c>
      <c r="M256" s="4">
        <v>4</v>
      </c>
      <c r="Q256">
        <v>34</v>
      </c>
    </row>
    <row r="257" spans="6:17">
      <c r="F257" s="12">
        <v>5</v>
      </c>
      <c r="G257" s="51" t="s">
        <v>440</v>
      </c>
      <c r="H257" s="7">
        <f t="shared" si="6"/>
        <v>35</v>
      </c>
      <c r="I257" s="50">
        <v>40546.617361111108</v>
      </c>
      <c r="J257" s="58" t="s">
        <v>441</v>
      </c>
      <c r="K257" s="4">
        <f t="shared" si="7"/>
        <v>1</v>
      </c>
      <c r="L257" s="4">
        <v>3</v>
      </c>
      <c r="M257" s="4">
        <v>1</v>
      </c>
      <c r="Q257">
        <v>35</v>
      </c>
    </row>
    <row r="258" spans="6:17">
      <c r="F258" s="12">
        <v>35</v>
      </c>
      <c r="G258" s="51" t="s">
        <v>479</v>
      </c>
      <c r="H258" s="7">
        <f t="shared" ref="H258:H321" si="8">LOOKUP(G258,$N$2:$N$60,$O$2:$O$60)</f>
        <v>36</v>
      </c>
      <c r="I258" s="50">
        <v>40574.381249999999</v>
      </c>
      <c r="J258" s="58" t="s">
        <v>480</v>
      </c>
      <c r="K258" s="4">
        <f t="shared" ref="K258:K321" si="9">IF(Q258&gt;Q257,1,K257+1)</f>
        <v>1</v>
      </c>
      <c r="L258" s="4">
        <v>4</v>
      </c>
      <c r="M258" s="4">
        <v>1</v>
      </c>
      <c r="Q258">
        <v>36</v>
      </c>
    </row>
    <row r="259" spans="6:17">
      <c r="F259" s="12">
        <v>34</v>
      </c>
      <c r="G259" s="51" t="s">
        <v>411</v>
      </c>
      <c r="H259" s="7">
        <f t="shared" si="8"/>
        <v>37</v>
      </c>
      <c r="I259" s="50">
        <v>40573.577777777777</v>
      </c>
      <c r="J259" s="58" t="s">
        <v>410</v>
      </c>
      <c r="K259" s="4">
        <f t="shared" si="9"/>
        <v>1</v>
      </c>
      <c r="L259" s="4">
        <v>2</v>
      </c>
      <c r="M259" s="4">
        <v>1</v>
      </c>
      <c r="Q259">
        <v>37</v>
      </c>
    </row>
    <row r="260" spans="6:17">
      <c r="F260" s="12">
        <v>100</v>
      </c>
      <c r="G260" s="51" t="s">
        <v>411</v>
      </c>
      <c r="H260" s="7">
        <f t="shared" si="8"/>
        <v>37</v>
      </c>
      <c r="I260" s="50">
        <v>40587.60833333333</v>
      </c>
      <c r="J260" s="58" t="s">
        <v>913</v>
      </c>
      <c r="K260" s="4">
        <f t="shared" si="9"/>
        <v>2</v>
      </c>
      <c r="L260" s="4">
        <v>2</v>
      </c>
      <c r="M260" s="4">
        <v>2</v>
      </c>
      <c r="Q260">
        <v>37</v>
      </c>
    </row>
    <row r="261" spans="6:17">
      <c r="F261" s="12">
        <v>60</v>
      </c>
      <c r="G261" s="51" t="s">
        <v>757</v>
      </c>
      <c r="H261" s="7">
        <f t="shared" si="8"/>
        <v>38</v>
      </c>
      <c r="I261" s="50">
        <v>40577.98541666667</v>
      </c>
      <c r="J261" s="58" t="s">
        <v>758</v>
      </c>
      <c r="K261" s="4">
        <f t="shared" si="9"/>
        <v>1</v>
      </c>
      <c r="L261" s="4">
        <v>3</v>
      </c>
      <c r="M261" s="4">
        <v>1</v>
      </c>
      <c r="Q261">
        <v>38</v>
      </c>
    </row>
    <row r="262" spans="6:17">
      <c r="F262" s="12">
        <v>315</v>
      </c>
      <c r="G262" s="59" t="s">
        <v>1578</v>
      </c>
      <c r="H262" s="7">
        <f t="shared" si="8"/>
        <v>39</v>
      </c>
      <c r="I262" s="50">
        <v>40696.95208333333</v>
      </c>
      <c r="J262" s="58" t="s">
        <v>702</v>
      </c>
      <c r="K262" s="4">
        <f t="shared" si="9"/>
        <v>1</v>
      </c>
      <c r="L262" s="4">
        <v>4</v>
      </c>
      <c r="M262" s="4">
        <v>1</v>
      </c>
      <c r="Q262">
        <v>39</v>
      </c>
    </row>
    <row r="263" spans="6:17">
      <c r="F263" s="12">
        <v>152</v>
      </c>
      <c r="G263" s="51" t="s">
        <v>306</v>
      </c>
      <c r="H263" s="7">
        <f t="shared" si="8"/>
        <v>40</v>
      </c>
      <c r="I263" s="50">
        <v>40624.712500000001</v>
      </c>
      <c r="J263" s="58" t="s">
        <v>518</v>
      </c>
      <c r="K263" s="4">
        <f t="shared" si="9"/>
        <v>1</v>
      </c>
      <c r="L263" s="4">
        <v>2</v>
      </c>
      <c r="M263" s="4">
        <v>1</v>
      </c>
      <c r="Q263">
        <v>40</v>
      </c>
    </row>
    <row r="264" spans="6:17">
      <c r="F264" s="12">
        <v>297</v>
      </c>
      <c r="G264" s="59" t="s">
        <v>306</v>
      </c>
      <c r="H264" s="7">
        <f t="shared" si="8"/>
        <v>40</v>
      </c>
      <c r="I264" s="50">
        <v>40691.668055555558</v>
      </c>
      <c r="J264" s="58" t="s">
        <v>692</v>
      </c>
      <c r="K264" s="4">
        <f t="shared" si="9"/>
        <v>2</v>
      </c>
      <c r="L264" s="4">
        <v>8</v>
      </c>
      <c r="M264" s="4">
        <v>2</v>
      </c>
      <c r="Q264">
        <v>40</v>
      </c>
    </row>
    <row r="265" spans="6:17">
      <c r="F265" s="12">
        <v>301</v>
      </c>
      <c r="G265" s="59" t="s">
        <v>302</v>
      </c>
      <c r="H265" s="7">
        <f t="shared" si="8"/>
        <v>40</v>
      </c>
      <c r="I265" s="50">
        <v>40694.203472222223</v>
      </c>
      <c r="J265" s="58" t="s">
        <v>895</v>
      </c>
      <c r="K265" s="4">
        <f t="shared" si="9"/>
        <v>3</v>
      </c>
      <c r="L265" s="4">
        <v>7</v>
      </c>
      <c r="M265" s="4">
        <v>3</v>
      </c>
      <c r="Q265">
        <v>40</v>
      </c>
    </row>
    <row r="266" spans="6:17">
      <c r="F266" s="12">
        <v>308</v>
      </c>
      <c r="G266" s="51" t="s">
        <v>302</v>
      </c>
      <c r="H266" s="7">
        <f t="shared" si="8"/>
        <v>40</v>
      </c>
      <c r="I266" s="50">
        <v>40694.271527777775</v>
      </c>
      <c r="J266" s="58" t="s">
        <v>1354</v>
      </c>
      <c r="K266" s="4">
        <f t="shared" si="9"/>
        <v>4</v>
      </c>
      <c r="L266" s="4">
        <v>8</v>
      </c>
      <c r="M266" s="4">
        <v>4</v>
      </c>
      <c r="Q266">
        <v>40</v>
      </c>
    </row>
    <row r="267" spans="6:17">
      <c r="F267" s="12">
        <v>314</v>
      </c>
      <c r="G267" s="51" t="s">
        <v>302</v>
      </c>
      <c r="H267" s="7">
        <f t="shared" si="8"/>
        <v>40</v>
      </c>
      <c r="I267" s="50">
        <v>40696.95208333333</v>
      </c>
      <c r="J267" s="58" t="s">
        <v>701</v>
      </c>
      <c r="K267" s="4">
        <f t="shared" si="9"/>
        <v>5</v>
      </c>
      <c r="L267" s="4">
        <v>4</v>
      </c>
      <c r="M267" s="4">
        <v>5</v>
      </c>
      <c r="Q267">
        <v>40</v>
      </c>
    </row>
    <row r="268" spans="6:17">
      <c r="F268" s="12">
        <v>316</v>
      </c>
      <c r="G268" s="51" t="s">
        <v>306</v>
      </c>
      <c r="H268" s="7">
        <f t="shared" si="8"/>
        <v>40</v>
      </c>
      <c r="I268" s="50">
        <v>40697.331250000003</v>
      </c>
      <c r="J268" s="58" t="s">
        <v>1013</v>
      </c>
      <c r="K268" s="4">
        <f t="shared" si="9"/>
        <v>6</v>
      </c>
      <c r="L268" s="4">
        <v>4</v>
      </c>
      <c r="M268" s="4">
        <v>6</v>
      </c>
      <c r="Q268">
        <v>40</v>
      </c>
    </row>
    <row r="269" spans="6:17">
      <c r="F269" s="12">
        <v>373</v>
      </c>
      <c r="G269" s="51" t="s">
        <v>306</v>
      </c>
      <c r="H269" s="7">
        <f t="shared" si="8"/>
        <v>40</v>
      </c>
      <c r="I269" s="50">
        <v>40715.60833333333</v>
      </c>
      <c r="J269" s="58" t="s">
        <v>541</v>
      </c>
      <c r="K269" s="4">
        <f t="shared" si="9"/>
        <v>7</v>
      </c>
      <c r="L269" s="4">
        <v>2</v>
      </c>
      <c r="M269" s="4">
        <v>7</v>
      </c>
      <c r="Q269">
        <v>40</v>
      </c>
    </row>
    <row r="270" spans="6:17">
      <c r="F270" s="12">
        <v>118</v>
      </c>
      <c r="G270" s="51" t="s">
        <v>423</v>
      </c>
      <c r="H270" s="7">
        <f t="shared" si="8"/>
        <v>41</v>
      </c>
      <c r="I270" s="50">
        <v>40608.700694444444</v>
      </c>
      <c r="J270" s="58" t="s">
        <v>450</v>
      </c>
      <c r="K270" s="4">
        <f t="shared" si="9"/>
        <v>1</v>
      </c>
      <c r="L270" s="4">
        <v>7</v>
      </c>
      <c r="M270" s="4">
        <v>1</v>
      </c>
      <c r="Q270">
        <v>41</v>
      </c>
    </row>
    <row r="271" spans="6:17">
      <c r="F271" s="12">
        <v>326</v>
      </c>
      <c r="G271" s="51" t="s">
        <v>423</v>
      </c>
      <c r="H271" s="7">
        <f t="shared" si="8"/>
        <v>41</v>
      </c>
      <c r="I271" s="50">
        <v>40692.461111111108</v>
      </c>
      <c r="J271" s="58" t="s">
        <v>965</v>
      </c>
      <c r="K271" s="4">
        <f t="shared" si="9"/>
        <v>2</v>
      </c>
      <c r="L271" s="16">
        <v>10</v>
      </c>
      <c r="M271" s="4">
        <v>2</v>
      </c>
      <c r="Q271">
        <v>41</v>
      </c>
    </row>
    <row r="272" spans="6:17">
      <c r="F272" s="12">
        <v>331</v>
      </c>
      <c r="G272" s="59" t="s">
        <v>423</v>
      </c>
      <c r="H272" s="7">
        <f t="shared" si="8"/>
        <v>41</v>
      </c>
      <c r="I272" s="50">
        <v>40701.379166666666</v>
      </c>
      <c r="J272" s="58" t="s">
        <v>920</v>
      </c>
      <c r="K272" s="4">
        <f t="shared" si="9"/>
        <v>3</v>
      </c>
      <c r="L272" s="4">
        <v>3</v>
      </c>
      <c r="M272" s="4">
        <v>3</v>
      </c>
      <c r="Q272">
        <v>41</v>
      </c>
    </row>
    <row r="273" spans="6:17">
      <c r="F273" s="12">
        <v>332</v>
      </c>
      <c r="G273" s="51" t="s">
        <v>423</v>
      </c>
      <c r="H273" s="7">
        <f t="shared" si="8"/>
        <v>41</v>
      </c>
      <c r="I273" s="50">
        <v>40701.404166666667</v>
      </c>
      <c r="J273" s="58" t="s">
        <v>424</v>
      </c>
      <c r="K273" s="4">
        <f t="shared" si="9"/>
        <v>4</v>
      </c>
      <c r="L273" s="4">
        <v>3</v>
      </c>
      <c r="M273" s="4">
        <v>4</v>
      </c>
      <c r="Q273">
        <v>41</v>
      </c>
    </row>
    <row r="274" spans="6:17">
      <c r="F274" s="12">
        <v>339</v>
      </c>
      <c r="G274" s="51" t="s">
        <v>423</v>
      </c>
      <c r="H274" s="7">
        <f t="shared" si="8"/>
        <v>41</v>
      </c>
      <c r="I274" s="50">
        <v>40702.422222222223</v>
      </c>
      <c r="J274" s="58" t="s">
        <v>1411</v>
      </c>
      <c r="K274" s="4">
        <f t="shared" si="9"/>
        <v>5</v>
      </c>
      <c r="L274" s="4">
        <v>4</v>
      </c>
      <c r="M274" s="4">
        <v>5</v>
      </c>
      <c r="Q274">
        <v>41</v>
      </c>
    </row>
    <row r="275" spans="6:17">
      <c r="F275" s="12">
        <v>136</v>
      </c>
      <c r="G275" s="51" t="s">
        <v>371</v>
      </c>
      <c r="H275" s="7">
        <f t="shared" si="8"/>
        <v>42</v>
      </c>
      <c r="I275" s="50">
        <v>40619.931944444441</v>
      </c>
      <c r="J275" s="58" t="s">
        <v>1254</v>
      </c>
      <c r="K275" s="4">
        <f t="shared" si="9"/>
        <v>1</v>
      </c>
      <c r="L275" s="4">
        <v>3</v>
      </c>
      <c r="M275" s="4">
        <v>1</v>
      </c>
      <c r="Q275">
        <v>42</v>
      </c>
    </row>
    <row r="276" spans="6:17">
      <c r="F276" s="12">
        <v>141</v>
      </c>
      <c r="G276" s="51" t="s">
        <v>371</v>
      </c>
      <c r="H276" s="7">
        <f t="shared" si="8"/>
        <v>42</v>
      </c>
      <c r="I276" s="50">
        <v>40619.990972222222</v>
      </c>
      <c r="J276" s="58" t="s">
        <v>370</v>
      </c>
      <c r="K276" s="4">
        <f t="shared" si="9"/>
        <v>2</v>
      </c>
      <c r="L276" s="4">
        <v>4</v>
      </c>
      <c r="M276" s="4">
        <v>2</v>
      </c>
      <c r="Q276">
        <v>42</v>
      </c>
    </row>
    <row r="277" spans="6:17">
      <c r="F277" s="12">
        <v>12</v>
      </c>
      <c r="G277" s="59" t="s">
        <v>1577</v>
      </c>
      <c r="H277" s="7">
        <f t="shared" si="8"/>
        <v>43</v>
      </c>
      <c r="I277" s="50">
        <v>40553.88958333333</v>
      </c>
      <c r="J277" s="58" t="s">
        <v>923</v>
      </c>
      <c r="K277" s="4">
        <f t="shared" si="9"/>
        <v>1</v>
      </c>
      <c r="L277" s="4">
        <v>3</v>
      </c>
      <c r="M277" s="4">
        <v>1</v>
      </c>
      <c r="Q277">
        <v>43</v>
      </c>
    </row>
    <row r="278" spans="6:17">
      <c r="F278" s="12">
        <v>8</v>
      </c>
      <c r="G278" s="59" t="s">
        <v>300</v>
      </c>
      <c r="H278" s="7">
        <f t="shared" si="8"/>
        <v>44</v>
      </c>
      <c r="I278" s="50">
        <v>40549.899305555555</v>
      </c>
      <c r="J278" s="58" t="s">
        <v>1322</v>
      </c>
      <c r="K278" s="4">
        <f t="shared" si="9"/>
        <v>1</v>
      </c>
      <c r="L278" s="4">
        <v>2</v>
      </c>
      <c r="M278" s="4">
        <v>1</v>
      </c>
      <c r="Q278">
        <v>44</v>
      </c>
    </row>
    <row r="279" spans="6:17">
      <c r="F279" s="12">
        <v>9</v>
      </c>
      <c r="G279" s="51" t="s">
        <v>300</v>
      </c>
      <c r="H279" s="7">
        <f t="shared" si="8"/>
        <v>44</v>
      </c>
      <c r="I279" s="50">
        <v>40551.934027777781</v>
      </c>
      <c r="J279" s="58" t="s">
        <v>1514</v>
      </c>
      <c r="K279" s="4">
        <f t="shared" si="9"/>
        <v>2</v>
      </c>
      <c r="L279" s="4">
        <v>5</v>
      </c>
      <c r="M279" s="4">
        <v>2</v>
      </c>
      <c r="Q279">
        <v>44</v>
      </c>
    </row>
    <row r="280" spans="6:17">
      <c r="F280" s="12">
        <v>11</v>
      </c>
      <c r="G280" s="51" t="s">
        <v>300</v>
      </c>
      <c r="H280" s="7">
        <f t="shared" si="8"/>
        <v>44</v>
      </c>
      <c r="I280" s="50">
        <v>40553.772916666669</v>
      </c>
      <c r="J280" s="58" t="s">
        <v>922</v>
      </c>
      <c r="K280" s="4">
        <f t="shared" si="9"/>
        <v>3</v>
      </c>
      <c r="L280" s="4">
        <v>2</v>
      </c>
      <c r="M280" s="4">
        <v>3</v>
      </c>
      <c r="Q280">
        <v>44</v>
      </c>
    </row>
    <row r="281" spans="6:17">
      <c r="F281" s="12">
        <v>13</v>
      </c>
      <c r="G281" s="51" t="s">
        <v>300</v>
      </c>
      <c r="H281" s="7">
        <f t="shared" si="8"/>
        <v>44</v>
      </c>
      <c r="I281" s="50">
        <v>40553.986111111109</v>
      </c>
      <c r="J281" s="58" t="s">
        <v>1286</v>
      </c>
      <c r="K281" s="4">
        <f t="shared" si="9"/>
        <v>4</v>
      </c>
      <c r="L281" s="4">
        <v>2</v>
      </c>
      <c r="M281" s="4">
        <v>4</v>
      </c>
      <c r="Q281">
        <v>44</v>
      </c>
    </row>
    <row r="282" spans="6:17">
      <c r="F282" s="12">
        <v>18</v>
      </c>
      <c r="G282" s="59" t="s">
        <v>300</v>
      </c>
      <c r="H282" s="7">
        <f t="shared" si="8"/>
        <v>44</v>
      </c>
      <c r="I282" s="50">
        <v>40554.602777777778</v>
      </c>
      <c r="J282" s="58" t="s">
        <v>1205</v>
      </c>
      <c r="K282" s="4">
        <f t="shared" si="9"/>
        <v>5</v>
      </c>
      <c r="L282" s="4">
        <v>8</v>
      </c>
      <c r="M282" s="4">
        <v>5</v>
      </c>
      <c r="Q282">
        <v>44</v>
      </c>
    </row>
    <row r="283" spans="6:17">
      <c r="F283" s="12">
        <v>21</v>
      </c>
      <c r="G283" s="51" t="s">
        <v>300</v>
      </c>
      <c r="H283" s="7">
        <f t="shared" si="8"/>
        <v>44</v>
      </c>
      <c r="I283" s="50">
        <v>40555.8125</v>
      </c>
      <c r="J283" s="58" t="s">
        <v>1564</v>
      </c>
      <c r="K283" s="4">
        <f t="shared" si="9"/>
        <v>6</v>
      </c>
      <c r="L283" s="4">
        <v>2</v>
      </c>
      <c r="M283" s="4">
        <v>6</v>
      </c>
      <c r="Q283">
        <v>44</v>
      </c>
    </row>
    <row r="284" spans="6:17">
      <c r="F284" s="12">
        <v>23</v>
      </c>
      <c r="G284" s="51" t="s">
        <v>300</v>
      </c>
      <c r="H284" s="7">
        <f t="shared" si="8"/>
        <v>44</v>
      </c>
      <c r="I284" s="50">
        <v>40556.536805555559</v>
      </c>
      <c r="J284" s="58" t="s">
        <v>499</v>
      </c>
      <c r="K284" s="4">
        <f t="shared" si="9"/>
        <v>7</v>
      </c>
      <c r="L284" s="4">
        <v>2</v>
      </c>
      <c r="M284" s="4">
        <v>7</v>
      </c>
      <c r="Q284">
        <v>44</v>
      </c>
    </row>
    <row r="285" spans="6:17">
      <c r="F285" s="12">
        <v>25</v>
      </c>
      <c r="G285" s="51" t="s">
        <v>300</v>
      </c>
      <c r="H285" s="7">
        <f t="shared" si="8"/>
        <v>44</v>
      </c>
      <c r="I285" s="50">
        <v>40556.644444444442</v>
      </c>
      <c r="J285" s="58" t="s">
        <v>684</v>
      </c>
      <c r="K285" s="4">
        <f t="shared" si="9"/>
        <v>8</v>
      </c>
      <c r="L285" s="4">
        <v>2</v>
      </c>
      <c r="M285" s="4">
        <v>8</v>
      </c>
      <c r="Q285">
        <v>44</v>
      </c>
    </row>
    <row r="286" spans="6:17">
      <c r="F286" s="12">
        <v>82</v>
      </c>
      <c r="G286" s="51" t="s">
        <v>300</v>
      </c>
      <c r="H286" s="7">
        <f t="shared" si="8"/>
        <v>44</v>
      </c>
      <c r="I286" s="50">
        <v>40584.005555555559</v>
      </c>
      <c r="J286" s="58" t="s">
        <v>565</v>
      </c>
      <c r="K286" s="4">
        <f t="shared" si="9"/>
        <v>9</v>
      </c>
      <c r="L286" s="4">
        <v>2</v>
      </c>
      <c r="M286" s="4">
        <v>9</v>
      </c>
      <c r="Q286">
        <v>44</v>
      </c>
    </row>
    <row r="287" spans="6:17">
      <c r="F287" s="12">
        <v>91</v>
      </c>
      <c r="G287" s="59" t="s">
        <v>300</v>
      </c>
      <c r="H287" s="7">
        <f t="shared" si="8"/>
        <v>44</v>
      </c>
      <c r="I287" s="50">
        <v>40585.927777777775</v>
      </c>
      <c r="J287" s="58" t="s">
        <v>1488</v>
      </c>
      <c r="K287" s="4">
        <f t="shared" si="9"/>
        <v>10</v>
      </c>
      <c r="L287" s="4">
        <v>4</v>
      </c>
      <c r="M287" s="4">
        <v>10</v>
      </c>
      <c r="Q287">
        <v>44</v>
      </c>
    </row>
    <row r="288" spans="6:17">
      <c r="F288" s="12">
        <v>92</v>
      </c>
      <c r="G288" s="51" t="s">
        <v>300</v>
      </c>
      <c r="H288" s="7">
        <f t="shared" si="8"/>
        <v>44</v>
      </c>
      <c r="I288" s="50">
        <v>40585.935416666667</v>
      </c>
      <c r="J288" s="58" t="s">
        <v>1543</v>
      </c>
      <c r="K288" s="4">
        <f t="shared" si="9"/>
        <v>11</v>
      </c>
      <c r="L288" s="4">
        <v>4</v>
      </c>
      <c r="M288" s="4">
        <v>11</v>
      </c>
      <c r="Q288">
        <v>44</v>
      </c>
    </row>
    <row r="289" spans="6:17">
      <c r="F289" s="12">
        <v>94</v>
      </c>
      <c r="G289" s="51" t="s">
        <v>300</v>
      </c>
      <c r="H289" s="7">
        <f t="shared" si="8"/>
        <v>44</v>
      </c>
      <c r="I289" s="50">
        <v>40584.025000000001</v>
      </c>
      <c r="J289" s="58" t="s">
        <v>632</v>
      </c>
      <c r="K289" s="4">
        <f t="shared" si="9"/>
        <v>12</v>
      </c>
      <c r="L289" s="4">
        <v>2</v>
      </c>
      <c r="M289" s="4">
        <v>12</v>
      </c>
      <c r="Q289">
        <v>44</v>
      </c>
    </row>
    <row r="290" spans="6:17">
      <c r="F290" s="12">
        <v>117</v>
      </c>
      <c r="G290" s="59" t="s">
        <v>300</v>
      </c>
      <c r="H290" s="7">
        <f t="shared" si="8"/>
        <v>44</v>
      </c>
      <c r="I290" s="50">
        <v>40609.036805555559</v>
      </c>
      <c r="J290" s="58" t="s">
        <v>926</v>
      </c>
      <c r="K290" s="4">
        <f t="shared" si="9"/>
        <v>13</v>
      </c>
      <c r="L290" s="4">
        <v>3</v>
      </c>
      <c r="M290" s="4">
        <v>13</v>
      </c>
      <c r="Q290">
        <v>44</v>
      </c>
    </row>
    <row r="291" spans="6:17">
      <c r="F291" s="12">
        <v>119</v>
      </c>
      <c r="G291" s="51" t="s">
        <v>300</v>
      </c>
      <c r="H291" s="7">
        <f t="shared" si="8"/>
        <v>44</v>
      </c>
      <c r="I291" s="50">
        <v>40612.936805555553</v>
      </c>
      <c r="J291" s="58" t="s">
        <v>451</v>
      </c>
      <c r="K291" s="4">
        <f t="shared" si="9"/>
        <v>14</v>
      </c>
      <c r="L291" s="4">
        <v>2</v>
      </c>
      <c r="M291" s="4">
        <v>14</v>
      </c>
      <c r="Q291">
        <v>44</v>
      </c>
    </row>
    <row r="292" spans="6:17">
      <c r="F292" s="12">
        <v>121</v>
      </c>
      <c r="G292" s="51" t="s">
        <v>300</v>
      </c>
      <c r="H292" s="7">
        <f t="shared" si="8"/>
        <v>44</v>
      </c>
      <c r="I292" s="50">
        <v>40613.493055555555</v>
      </c>
      <c r="J292" s="58" t="s">
        <v>568</v>
      </c>
      <c r="K292" s="4">
        <f t="shared" si="9"/>
        <v>15</v>
      </c>
      <c r="L292" s="4">
        <v>2</v>
      </c>
      <c r="M292" s="4">
        <v>15</v>
      </c>
      <c r="Q292">
        <v>44</v>
      </c>
    </row>
    <row r="293" spans="6:17">
      <c r="F293" s="12">
        <v>124</v>
      </c>
      <c r="G293" s="51" t="s">
        <v>300</v>
      </c>
      <c r="H293" s="7">
        <f t="shared" si="8"/>
        <v>44</v>
      </c>
      <c r="I293" s="50">
        <v>40615.871527777781</v>
      </c>
      <c r="J293" s="58" t="s">
        <v>916</v>
      </c>
      <c r="K293" s="4">
        <f t="shared" si="9"/>
        <v>16</v>
      </c>
      <c r="L293" s="4">
        <v>2</v>
      </c>
      <c r="M293" s="4">
        <v>16</v>
      </c>
      <c r="Q293">
        <v>44</v>
      </c>
    </row>
    <row r="294" spans="6:17">
      <c r="F294" s="12">
        <v>128</v>
      </c>
      <c r="G294" s="51" t="s">
        <v>300</v>
      </c>
      <c r="H294" s="7">
        <f t="shared" si="8"/>
        <v>44</v>
      </c>
      <c r="I294" s="50">
        <v>40616.585416666669</v>
      </c>
      <c r="J294" s="58" t="s">
        <v>642</v>
      </c>
      <c r="K294" s="4">
        <f t="shared" si="9"/>
        <v>17</v>
      </c>
      <c r="L294" s="4">
        <v>3</v>
      </c>
      <c r="M294" s="4">
        <v>17</v>
      </c>
      <c r="Q294">
        <v>44</v>
      </c>
    </row>
    <row r="295" spans="6:17">
      <c r="F295" s="12">
        <v>133</v>
      </c>
      <c r="G295" s="59" t="s">
        <v>300</v>
      </c>
      <c r="H295" s="7">
        <f t="shared" si="8"/>
        <v>44</v>
      </c>
      <c r="I295" s="50">
        <v>40616.810416666667</v>
      </c>
      <c r="J295" s="58" t="s">
        <v>798</v>
      </c>
      <c r="K295" s="4">
        <f t="shared" si="9"/>
        <v>18</v>
      </c>
      <c r="L295" s="4">
        <v>2</v>
      </c>
      <c r="M295" s="4">
        <v>18</v>
      </c>
      <c r="Q295">
        <v>44</v>
      </c>
    </row>
    <row r="296" spans="6:17">
      <c r="F296" s="12">
        <v>137</v>
      </c>
      <c r="G296" s="59" t="s">
        <v>300</v>
      </c>
      <c r="H296" s="7">
        <f t="shared" si="8"/>
        <v>44</v>
      </c>
      <c r="I296" s="50">
        <v>40619.935416666667</v>
      </c>
      <c r="J296" s="58" t="s">
        <v>1255</v>
      </c>
      <c r="K296" s="4">
        <f t="shared" si="9"/>
        <v>19</v>
      </c>
      <c r="L296" s="4">
        <v>3</v>
      </c>
      <c r="M296" s="4">
        <v>19</v>
      </c>
      <c r="Q296">
        <v>44</v>
      </c>
    </row>
    <row r="297" spans="6:17">
      <c r="F297" s="12">
        <v>140</v>
      </c>
      <c r="G297" s="59" t="s">
        <v>300</v>
      </c>
      <c r="H297" s="7">
        <f t="shared" si="8"/>
        <v>44</v>
      </c>
      <c r="I297" s="50">
        <v>40619.957638888889</v>
      </c>
      <c r="J297" s="58" t="s">
        <v>369</v>
      </c>
      <c r="K297" s="4">
        <f t="shared" si="9"/>
        <v>20</v>
      </c>
      <c r="L297" s="4">
        <v>2</v>
      </c>
      <c r="M297" s="4">
        <v>20</v>
      </c>
      <c r="Q297">
        <v>44</v>
      </c>
    </row>
    <row r="298" spans="6:17">
      <c r="F298" s="12">
        <v>180</v>
      </c>
      <c r="G298" s="59" t="s">
        <v>300</v>
      </c>
      <c r="H298" s="7">
        <f t="shared" si="8"/>
        <v>44</v>
      </c>
      <c r="I298" s="50">
        <v>40633.951388888891</v>
      </c>
      <c r="J298" s="58" t="s">
        <v>712</v>
      </c>
      <c r="K298" s="4">
        <f t="shared" si="9"/>
        <v>21</v>
      </c>
      <c r="L298" s="4">
        <v>2</v>
      </c>
      <c r="M298" s="4">
        <v>21</v>
      </c>
      <c r="Q298">
        <v>44</v>
      </c>
    </row>
    <row r="299" spans="6:17">
      <c r="F299" s="12">
        <v>209</v>
      </c>
      <c r="G299" s="59" t="s">
        <v>300</v>
      </c>
      <c r="H299" s="7">
        <f t="shared" si="8"/>
        <v>44</v>
      </c>
      <c r="I299" s="50">
        <v>40651.90902777778</v>
      </c>
      <c r="J299" s="58" t="s">
        <v>596</v>
      </c>
      <c r="K299" s="4">
        <f t="shared" si="9"/>
        <v>22</v>
      </c>
      <c r="L299" s="4">
        <v>2</v>
      </c>
      <c r="M299" s="4">
        <v>22</v>
      </c>
      <c r="Q299">
        <v>44</v>
      </c>
    </row>
    <row r="300" spans="6:17">
      <c r="F300" s="12">
        <v>233</v>
      </c>
      <c r="G300" s="59" t="s">
        <v>300</v>
      </c>
      <c r="H300" s="7">
        <f t="shared" si="8"/>
        <v>44</v>
      </c>
      <c r="I300" s="50">
        <v>40661.941666666666</v>
      </c>
      <c r="J300" s="58" t="s">
        <v>653</v>
      </c>
      <c r="K300" s="4">
        <f t="shared" si="9"/>
        <v>23</v>
      </c>
      <c r="L300" s="4">
        <v>2</v>
      </c>
      <c r="M300" s="4">
        <v>23</v>
      </c>
      <c r="Q300">
        <v>44</v>
      </c>
    </row>
    <row r="301" spans="6:17">
      <c r="F301" s="12">
        <v>235</v>
      </c>
      <c r="G301" s="59" t="s">
        <v>300</v>
      </c>
      <c r="H301" s="7">
        <f t="shared" si="8"/>
        <v>44</v>
      </c>
      <c r="I301" s="50">
        <v>40662.050000000003</v>
      </c>
      <c r="J301" s="58" t="s">
        <v>972</v>
      </c>
      <c r="K301" s="4">
        <f t="shared" si="9"/>
        <v>24</v>
      </c>
      <c r="L301" s="4">
        <v>3</v>
      </c>
      <c r="M301" s="4">
        <v>24</v>
      </c>
      <c r="Q301">
        <v>44</v>
      </c>
    </row>
    <row r="302" spans="6:17">
      <c r="F302" s="12">
        <v>237</v>
      </c>
      <c r="G302" s="59" t="s">
        <v>300</v>
      </c>
      <c r="H302" s="7">
        <f t="shared" si="8"/>
        <v>44</v>
      </c>
      <c r="I302" s="50">
        <v>40662.427083333336</v>
      </c>
      <c r="J302" s="58" t="s">
        <v>1150</v>
      </c>
      <c r="K302" s="4">
        <f t="shared" si="9"/>
        <v>25</v>
      </c>
      <c r="L302" s="4">
        <v>3</v>
      </c>
      <c r="M302" s="4">
        <v>25</v>
      </c>
      <c r="Q302">
        <v>44</v>
      </c>
    </row>
    <row r="303" spans="6:17">
      <c r="F303" s="12">
        <v>245</v>
      </c>
      <c r="G303" s="51" t="s">
        <v>300</v>
      </c>
      <c r="H303" s="7">
        <f t="shared" si="8"/>
        <v>44</v>
      </c>
      <c r="I303" s="50">
        <v>40666.329861111109</v>
      </c>
      <c r="J303" s="58" t="s">
        <v>1357</v>
      </c>
      <c r="K303" s="4">
        <f t="shared" si="9"/>
        <v>26</v>
      </c>
      <c r="L303" s="4">
        <v>5</v>
      </c>
      <c r="M303" s="4">
        <v>26</v>
      </c>
      <c r="Q303">
        <v>44</v>
      </c>
    </row>
    <row r="304" spans="6:17">
      <c r="F304" s="12">
        <v>247</v>
      </c>
      <c r="G304" s="51" t="s">
        <v>300</v>
      </c>
      <c r="H304" s="7">
        <f t="shared" si="8"/>
        <v>44</v>
      </c>
      <c r="I304" s="50">
        <v>40666.334027777775</v>
      </c>
      <c r="J304" s="58" t="s">
        <v>1451</v>
      </c>
      <c r="K304" s="4">
        <f t="shared" si="9"/>
        <v>27</v>
      </c>
      <c r="L304" s="4">
        <v>2</v>
      </c>
      <c r="M304" s="4">
        <v>27</v>
      </c>
      <c r="Q304">
        <v>44</v>
      </c>
    </row>
    <row r="305" spans="6:17">
      <c r="F305" s="12">
        <v>267</v>
      </c>
      <c r="G305" s="51" t="s">
        <v>300</v>
      </c>
      <c r="H305" s="7">
        <f t="shared" si="8"/>
        <v>44</v>
      </c>
      <c r="I305" s="50">
        <v>40675.044444444444</v>
      </c>
      <c r="J305" s="58" t="s">
        <v>1173</v>
      </c>
      <c r="K305" s="4">
        <f t="shared" si="9"/>
        <v>28</v>
      </c>
      <c r="L305" s="4">
        <v>2</v>
      </c>
      <c r="M305" s="4">
        <v>28</v>
      </c>
      <c r="Q305">
        <v>44</v>
      </c>
    </row>
    <row r="306" spans="6:17">
      <c r="F306" s="12">
        <v>295</v>
      </c>
      <c r="G306" s="59" t="s">
        <v>300</v>
      </c>
      <c r="H306" s="7">
        <f t="shared" si="8"/>
        <v>44</v>
      </c>
      <c r="I306" s="50">
        <v>40687.451388888891</v>
      </c>
      <c r="J306" s="58" t="s">
        <v>1229</v>
      </c>
      <c r="K306" s="4">
        <f t="shared" si="9"/>
        <v>29</v>
      </c>
      <c r="L306" s="4">
        <v>2</v>
      </c>
      <c r="M306" s="4">
        <v>29</v>
      </c>
      <c r="Q306">
        <v>44</v>
      </c>
    </row>
    <row r="307" spans="6:17">
      <c r="F307" s="12">
        <v>305</v>
      </c>
      <c r="G307" s="59" t="s">
        <v>300</v>
      </c>
      <c r="H307" s="7">
        <f t="shared" si="8"/>
        <v>44</v>
      </c>
      <c r="I307" s="50">
        <v>40694.240277777775</v>
      </c>
      <c r="J307" s="58" t="s">
        <v>1939</v>
      </c>
      <c r="K307" s="4">
        <f t="shared" si="9"/>
        <v>30</v>
      </c>
      <c r="L307" s="4">
        <v>7</v>
      </c>
      <c r="M307" s="4">
        <v>30</v>
      </c>
      <c r="Q307">
        <v>44</v>
      </c>
    </row>
    <row r="308" spans="6:17">
      <c r="F308" s="12">
        <v>309</v>
      </c>
      <c r="G308" s="59" t="s">
        <v>300</v>
      </c>
      <c r="H308" s="7">
        <f t="shared" si="8"/>
        <v>44</v>
      </c>
      <c r="I308" s="50">
        <v>40694.631944444445</v>
      </c>
      <c r="J308" s="58" t="s">
        <v>1355</v>
      </c>
      <c r="K308" s="4">
        <f t="shared" si="9"/>
        <v>31</v>
      </c>
      <c r="L308" s="4">
        <v>7</v>
      </c>
      <c r="M308" s="4">
        <v>31</v>
      </c>
      <c r="Q308">
        <v>44</v>
      </c>
    </row>
    <row r="309" spans="6:17">
      <c r="F309" s="12">
        <v>310</v>
      </c>
      <c r="G309" s="59" t="s">
        <v>300</v>
      </c>
      <c r="H309" s="7">
        <f t="shared" si="8"/>
        <v>44</v>
      </c>
      <c r="I309" s="50">
        <v>40694.673611111109</v>
      </c>
      <c r="J309" s="58" t="s">
        <v>384</v>
      </c>
      <c r="K309" s="4">
        <f t="shared" si="9"/>
        <v>32</v>
      </c>
      <c r="L309" s="4">
        <v>2</v>
      </c>
      <c r="M309" s="4">
        <v>32</v>
      </c>
      <c r="Q309">
        <v>44</v>
      </c>
    </row>
    <row r="310" spans="6:17">
      <c r="F310" s="12">
        <v>327</v>
      </c>
      <c r="G310" s="59" t="s">
        <v>300</v>
      </c>
      <c r="H310" s="7">
        <f t="shared" si="8"/>
        <v>44</v>
      </c>
      <c r="I310" s="50">
        <v>40700.009722222225</v>
      </c>
      <c r="J310" s="58" t="s">
        <v>966</v>
      </c>
      <c r="K310" s="4">
        <f t="shared" si="9"/>
        <v>33</v>
      </c>
      <c r="L310" s="4">
        <v>4</v>
      </c>
      <c r="M310" s="4">
        <v>33</v>
      </c>
      <c r="Q310">
        <v>44</v>
      </c>
    </row>
    <row r="311" spans="6:17">
      <c r="F311" s="12">
        <v>329</v>
      </c>
      <c r="G311" s="51" t="s">
        <v>300</v>
      </c>
      <c r="H311" s="7">
        <f t="shared" si="8"/>
        <v>44</v>
      </c>
      <c r="I311" s="50">
        <v>40700.931944444441</v>
      </c>
      <c r="J311" s="58" t="s">
        <v>395</v>
      </c>
      <c r="K311" s="4">
        <f t="shared" si="9"/>
        <v>34</v>
      </c>
      <c r="L311" s="4">
        <v>3</v>
      </c>
      <c r="M311" s="4">
        <v>34</v>
      </c>
      <c r="Q311">
        <v>44</v>
      </c>
    </row>
    <row r="312" spans="6:17">
      <c r="F312" s="12">
        <v>340</v>
      </c>
      <c r="G312" s="59" t="s">
        <v>300</v>
      </c>
      <c r="H312" s="7">
        <f t="shared" si="8"/>
        <v>44</v>
      </c>
      <c r="I312" s="50">
        <v>40702.461805555555</v>
      </c>
      <c r="J312" s="58" t="s">
        <v>1412</v>
      </c>
      <c r="K312" s="4">
        <f t="shared" si="9"/>
        <v>35</v>
      </c>
      <c r="L312" s="4">
        <v>3</v>
      </c>
      <c r="M312" s="4">
        <v>35</v>
      </c>
      <c r="Q312">
        <v>44</v>
      </c>
    </row>
    <row r="313" spans="6:17">
      <c r="F313" s="12">
        <v>345</v>
      </c>
      <c r="G313" s="51" t="s">
        <v>300</v>
      </c>
      <c r="H313" s="7">
        <f t="shared" si="8"/>
        <v>44</v>
      </c>
      <c r="I313" s="50">
        <v>40707.242361111108</v>
      </c>
      <c r="J313" s="58" t="s">
        <v>645</v>
      </c>
      <c r="K313" s="4">
        <f t="shared" si="9"/>
        <v>36</v>
      </c>
      <c r="L313" s="4">
        <v>2</v>
      </c>
      <c r="M313" s="4">
        <v>36</v>
      </c>
      <c r="Q313">
        <v>44</v>
      </c>
    </row>
    <row r="314" spans="6:17">
      <c r="F314" s="12">
        <v>350</v>
      </c>
      <c r="G314" s="59" t="s">
        <v>300</v>
      </c>
      <c r="H314" s="7">
        <f t="shared" si="8"/>
        <v>44</v>
      </c>
      <c r="I314" s="50">
        <v>40708.0625</v>
      </c>
      <c r="J314" s="58" t="s">
        <v>1914</v>
      </c>
      <c r="K314" s="4">
        <f t="shared" si="9"/>
        <v>37</v>
      </c>
      <c r="L314" s="4">
        <v>2</v>
      </c>
      <c r="M314" s="4">
        <v>37</v>
      </c>
      <c r="Q314">
        <v>44</v>
      </c>
    </row>
    <row r="315" spans="6:17">
      <c r="F315" s="12">
        <v>352</v>
      </c>
      <c r="G315" s="59" t="s">
        <v>300</v>
      </c>
      <c r="H315" s="7">
        <f t="shared" si="8"/>
        <v>44</v>
      </c>
      <c r="I315" s="50">
        <v>40708.52847222222</v>
      </c>
      <c r="J315" s="58" t="s">
        <v>1032</v>
      </c>
      <c r="K315" s="4">
        <f t="shared" si="9"/>
        <v>38</v>
      </c>
      <c r="L315" s="4">
        <v>2</v>
      </c>
      <c r="M315" s="4">
        <v>38</v>
      </c>
      <c r="Q315">
        <v>44</v>
      </c>
    </row>
    <row r="316" spans="6:17">
      <c r="F316" s="12">
        <v>355</v>
      </c>
      <c r="G316" s="51" t="s">
        <v>300</v>
      </c>
      <c r="H316" s="7">
        <f t="shared" si="8"/>
        <v>44</v>
      </c>
      <c r="I316" s="50">
        <v>40710.668749999997</v>
      </c>
      <c r="J316" s="58" t="s">
        <v>1079</v>
      </c>
      <c r="K316" s="4">
        <f t="shared" si="9"/>
        <v>39</v>
      </c>
      <c r="L316" s="4">
        <v>2</v>
      </c>
      <c r="M316" s="4">
        <v>39</v>
      </c>
      <c r="Q316">
        <v>44</v>
      </c>
    </row>
    <row r="317" spans="6:17">
      <c r="F317" s="12">
        <v>375</v>
      </c>
      <c r="G317" s="51" t="s">
        <v>300</v>
      </c>
      <c r="H317" s="7">
        <f t="shared" si="8"/>
        <v>44</v>
      </c>
      <c r="I317" s="50">
        <v>40715.60833333333</v>
      </c>
      <c r="J317" s="58" t="s">
        <v>1573</v>
      </c>
      <c r="K317" s="4">
        <f t="shared" si="9"/>
        <v>40</v>
      </c>
      <c r="L317" s="4">
        <v>2</v>
      </c>
      <c r="M317" s="4">
        <v>40</v>
      </c>
      <c r="Q317">
        <v>44</v>
      </c>
    </row>
    <row r="318" spans="6:17">
      <c r="F318" s="12">
        <v>377</v>
      </c>
      <c r="G318" s="51" t="s">
        <v>300</v>
      </c>
      <c r="H318" s="7">
        <f t="shared" si="8"/>
        <v>44</v>
      </c>
      <c r="I318" s="50">
        <v>40716.568055555559</v>
      </c>
      <c r="J318" s="58" t="s">
        <v>939</v>
      </c>
      <c r="K318" s="4">
        <f t="shared" si="9"/>
        <v>41</v>
      </c>
      <c r="L318" s="4">
        <v>2</v>
      </c>
      <c r="M318" s="4">
        <v>41</v>
      </c>
      <c r="Q318">
        <v>44</v>
      </c>
    </row>
    <row r="319" spans="6:17">
      <c r="F319" s="12">
        <v>125</v>
      </c>
      <c r="G319" s="59" t="s">
        <v>918</v>
      </c>
      <c r="H319" s="7">
        <f t="shared" si="8"/>
        <v>45</v>
      </c>
      <c r="I319" s="50">
        <v>40615.912499999999</v>
      </c>
      <c r="J319" s="58" t="s">
        <v>917</v>
      </c>
      <c r="K319" s="4">
        <f t="shared" si="9"/>
        <v>1</v>
      </c>
      <c r="L319" s="4">
        <v>4</v>
      </c>
      <c r="M319" s="4">
        <v>1</v>
      </c>
      <c r="Q319">
        <v>45</v>
      </c>
    </row>
    <row r="320" spans="6:17">
      <c r="F320" s="12">
        <v>337</v>
      </c>
      <c r="G320" s="51" t="s">
        <v>918</v>
      </c>
      <c r="H320" s="7">
        <f t="shared" si="8"/>
        <v>45</v>
      </c>
      <c r="I320" s="50">
        <v>40687.69027777778</v>
      </c>
      <c r="J320" s="58" t="s">
        <v>1270</v>
      </c>
      <c r="K320" s="4">
        <f t="shared" si="9"/>
        <v>2</v>
      </c>
      <c r="L320" s="4">
        <v>2</v>
      </c>
      <c r="M320" s="4">
        <v>2</v>
      </c>
      <c r="Q320">
        <v>45</v>
      </c>
    </row>
    <row r="321" spans="6:17">
      <c r="F321" s="12">
        <v>384</v>
      </c>
      <c r="G321" s="59" t="s">
        <v>918</v>
      </c>
      <c r="H321" s="7">
        <f t="shared" si="8"/>
        <v>45</v>
      </c>
      <c r="I321" s="50">
        <v>40723.67083333333</v>
      </c>
      <c r="J321" s="58" t="s">
        <v>999</v>
      </c>
      <c r="K321" s="4">
        <f t="shared" si="9"/>
        <v>3</v>
      </c>
      <c r="L321" s="4">
        <v>2</v>
      </c>
      <c r="M321" s="4">
        <v>3</v>
      </c>
      <c r="Q321">
        <v>45</v>
      </c>
    </row>
    <row r="322" spans="6:17">
      <c r="F322" s="12">
        <v>42</v>
      </c>
      <c r="G322" s="59" t="s">
        <v>1340</v>
      </c>
      <c r="H322" s="7">
        <f t="shared" ref="H322:H385" si="10">LOOKUP(G322,$N$2:$N$60,$O$2:$O$60)</f>
        <v>46</v>
      </c>
      <c r="I322" s="50">
        <v>40574.874305555553</v>
      </c>
      <c r="J322" s="58" t="s">
        <v>1339</v>
      </c>
      <c r="K322" s="4">
        <f t="shared" ref="K322:K385" si="11">IF(Q322&gt;Q321,1,K321+1)</f>
        <v>1</v>
      </c>
      <c r="L322" s="4">
        <v>2</v>
      </c>
      <c r="M322" s="4">
        <v>1</v>
      </c>
      <c r="Q322">
        <v>46</v>
      </c>
    </row>
    <row r="323" spans="6:17">
      <c r="F323" s="12">
        <v>211</v>
      </c>
      <c r="G323" s="59" t="s">
        <v>1130</v>
      </c>
      <c r="H323" s="7">
        <f t="shared" si="10"/>
        <v>47</v>
      </c>
      <c r="I323" s="50">
        <v>40651.940972222219</v>
      </c>
      <c r="J323" s="58" t="s">
        <v>1129</v>
      </c>
      <c r="K323" s="4">
        <f t="shared" si="11"/>
        <v>1</v>
      </c>
      <c r="L323" s="4">
        <v>3</v>
      </c>
      <c r="M323" s="4">
        <v>1</v>
      </c>
      <c r="Q323">
        <v>47</v>
      </c>
    </row>
    <row r="324" spans="6:17">
      <c r="F324" s="12">
        <v>84</v>
      </c>
      <c r="G324" s="51" t="s">
        <v>416</v>
      </c>
      <c r="H324" s="7">
        <f t="shared" si="10"/>
        <v>48</v>
      </c>
      <c r="I324" s="50">
        <v>40582.405555555553</v>
      </c>
      <c r="J324" s="58" t="s">
        <v>1010</v>
      </c>
      <c r="K324" s="4">
        <f t="shared" si="11"/>
        <v>1</v>
      </c>
      <c r="L324" s="4">
        <v>2</v>
      </c>
      <c r="M324" s="4">
        <v>1</v>
      </c>
      <c r="Q324">
        <v>48</v>
      </c>
    </row>
    <row r="325" spans="6:17">
      <c r="F325" s="12">
        <v>112</v>
      </c>
      <c r="G325" s="51" t="s">
        <v>416</v>
      </c>
      <c r="H325" s="7">
        <f t="shared" si="10"/>
        <v>48</v>
      </c>
      <c r="I325" s="50">
        <v>40596.899305555555</v>
      </c>
      <c r="J325" s="58" t="s">
        <v>417</v>
      </c>
      <c r="K325" s="4">
        <f t="shared" si="11"/>
        <v>2</v>
      </c>
      <c r="L325" s="4">
        <v>2</v>
      </c>
      <c r="M325" s="4">
        <v>2</v>
      </c>
      <c r="Q325">
        <v>48</v>
      </c>
    </row>
    <row r="326" spans="6:17">
      <c r="F326" s="12">
        <v>151</v>
      </c>
      <c r="G326" s="51" t="s">
        <v>416</v>
      </c>
      <c r="H326" s="7">
        <f t="shared" si="10"/>
        <v>48</v>
      </c>
      <c r="I326" s="50">
        <v>40624.417361111111</v>
      </c>
      <c r="J326" s="58" t="s">
        <v>517</v>
      </c>
      <c r="K326" s="4">
        <f t="shared" si="11"/>
        <v>3</v>
      </c>
      <c r="L326" s="4">
        <v>2</v>
      </c>
      <c r="M326" s="4">
        <v>3</v>
      </c>
      <c r="Q326">
        <v>48</v>
      </c>
    </row>
    <row r="327" spans="6:17">
      <c r="F327" s="12">
        <v>225</v>
      </c>
      <c r="G327" s="59" t="s">
        <v>416</v>
      </c>
      <c r="H327" s="7">
        <f t="shared" si="10"/>
        <v>48</v>
      </c>
      <c r="I327" s="50">
        <v>40658.96875</v>
      </c>
      <c r="J327" s="58" t="s">
        <v>1473</v>
      </c>
      <c r="K327" s="4">
        <f t="shared" si="11"/>
        <v>4</v>
      </c>
      <c r="L327" s="4">
        <v>2</v>
      </c>
      <c r="M327" s="4">
        <v>4</v>
      </c>
      <c r="Q327">
        <v>48</v>
      </c>
    </row>
    <row r="328" spans="6:17">
      <c r="F328" s="12">
        <v>259</v>
      </c>
      <c r="G328" s="51" t="s">
        <v>416</v>
      </c>
      <c r="H328" s="7">
        <f t="shared" si="10"/>
        <v>48</v>
      </c>
      <c r="I328" s="50">
        <v>40659.015277777777</v>
      </c>
      <c r="J328" s="58" t="s">
        <v>673</v>
      </c>
      <c r="K328" s="4">
        <f t="shared" si="11"/>
        <v>5</v>
      </c>
      <c r="L328" s="4">
        <v>3</v>
      </c>
      <c r="M328" s="4">
        <v>5</v>
      </c>
      <c r="Q328">
        <v>48</v>
      </c>
    </row>
    <row r="329" spans="6:17">
      <c r="F329" s="12">
        <v>365</v>
      </c>
      <c r="G329" s="59" t="s">
        <v>416</v>
      </c>
      <c r="H329" s="7">
        <f t="shared" si="10"/>
        <v>48</v>
      </c>
      <c r="I329" s="50">
        <v>40713.963888888888</v>
      </c>
      <c r="J329" s="58" t="s">
        <v>1316</v>
      </c>
      <c r="K329" s="4">
        <f t="shared" si="11"/>
        <v>6</v>
      </c>
      <c r="L329" s="4">
        <v>2</v>
      </c>
      <c r="M329" s="4">
        <v>6</v>
      </c>
      <c r="Q329">
        <v>48</v>
      </c>
    </row>
    <row r="330" spans="6:17">
      <c r="F330" s="12">
        <v>16</v>
      </c>
      <c r="G330" s="59" t="s">
        <v>974</v>
      </c>
      <c r="H330" s="7">
        <f t="shared" si="10"/>
        <v>49</v>
      </c>
      <c r="I330" s="50">
        <v>40554.584027777775</v>
      </c>
      <c r="J330" s="58" t="s">
        <v>1336</v>
      </c>
      <c r="K330" s="4">
        <f t="shared" si="11"/>
        <v>1</v>
      </c>
      <c r="L330" s="4">
        <v>2</v>
      </c>
      <c r="M330" s="4">
        <v>1</v>
      </c>
      <c r="Q330">
        <v>49</v>
      </c>
    </row>
    <row r="331" spans="6:17">
      <c r="F331" s="12">
        <v>17</v>
      </c>
      <c r="G331" s="51" t="s">
        <v>974</v>
      </c>
      <c r="H331" s="7">
        <f t="shared" si="10"/>
        <v>49</v>
      </c>
      <c r="I331" s="50">
        <v>40554.584722222222</v>
      </c>
      <c r="J331" s="58" t="s">
        <v>1204</v>
      </c>
      <c r="K331" s="4">
        <f t="shared" si="11"/>
        <v>2</v>
      </c>
      <c r="L331" s="4">
        <v>2</v>
      </c>
      <c r="M331" s="4">
        <v>2</v>
      </c>
      <c r="Q331">
        <v>49</v>
      </c>
    </row>
    <row r="332" spans="6:17">
      <c r="F332" s="12">
        <v>227</v>
      </c>
      <c r="G332" s="59" t="s">
        <v>974</v>
      </c>
      <c r="H332" s="7">
        <f t="shared" si="10"/>
        <v>49</v>
      </c>
      <c r="I332" s="50">
        <v>40661.752083333333</v>
      </c>
      <c r="J332" s="58" t="s">
        <v>1055</v>
      </c>
      <c r="K332" s="4">
        <f t="shared" si="11"/>
        <v>3</v>
      </c>
      <c r="L332" s="4">
        <v>2</v>
      </c>
      <c r="M332" s="4">
        <v>3</v>
      </c>
      <c r="Q332">
        <v>49</v>
      </c>
    </row>
    <row r="333" spans="6:17">
      <c r="F333" s="12">
        <v>230</v>
      </c>
      <c r="G333" s="51" t="s">
        <v>974</v>
      </c>
      <c r="H333" s="7">
        <f t="shared" si="10"/>
        <v>49</v>
      </c>
      <c r="I333" s="50">
        <v>40661.754861111112</v>
      </c>
      <c r="J333" s="58" t="s">
        <v>975</v>
      </c>
      <c r="K333" s="4">
        <f t="shared" si="11"/>
        <v>4</v>
      </c>
      <c r="L333" s="4">
        <v>2</v>
      </c>
      <c r="M333" s="4">
        <v>4</v>
      </c>
      <c r="Q333">
        <v>49</v>
      </c>
    </row>
    <row r="334" spans="6:17">
      <c r="F334" s="12">
        <v>2</v>
      </c>
      <c r="G334" s="59" t="s">
        <v>289</v>
      </c>
      <c r="H334" s="7">
        <f t="shared" si="10"/>
        <v>50</v>
      </c>
      <c r="I334" s="50">
        <v>40544.072222222225</v>
      </c>
      <c r="J334" s="58" t="s">
        <v>1458</v>
      </c>
      <c r="K334" s="4">
        <f t="shared" si="11"/>
        <v>1</v>
      </c>
      <c r="L334" s="4">
        <v>16</v>
      </c>
      <c r="M334" s="4">
        <v>1</v>
      </c>
      <c r="Q334">
        <v>50</v>
      </c>
    </row>
    <row r="335" spans="6:17">
      <c r="F335" s="12">
        <v>24</v>
      </c>
      <c r="G335" s="51" t="s">
        <v>289</v>
      </c>
      <c r="H335" s="7">
        <f t="shared" si="10"/>
        <v>50</v>
      </c>
      <c r="I335" s="50">
        <v>40556.874305555553</v>
      </c>
      <c r="J335" s="58" t="s">
        <v>500</v>
      </c>
      <c r="K335" s="4">
        <f t="shared" si="11"/>
        <v>2</v>
      </c>
      <c r="L335" s="4">
        <v>9</v>
      </c>
      <c r="M335" s="4">
        <v>2</v>
      </c>
      <c r="Q335">
        <v>50</v>
      </c>
    </row>
    <row r="336" spans="6:17">
      <c r="F336" s="12">
        <v>26</v>
      </c>
      <c r="G336" s="59" t="s">
        <v>289</v>
      </c>
      <c r="H336" s="7">
        <f t="shared" si="10"/>
        <v>50</v>
      </c>
      <c r="I336" s="50">
        <v>40556.875</v>
      </c>
      <c r="J336" s="58" t="s">
        <v>685</v>
      </c>
      <c r="K336" s="4">
        <f t="shared" si="11"/>
        <v>3</v>
      </c>
      <c r="L336" s="4">
        <v>9</v>
      </c>
      <c r="M336" s="4">
        <v>3</v>
      </c>
      <c r="Q336">
        <v>50</v>
      </c>
    </row>
    <row r="337" spans="6:17">
      <c r="F337" s="12">
        <v>28</v>
      </c>
      <c r="G337" s="59" t="s">
        <v>289</v>
      </c>
      <c r="H337" s="7">
        <f t="shared" si="10"/>
        <v>50</v>
      </c>
      <c r="I337" s="50">
        <v>40558.887499999997</v>
      </c>
      <c r="J337" s="58" t="s">
        <v>1466</v>
      </c>
      <c r="K337" s="4">
        <f t="shared" si="11"/>
        <v>4</v>
      </c>
      <c r="L337" s="4">
        <v>5</v>
      </c>
      <c r="M337" s="4">
        <v>4</v>
      </c>
      <c r="Q337">
        <v>50</v>
      </c>
    </row>
    <row r="338" spans="6:17">
      <c r="F338" s="12">
        <v>44</v>
      </c>
      <c r="G338" s="59" t="s">
        <v>289</v>
      </c>
      <c r="H338" s="7">
        <f t="shared" si="10"/>
        <v>50</v>
      </c>
      <c r="I338" s="50">
        <v>40575.479166666664</v>
      </c>
      <c r="J338" s="58" t="s">
        <v>605</v>
      </c>
      <c r="K338" s="4">
        <f t="shared" si="11"/>
        <v>5</v>
      </c>
      <c r="L338" s="4">
        <v>2</v>
      </c>
      <c r="M338" s="4">
        <v>5</v>
      </c>
      <c r="Q338">
        <v>50</v>
      </c>
    </row>
    <row r="339" spans="6:17">
      <c r="F339" s="12">
        <v>148</v>
      </c>
      <c r="G339" s="59" t="s">
        <v>289</v>
      </c>
      <c r="H339" s="7">
        <f t="shared" si="10"/>
        <v>50</v>
      </c>
      <c r="I339" s="50">
        <v>40621.581250000003</v>
      </c>
      <c r="J339" s="58" t="s">
        <v>635</v>
      </c>
      <c r="K339" s="4">
        <f t="shared" si="11"/>
        <v>6</v>
      </c>
      <c r="L339" s="4">
        <v>36</v>
      </c>
      <c r="M339" s="4">
        <v>6</v>
      </c>
      <c r="Q339">
        <v>50</v>
      </c>
    </row>
    <row r="340" spans="6:17">
      <c r="F340" s="12">
        <v>150</v>
      </c>
      <c r="G340" s="59" t="s">
        <v>289</v>
      </c>
      <c r="H340" s="7">
        <f t="shared" si="10"/>
        <v>50</v>
      </c>
      <c r="I340" s="50">
        <v>40623.579861111109</v>
      </c>
      <c r="J340" s="58" t="s">
        <v>1136</v>
      </c>
      <c r="K340" s="4">
        <f t="shared" si="11"/>
        <v>7</v>
      </c>
      <c r="L340" s="4">
        <v>3</v>
      </c>
      <c r="M340" s="4">
        <v>7</v>
      </c>
      <c r="Q340">
        <v>50</v>
      </c>
    </row>
    <row r="341" spans="6:17">
      <c r="F341" s="12">
        <v>185</v>
      </c>
      <c r="G341" s="59" t="s">
        <v>289</v>
      </c>
      <c r="H341" s="7">
        <f t="shared" si="10"/>
        <v>50</v>
      </c>
      <c r="I341" s="50">
        <v>40635.272222222222</v>
      </c>
      <c r="J341" s="58" t="s">
        <v>1109</v>
      </c>
      <c r="K341" s="4">
        <f t="shared" si="11"/>
        <v>8</v>
      </c>
      <c r="L341" s="4">
        <v>2</v>
      </c>
      <c r="M341" s="4">
        <v>8</v>
      </c>
      <c r="Q341">
        <v>50</v>
      </c>
    </row>
    <row r="342" spans="6:17">
      <c r="F342" s="12">
        <v>186</v>
      </c>
      <c r="G342" s="51" t="s">
        <v>289</v>
      </c>
      <c r="H342" s="7">
        <f t="shared" si="10"/>
        <v>50</v>
      </c>
      <c r="I342" s="50">
        <v>40635.343055555553</v>
      </c>
      <c r="J342" s="58" t="s">
        <v>434</v>
      </c>
      <c r="K342" s="4">
        <f t="shared" si="11"/>
        <v>9</v>
      </c>
      <c r="L342" s="4">
        <v>2</v>
      </c>
      <c r="M342" s="4">
        <v>9</v>
      </c>
      <c r="Q342">
        <v>50</v>
      </c>
    </row>
    <row r="343" spans="6:17">
      <c r="F343" s="12">
        <v>187</v>
      </c>
      <c r="G343" s="51" t="s">
        <v>289</v>
      </c>
      <c r="H343" s="7">
        <f t="shared" si="10"/>
        <v>50</v>
      </c>
      <c r="I343" s="50">
        <v>40636.227083333331</v>
      </c>
      <c r="J343" s="58" t="s">
        <v>1001</v>
      </c>
      <c r="K343" s="4">
        <f t="shared" si="11"/>
        <v>10</v>
      </c>
      <c r="L343" s="4">
        <v>2</v>
      </c>
      <c r="M343" s="4">
        <v>10</v>
      </c>
      <c r="Q343">
        <v>50</v>
      </c>
    </row>
    <row r="344" spans="6:17">
      <c r="F344" s="12">
        <v>196</v>
      </c>
      <c r="G344" s="59" t="s">
        <v>289</v>
      </c>
      <c r="H344" s="7">
        <f t="shared" si="10"/>
        <v>50</v>
      </c>
      <c r="I344" s="50">
        <v>40648.915972222225</v>
      </c>
      <c r="J344" s="58" t="s">
        <v>1133</v>
      </c>
      <c r="K344" s="4">
        <f t="shared" si="11"/>
        <v>11</v>
      </c>
      <c r="L344" s="4">
        <v>3</v>
      </c>
      <c r="M344" s="4">
        <v>11</v>
      </c>
      <c r="Q344">
        <v>50</v>
      </c>
    </row>
    <row r="345" spans="6:17">
      <c r="F345" s="12">
        <v>215</v>
      </c>
      <c r="G345" s="59" t="s">
        <v>289</v>
      </c>
      <c r="H345" s="7">
        <f t="shared" si="10"/>
        <v>50</v>
      </c>
      <c r="I345" s="50">
        <v>40653.322916666664</v>
      </c>
      <c r="J345" s="58" t="s">
        <v>807</v>
      </c>
      <c r="K345" s="4">
        <f t="shared" si="11"/>
        <v>12</v>
      </c>
      <c r="L345" s="4">
        <v>5</v>
      </c>
      <c r="M345" s="4">
        <v>12</v>
      </c>
      <c r="Q345">
        <v>50</v>
      </c>
    </row>
    <row r="346" spans="6:17">
      <c r="F346" s="12">
        <v>222</v>
      </c>
      <c r="G346" s="51" t="s">
        <v>289</v>
      </c>
      <c r="H346" s="7">
        <f t="shared" si="10"/>
        <v>50</v>
      </c>
      <c r="I346" s="50">
        <v>40656.969444444447</v>
      </c>
      <c r="J346" s="58" t="s">
        <v>854</v>
      </c>
      <c r="K346" s="4">
        <f t="shared" si="11"/>
        <v>13</v>
      </c>
      <c r="L346" s="4">
        <v>3</v>
      </c>
      <c r="M346" s="4">
        <v>13</v>
      </c>
      <c r="Q346">
        <v>50</v>
      </c>
    </row>
    <row r="347" spans="6:17">
      <c r="F347" s="12">
        <v>250</v>
      </c>
      <c r="G347" s="59" t="s">
        <v>289</v>
      </c>
      <c r="H347" s="7">
        <f t="shared" si="10"/>
        <v>50</v>
      </c>
      <c r="I347" s="50">
        <v>40668.247916666667</v>
      </c>
      <c r="J347" s="58" t="s">
        <v>1382</v>
      </c>
      <c r="K347" s="4">
        <f t="shared" si="11"/>
        <v>14</v>
      </c>
      <c r="L347" s="4">
        <v>3</v>
      </c>
      <c r="M347" s="4">
        <v>14</v>
      </c>
      <c r="Q347">
        <v>50</v>
      </c>
    </row>
    <row r="348" spans="6:17">
      <c r="F348" s="12">
        <v>254</v>
      </c>
      <c r="G348" s="59" t="s">
        <v>289</v>
      </c>
      <c r="H348" s="7">
        <f t="shared" si="10"/>
        <v>50</v>
      </c>
      <c r="I348" s="50">
        <v>40668.80972222222</v>
      </c>
      <c r="J348" s="58" t="s">
        <v>780</v>
      </c>
      <c r="K348" s="4">
        <f t="shared" si="11"/>
        <v>15</v>
      </c>
      <c r="L348" s="4">
        <v>2</v>
      </c>
      <c r="M348" s="4">
        <v>15</v>
      </c>
      <c r="Q348">
        <v>50</v>
      </c>
    </row>
    <row r="349" spans="6:17">
      <c r="F349" s="12">
        <v>256</v>
      </c>
      <c r="G349" s="59" t="s">
        <v>289</v>
      </c>
      <c r="H349" s="7">
        <f t="shared" si="10"/>
        <v>50</v>
      </c>
      <c r="I349" s="50">
        <v>40670.363194444442</v>
      </c>
      <c r="J349" s="58" t="s">
        <v>1936</v>
      </c>
      <c r="K349" s="4">
        <f t="shared" si="11"/>
        <v>16</v>
      </c>
      <c r="L349" s="4">
        <v>2</v>
      </c>
      <c r="M349" s="4">
        <v>16</v>
      </c>
      <c r="Q349">
        <v>50</v>
      </c>
    </row>
    <row r="350" spans="6:17">
      <c r="F350" s="12">
        <v>303</v>
      </c>
      <c r="G350" s="59" t="s">
        <v>289</v>
      </c>
      <c r="H350" s="7">
        <f t="shared" si="10"/>
        <v>50</v>
      </c>
      <c r="I350" s="50">
        <v>40694.224999999999</v>
      </c>
      <c r="J350" s="58" t="s">
        <v>1232</v>
      </c>
      <c r="K350" s="4">
        <f t="shared" si="11"/>
        <v>17</v>
      </c>
      <c r="L350" s="4">
        <v>7</v>
      </c>
      <c r="M350" s="4">
        <v>17</v>
      </c>
      <c r="Q350">
        <v>50</v>
      </c>
    </row>
    <row r="351" spans="6:17">
      <c r="F351" s="12">
        <v>306</v>
      </c>
      <c r="G351" s="51" t="s">
        <v>289</v>
      </c>
      <c r="H351" s="7">
        <f t="shared" si="10"/>
        <v>50</v>
      </c>
      <c r="I351" s="50">
        <v>40693.818749999999</v>
      </c>
      <c r="J351" s="58" t="s">
        <v>1037</v>
      </c>
      <c r="K351" s="4">
        <f t="shared" si="11"/>
        <v>18</v>
      </c>
      <c r="L351" s="4">
        <v>2</v>
      </c>
      <c r="M351" s="4">
        <v>18</v>
      </c>
      <c r="Q351">
        <v>50</v>
      </c>
    </row>
    <row r="352" spans="6:17">
      <c r="F352" s="12">
        <v>319</v>
      </c>
      <c r="G352" s="59" t="s">
        <v>289</v>
      </c>
      <c r="H352" s="7">
        <f t="shared" si="10"/>
        <v>50</v>
      </c>
      <c r="I352" s="50">
        <v>40698.131944444445</v>
      </c>
      <c r="J352" s="58" t="s">
        <v>1087</v>
      </c>
      <c r="K352" s="4">
        <f t="shared" si="11"/>
        <v>19</v>
      </c>
      <c r="L352" s="4">
        <v>7</v>
      </c>
      <c r="M352" s="4">
        <v>19</v>
      </c>
      <c r="Q352">
        <v>50</v>
      </c>
    </row>
    <row r="353" spans="6:17">
      <c r="F353" s="12">
        <v>371</v>
      </c>
      <c r="G353" s="51" t="s">
        <v>289</v>
      </c>
      <c r="H353" s="7">
        <f t="shared" si="10"/>
        <v>50</v>
      </c>
      <c r="I353" s="50">
        <v>40715.06527777778</v>
      </c>
      <c r="J353" s="58" t="s">
        <v>382</v>
      </c>
      <c r="K353" s="4">
        <f t="shared" si="11"/>
        <v>20</v>
      </c>
      <c r="L353" s="4">
        <v>2</v>
      </c>
      <c r="M353" s="4">
        <v>20</v>
      </c>
      <c r="Q353">
        <v>50</v>
      </c>
    </row>
    <row r="354" spans="6:17">
      <c r="F354" s="12">
        <v>282</v>
      </c>
      <c r="G354" s="51" t="s">
        <v>1468</v>
      </c>
      <c r="H354" s="7">
        <f t="shared" si="10"/>
        <v>51</v>
      </c>
      <c r="I354" s="50">
        <v>40676.418749999997</v>
      </c>
      <c r="J354" s="58" t="s">
        <v>1469</v>
      </c>
      <c r="K354" s="4">
        <f t="shared" si="11"/>
        <v>1</v>
      </c>
      <c r="L354" s="4">
        <v>2</v>
      </c>
      <c r="M354" s="4">
        <v>1</v>
      </c>
      <c r="Q354">
        <v>51</v>
      </c>
    </row>
    <row r="355" spans="6:17">
      <c r="F355" s="12">
        <v>351</v>
      </c>
      <c r="G355" s="51" t="s">
        <v>1030</v>
      </c>
      <c r="H355" s="7">
        <f t="shared" si="10"/>
        <v>51</v>
      </c>
      <c r="I355" s="50">
        <v>40704.275000000001</v>
      </c>
      <c r="J355" s="58" t="s">
        <v>1031</v>
      </c>
      <c r="K355" s="4">
        <f t="shared" si="11"/>
        <v>2</v>
      </c>
      <c r="L355" s="4">
        <v>2</v>
      </c>
      <c r="M355" s="4">
        <v>2</v>
      </c>
      <c r="Q355">
        <v>51</v>
      </c>
    </row>
    <row r="356" spans="6:17">
      <c r="F356" s="12">
        <v>37</v>
      </c>
      <c r="G356" s="51" t="s">
        <v>694</v>
      </c>
      <c r="H356" s="7">
        <f t="shared" si="10"/>
        <v>52</v>
      </c>
      <c r="I356" s="50">
        <v>40573.97152777778</v>
      </c>
      <c r="J356" s="58" t="s">
        <v>695</v>
      </c>
      <c r="K356" s="4">
        <f t="shared" si="11"/>
        <v>1</v>
      </c>
      <c r="L356" s="4">
        <v>5</v>
      </c>
      <c r="M356" s="4">
        <v>1</v>
      </c>
      <c r="Q356">
        <v>52</v>
      </c>
    </row>
    <row r="357" spans="6:17">
      <c r="F357" s="12">
        <v>169</v>
      </c>
      <c r="G357" s="59" t="s">
        <v>1581</v>
      </c>
      <c r="H357" s="7">
        <f t="shared" si="10"/>
        <v>53</v>
      </c>
      <c r="I357" s="50">
        <v>40632.723611111112</v>
      </c>
      <c r="J357" s="58" t="s">
        <v>1455</v>
      </c>
      <c r="K357" s="4">
        <f t="shared" si="11"/>
        <v>1</v>
      </c>
      <c r="L357" s="4">
        <v>4</v>
      </c>
      <c r="M357" s="4">
        <v>1</v>
      </c>
      <c r="Q357">
        <v>53</v>
      </c>
    </row>
    <row r="358" spans="6:17">
      <c r="F358" s="12">
        <v>163</v>
      </c>
      <c r="G358" s="51" t="s">
        <v>299</v>
      </c>
      <c r="H358" s="7">
        <f t="shared" si="10"/>
        <v>54</v>
      </c>
      <c r="I358" s="50">
        <v>40625.667361111111</v>
      </c>
      <c r="J358" s="58" t="s">
        <v>1239</v>
      </c>
      <c r="K358" s="4">
        <f t="shared" si="11"/>
        <v>1</v>
      </c>
      <c r="L358" s="4">
        <v>5</v>
      </c>
      <c r="M358" s="4">
        <v>1</v>
      </c>
      <c r="Q358">
        <v>54</v>
      </c>
    </row>
    <row r="359" spans="6:17">
      <c r="F359" s="12">
        <v>168</v>
      </c>
      <c r="G359" s="51" t="s">
        <v>299</v>
      </c>
      <c r="H359" s="7">
        <f t="shared" si="10"/>
        <v>54</v>
      </c>
      <c r="I359" s="50">
        <v>40632.505555555559</v>
      </c>
      <c r="J359" s="58" t="s">
        <v>1454</v>
      </c>
      <c r="K359" s="4">
        <f t="shared" si="11"/>
        <v>2</v>
      </c>
      <c r="L359" s="4">
        <v>6</v>
      </c>
      <c r="M359" s="4">
        <v>2</v>
      </c>
      <c r="Q359">
        <v>54</v>
      </c>
    </row>
    <row r="360" spans="6:17">
      <c r="F360" s="12">
        <v>170</v>
      </c>
      <c r="G360" s="59" t="s">
        <v>299</v>
      </c>
      <c r="H360" s="7">
        <f t="shared" si="10"/>
        <v>54</v>
      </c>
      <c r="I360" s="50">
        <v>40632.723611111112</v>
      </c>
      <c r="J360" s="58" t="s">
        <v>1057</v>
      </c>
      <c r="K360" s="4">
        <f t="shared" si="11"/>
        <v>3</v>
      </c>
      <c r="L360" s="4">
        <v>4</v>
      </c>
      <c r="M360" s="4">
        <v>3</v>
      </c>
      <c r="Q360">
        <v>54</v>
      </c>
    </row>
    <row r="361" spans="6:17">
      <c r="F361" s="12">
        <v>172</v>
      </c>
      <c r="G361" s="59" t="s">
        <v>299</v>
      </c>
      <c r="H361" s="7">
        <f t="shared" si="10"/>
        <v>54</v>
      </c>
      <c r="I361" s="50">
        <v>40633.414583333331</v>
      </c>
      <c r="J361" s="58" t="s">
        <v>677</v>
      </c>
      <c r="K361" s="4">
        <f t="shared" si="11"/>
        <v>4</v>
      </c>
      <c r="L361" s="4">
        <v>7</v>
      </c>
      <c r="M361" s="4">
        <v>4</v>
      </c>
      <c r="Q361">
        <v>54</v>
      </c>
    </row>
    <row r="362" spans="6:17">
      <c r="F362" s="12">
        <v>173</v>
      </c>
      <c r="G362" s="59" t="s">
        <v>299</v>
      </c>
      <c r="H362" s="7">
        <f t="shared" si="10"/>
        <v>54</v>
      </c>
      <c r="I362" s="50">
        <v>40633.690972222219</v>
      </c>
      <c r="J362" s="58" t="s">
        <v>1460</v>
      </c>
      <c r="K362" s="4">
        <f t="shared" si="11"/>
        <v>5</v>
      </c>
      <c r="L362" s="4">
        <v>2</v>
      </c>
      <c r="M362" s="4">
        <v>5</v>
      </c>
      <c r="Q362">
        <v>54</v>
      </c>
    </row>
    <row r="363" spans="6:17">
      <c r="F363" s="12">
        <v>176</v>
      </c>
      <c r="G363" s="51" t="s">
        <v>299</v>
      </c>
      <c r="H363" s="7">
        <f t="shared" si="10"/>
        <v>54</v>
      </c>
      <c r="I363" s="50">
        <v>40633.416666666664</v>
      </c>
      <c r="J363" s="58" t="s">
        <v>585</v>
      </c>
      <c r="K363" s="4">
        <f t="shared" si="11"/>
        <v>6</v>
      </c>
      <c r="L363" s="4">
        <v>2</v>
      </c>
      <c r="M363" s="4">
        <v>6</v>
      </c>
      <c r="Q363">
        <v>54</v>
      </c>
    </row>
    <row r="364" spans="6:17">
      <c r="F364" s="12">
        <v>252</v>
      </c>
      <c r="G364" s="59" t="s">
        <v>299</v>
      </c>
      <c r="H364" s="7">
        <f t="shared" si="10"/>
        <v>54</v>
      </c>
      <c r="I364" s="50">
        <v>40668.411111111112</v>
      </c>
      <c r="J364" s="58" t="s">
        <v>1367</v>
      </c>
      <c r="K364" s="4">
        <f t="shared" si="11"/>
        <v>7</v>
      </c>
      <c r="L364" s="4">
        <v>3</v>
      </c>
      <c r="M364" s="4">
        <v>7</v>
      </c>
      <c r="Q364">
        <v>54</v>
      </c>
    </row>
    <row r="365" spans="6:17">
      <c r="F365" s="12">
        <v>336</v>
      </c>
      <c r="G365" s="51" t="s">
        <v>299</v>
      </c>
      <c r="H365" s="7">
        <f t="shared" si="10"/>
        <v>54</v>
      </c>
      <c r="I365" s="50">
        <v>40701.719444444447</v>
      </c>
      <c r="J365" s="58" t="s">
        <v>549</v>
      </c>
      <c r="K365" s="4">
        <f t="shared" si="11"/>
        <v>8</v>
      </c>
      <c r="L365" s="4">
        <v>2</v>
      </c>
      <c r="M365" s="4">
        <v>8</v>
      </c>
      <c r="Q365">
        <v>54</v>
      </c>
    </row>
    <row r="366" spans="6:17">
      <c r="F366" s="12">
        <v>338</v>
      </c>
      <c r="G366" s="59" t="s">
        <v>299</v>
      </c>
      <c r="H366" s="7">
        <f t="shared" si="10"/>
        <v>54</v>
      </c>
      <c r="I366" s="50">
        <v>40701.719444444447</v>
      </c>
      <c r="J366" s="58" t="s">
        <v>1271</v>
      </c>
      <c r="K366" s="4">
        <f t="shared" si="11"/>
        <v>9</v>
      </c>
      <c r="L366" s="4">
        <v>2</v>
      </c>
      <c r="M366" s="4">
        <v>9</v>
      </c>
      <c r="Q366">
        <v>54</v>
      </c>
    </row>
    <row r="367" spans="6:17">
      <c r="F367" s="12">
        <v>14</v>
      </c>
      <c r="G367" s="59" t="s">
        <v>438</v>
      </c>
      <c r="H367" s="7">
        <f t="shared" si="10"/>
        <v>55</v>
      </c>
      <c r="I367" s="50">
        <v>40554.457638888889</v>
      </c>
      <c r="J367" s="58" t="s">
        <v>1287</v>
      </c>
      <c r="K367" s="4">
        <f t="shared" si="11"/>
        <v>1</v>
      </c>
      <c r="L367" s="4">
        <v>3</v>
      </c>
      <c r="M367" s="4">
        <v>1</v>
      </c>
      <c r="Q367">
        <v>55</v>
      </c>
    </row>
    <row r="368" spans="6:17">
      <c r="F368" s="12">
        <v>15</v>
      </c>
      <c r="G368" s="51" t="s">
        <v>438</v>
      </c>
      <c r="H368" s="7">
        <f t="shared" si="10"/>
        <v>55</v>
      </c>
      <c r="I368" s="50">
        <v>40554.459027777775</v>
      </c>
      <c r="J368" s="58" t="s">
        <v>1335</v>
      </c>
      <c r="K368" s="4">
        <f t="shared" si="11"/>
        <v>2</v>
      </c>
      <c r="L368" s="4">
        <v>3</v>
      </c>
      <c r="M368" s="4">
        <v>2</v>
      </c>
      <c r="Q368">
        <v>55</v>
      </c>
    </row>
    <row r="369" spans="6:17">
      <c r="F369" s="12">
        <v>160</v>
      </c>
      <c r="G369" s="59" t="s">
        <v>438</v>
      </c>
      <c r="H369" s="7">
        <f t="shared" si="10"/>
        <v>55</v>
      </c>
      <c r="I369" s="50">
        <v>40630.605555555558</v>
      </c>
      <c r="J369" s="58" t="s">
        <v>671</v>
      </c>
      <c r="K369" s="4">
        <f t="shared" si="11"/>
        <v>3</v>
      </c>
      <c r="L369" s="4">
        <v>3</v>
      </c>
      <c r="M369" s="4">
        <v>3</v>
      </c>
      <c r="Q369">
        <v>55</v>
      </c>
    </row>
    <row r="370" spans="6:17">
      <c r="F370" s="12">
        <v>255</v>
      </c>
      <c r="G370" s="51" t="s">
        <v>438</v>
      </c>
      <c r="H370" s="7">
        <f t="shared" si="10"/>
        <v>55</v>
      </c>
      <c r="I370" s="50">
        <v>40669.832638888889</v>
      </c>
      <c r="J370" s="58" t="s">
        <v>902</v>
      </c>
      <c r="K370" s="4">
        <f t="shared" si="11"/>
        <v>4</v>
      </c>
      <c r="L370" s="4">
        <v>2</v>
      </c>
      <c r="M370" s="4">
        <v>4</v>
      </c>
      <c r="Q370">
        <v>55</v>
      </c>
    </row>
    <row r="371" spans="6:17">
      <c r="F371" s="12">
        <v>258</v>
      </c>
      <c r="G371" s="59" t="s">
        <v>438</v>
      </c>
      <c r="H371" s="7">
        <f t="shared" si="10"/>
        <v>55</v>
      </c>
      <c r="I371" s="50">
        <v>40672.697916666664</v>
      </c>
      <c r="J371" s="58" t="s">
        <v>1418</v>
      </c>
      <c r="K371" s="4">
        <f t="shared" si="11"/>
        <v>5</v>
      </c>
      <c r="L371" s="4">
        <v>3</v>
      </c>
      <c r="M371" s="4">
        <v>5</v>
      </c>
      <c r="Q371">
        <v>55</v>
      </c>
    </row>
    <row r="372" spans="6:17">
      <c r="F372" s="12">
        <v>262</v>
      </c>
      <c r="G372" s="51" t="s">
        <v>438</v>
      </c>
      <c r="H372" s="7">
        <f t="shared" si="10"/>
        <v>55</v>
      </c>
      <c r="I372" s="50">
        <v>40673.48541666667</v>
      </c>
      <c r="J372" s="58" t="s">
        <v>437</v>
      </c>
      <c r="K372" s="4">
        <f t="shared" si="11"/>
        <v>6</v>
      </c>
      <c r="L372" s="4">
        <v>2</v>
      </c>
      <c r="M372" s="4">
        <v>6</v>
      </c>
      <c r="Q372">
        <v>55</v>
      </c>
    </row>
    <row r="373" spans="6:17">
      <c r="F373" s="12">
        <v>276</v>
      </c>
      <c r="G373" s="51" t="s">
        <v>438</v>
      </c>
      <c r="H373" s="7">
        <f t="shared" si="10"/>
        <v>55</v>
      </c>
      <c r="I373" s="50">
        <v>40681.545138888891</v>
      </c>
      <c r="J373" s="58" t="s">
        <v>1277</v>
      </c>
      <c r="K373" s="4">
        <f t="shared" si="11"/>
        <v>7</v>
      </c>
      <c r="L373" s="4">
        <v>2</v>
      </c>
      <c r="M373" s="4">
        <v>7</v>
      </c>
      <c r="Q373">
        <v>55</v>
      </c>
    </row>
    <row r="374" spans="6:17">
      <c r="F374" s="12">
        <v>279</v>
      </c>
      <c r="G374" s="59" t="s">
        <v>438</v>
      </c>
      <c r="H374" s="7">
        <f t="shared" si="10"/>
        <v>55</v>
      </c>
      <c r="I374" s="50">
        <v>40682.429861111108</v>
      </c>
      <c r="J374" s="58" t="s">
        <v>1084</v>
      </c>
      <c r="K374" s="4">
        <f t="shared" si="11"/>
        <v>8</v>
      </c>
      <c r="L374" s="4">
        <v>2</v>
      </c>
      <c r="M374" s="4">
        <v>8</v>
      </c>
      <c r="Q374">
        <v>55</v>
      </c>
    </row>
    <row r="375" spans="6:17">
      <c r="F375" s="12">
        <v>242</v>
      </c>
      <c r="G375" s="51" t="s">
        <v>297</v>
      </c>
      <c r="H375" s="7">
        <f t="shared" si="10"/>
        <v>56</v>
      </c>
      <c r="I375" s="50">
        <v>40665.703472222223</v>
      </c>
      <c r="J375" s="58" t="s">
        <v>561</v>
      </c>
      <c r="K375" s="4">
        <f t="shared" si="11"/>
        <v>1</v>
      </c>
      <c r="L375" s="4">
        <v>10</v>
      </c>
      <c r="M375" s="4">
        <v>1</v>
      </c>
      <c r="Q375">
        <v>56</v>
      </c>
    </row>
    <row r="376" spans="6:17">
      <c r="F376" s="12">
        <v>244</v>
      </c>
      <c r="G376" s="59" t="s">
        <v>297</v>
      </c>
      <c r="H376" s="7">
        <f t="shared" si="10"/>
        <v>56</v>
      </c>
      <c r="I376" s="50">
        <v>40666.701388888891</v>
      </c>
      <c r="J376" s="58" t="s">
        <v>953</v>
      </c>
      <c r="K376" s="4">
        <f t="shared" si="11"/>
        <v>2</v>
      </c>
      <c r="L376" s="4">
        <v>5</v>
      </c>
      <c r="M376" s="4">
        <v>2</v>
      </c>
      <c r="Q376">
        <v>56</v>
      </c>
    </row>
    <row r="377" spans="6:17">
      <c r="F377" s="12">
        <v>246</v>
      </c>
      <c r="G377" s="59" t="s">
        <v>297</v>
      </c>
      <c r="H377" s="7">
        <f t="shared" si="10"/>
        <v>56</v>
      </c>
      <c r="I377" s="50">
        <v>40666.705555555556</v>
      </c>
      <c r="J377" s="58" t="s">
        <v>1358</v>
      </c>
      <c r="K377" s="4">
        <f t="shared" si="11"/>
        <v>3</v>
      </c>
      <c r="L377" s="4">
        <v>2</v>
      </c>
      <c r="M377" s="4">
        <v>3</v>
      </c>
      <c r="Q377">
        <v>56</v>
      </c>
    </row>
    <row r="378" spans="6:17">
      <c r="F378" s="12">
        <v>248</v>
      </c>
      <c r="G378" s="59" t="s">
        <v>297</v>
      </c>
      <c r="H378" s="7">
        <f t="shared" si="10"/>
        <v>56</v>
      </c>
      <c r="I378" s="50">
        <v>40666.717361111114</v>
      </c>
      <c r="J378" s="58" t="s">
        <v>1452</v>
      </c>
      <c r="K378" s="4">
        <f t="shared" si="11"/>
        <v>4</v>
      </c>
      <c r="L378" s="4">
        <v>2</v>
      </c>
      <c r="M378" s="4">
        <v>4</v>
      </c>
      <c r="Q378">
        <v>56</v>
      </c>
    </row>
    <row r="379" spans="6:17">
      <c r="F379" s="12">
        <v>253</v>
      </c>
      <c r="G379" s="51" t="s">
        <v>297</v>
      </c>
      <c r="H379" s="7">
        <f t="shared" si="10"/>
        <v>56</v>
      </c>
      <c r="I379" s="50">
        <v>40668.704861111109</v>
      </c>
      <c r="J379" s="58" t="s">
        <v>779</v>
      </c>
      <c r="K379" s="4">
        <f t="shared" si="11"/>
        <v>5</v>
      </c>
      <c r="L379" s="4">
        <v>4</v>
      </c>
      <c r="M379" s="4">
        <v>5</v>
      </c>
      <c r="Q379">
        <v>56</v>
      </c>
    </row>
    <row r="380" spans="6:17">
      <c r="F380" s="12">
        <v>204</v>
      </c>
      <c r="G380" s="51" t="s">
        <v>315</v>
      </c>
      <c r="H380" s="7">
        <f t="shared" si="10"/>
        <v>57</v>
      </c>
      <c r="I380" s="50">
        <v>40651.559027777781</v>
      </c>
      <c r="J380" s="58" t="s">
        <v>1024</v>
      </c>
      <c r="K380" s="4">
        <f t="shared" si="11"/>
        <v>1</v>
      </c>
      <c r="L380" s="4">
        <v>2</v>
      </c>
      <c r="M380" s="4">
        <v>1</v>
      </c>
      <c r="Q380">
        <v>57</v>
      </c>
    </row>
    <row r="381" spans="6:17">
      <c r="F381" s="12">
        <v>221</v>
      </c>
      <c r="G381" s="59" t="s">
        <v>291</v>
      </c>
      <c r="H381" s="7">
        <f t="shared" si="10"/>
        <v>58</v>
      </c>
      <c r="I381" s="50">
        <v>40655.811805555553</v>
      </c>
      <c r="J381" s="58" t="s">
        <v>1106</v>
      </c>
      <c r="K381" s="4">
        <f t="shared" si="11"/>
        <v>1</v>
      </c>
      <c r="L381" s="4">
        <v>2</v>
      </c>
      <c r="M381" s="4">
        <v>1</v>
      </c>
      <c r="Q381">
        <v>58</v>
      </c>
    </row>
    <row r="382" spans="6:17">
      <c r="F382" s="12">
        <v>300</v>
      </c>
      <c r="G382" s="51" t="s">
        <v>291</v>
      </c>
      <c r="H382" s="7">
        <f t="shared" si="10"/>
        <v>58</v>
      </c>
      <c r="I382" s="50">
        <v>40693.478472222225</v>
      </c>
      <c r="J382" s="58" t="s">
        <v>894</v>
      </c>
      <c r="K382" s="4">
        <f t="shared" si="11"/>
        <v>2</v>
      </c>
      <c r="L382" s="4">
        <v>2</v>
      </c>
      <c r="M382" s="4">
        <v>2</v>
      </c>
      <c r="Q382">
        <v>58</v>
      </c>
    </row>
    <row r="383" spans="6:17">
      <c r="F383" s="12">
        <v>353</v>
      </c>
      <c r="G383" s="51" t="s">
        <v>291</v>
      </c>
      <c r="H383" s="7">
        <f t="shared" si="10"/>
        <v>58</v>
      </c>
      <c r="I383" s="50">
        <v>40704.956250000003</v>
      </c>
      <c r="J383" s="58" t="s">
        <v>1304</v>
      </c>
      <c r="K383" s="4">
        <f t="shared" si="11"/>
        <v>3</v>
      </c>
      <c r="L383" s="4">
        <v>2</v>
      </c>
      <c r="M383" s="4">
        <v>3</v>
      </c>
      <c r="Q383">
        <v>58</v>
      </c>
    </row>
    <row r="384" spans="6:17">
      <c r="F384" s="12">
        <v>356</v>
      </c>
      <c r="G384" s="59" t="s">
        <v>812</v>
      </c>
      <c r="H384" s="7">
        <f t="shared" si="10"/>
        <v>59</v>
      </c>
      <c r="I384" s="50">
        <v>40711.008333333331</v>
      </c>
      <c r="J384" s="58" t="s">
        <v>1080</v>
      </c>
      <c r="K384" s="4">
        <f t="shared" si="11"/>
        <v>1</v>
      </c>
      <c r="L384" s="4">
        <v>2</v>
      </c>
      <c r="M384" s="4">
        <v>1</v>
      </c>
      <c r="Q384">
        <v>59</v>
      </c>
    </row>
    <row r="385" spans="6:17">
      <c r="F385" s="12">
        <v>379</v>
      </c>
      <c r="G385" s="51" t="s">
        <v>812</v>
      </c>
      <c r="H385" s="7">
        <f t="shared" si="10"/>
        <v>59</v>
      </c>
      <c r="I385" s="50">
        <v>40713.057638888888</v>
      </c>
      <c r="J385" s="58" t="s">
        <v>813</v>
      </c>
      <c r="K385" s="4">
        <f t="shared" si="11"/>
        <v>2</v>
      </c>
      <c r="L385" s="4">
        <v>2</v>
      </c>
      <c r="M385" s="4">
        <v>2</v>
      </c>
      <c r="Q385">
        <v>59</v>
      </c>
    </row>
    <row r="386" spans="6:17">
      <c r="G386" s="3"/>
      <c r="J386" s="11" t="s">
        <v>1940</v>
      </c>
      <c r="L386" s="16">
        <f>AVERAGE(L2:L385)</f>
        <v>4.018229166666667</v>
      </c>
    </row>
    <row r="387" spans="6:17">
      <c r="G387"/>
    </row>
    <row r="388" spans="6:17">
      <c r="G388" s="3"/>
    </row>
    <row r="389" spans="6:17">
      <c r="G389" s="3"/>
    </row>
    <row r="390" spans="6:17">
      <c r="G390"/>
    </row>
    <row r="391" spans="6:17">
      <c r="G391" s="3"/>
    </row>
    <row r="392" spans="6:17">
      <c r="G392"/>
      <c r="H392"/>
      <c r="I392"/>
      <c r="J392"/>
    </row>
    <row r="393" spans="6:17">
      <c r="G393"/>
      <c r="H393"/>
      <c r="I393"/>
      <c r="J393"/>
    </row>
    <row r="394" spans="6:17">
      <c r="G394"/>
      <c r="H394"/>
      <c r="I394"/>
      <c r="J394"/>
    </row>
    <row r="395" spans="6:17">
      <c r="G395"/>
      <c r="H395"/>
      <c r="I395"/>
      <c r="J395"/>
    </row>
    <row r="396" spans="6:17">
      <c r="G396"/>
      <c r="H396"/>
      <c r="I396"/>
      <c r="J396"/>
    </row>
  </sheetData>
  <sortState ref="F2:M385">
    <sortCondition ref="H2:H385"/>
    <sortCondition ref="M2:M385"/>
  </sortState>
  <dataConsolidate/>
  <conditionalFormatting sqref="D2:D101">
    <cfRule type="duplicateValues" dxfId="190" priority="7"/>
  </conditionalFormatting>
  <conditionalFormatting sqref="D102:D201">
    <cfRule type="duplicateValues" dxfId="189" priority="6"/>
  </conditionalFormatting>
  <conditionalFormatting sqref="J386:J391">
    <cfRule type="cellIs" dxfId="188" priority="5" operator="lessThan">
      <formula>0</formula>
    </cfRule>
  </conditionalFormatting>
  <conditionalFormatting sqref="J386:J391">
    <cfRule type="duplicateValues" dxfId="187" priority="8"/>
  </conditionalFormatting>
  <conditionalFormatting sqref="S61:S154">
    <cfRule type="cellIs" dxfId="186" priority="3" operator="lessThan">
      <formula>0</formula>
    </cfRule>
  </conditionalFormatting>
  <conditionalFormatting sqref="S12">
    <cfRule type="duplicateValues" dxfId="185" priority="2"/>
  </conditionalFormatting>
  <conditionalFormatting sqref="S2:S11 S13:S154">
    <cfRule type="duplicateValues" dxfId="184" priority="252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C1:W396"/>
  <sheetViews>
    <sheetView topLeftCell="E1" zoomScale="80" zoomScaleNormal="80" zoomScalePageLayoutView="80" workbookViewId="0">
      <selection activeCell="M2" sqref="M2:M259"/>
    </sheetView>
  </sheetViews>
  <sheetFormatPr baseColWidth="10" defaultColWidth="11" defaultRowHeight="15" x14ac:dyDescent="0"/>
  <cols>
    <col min="3" max="3" width="16.1640625" bestFit="1" customWidth="1"/>
    <col min="5" max="5" width="7.5" customWidth="1"/>
    <col min="6" max="6" width="11" style="12"/>
    <col min="7" max="7" width="18.1640625" style="4" bestFit="1" customWidth="1"/>
    <col min="8" max="8" width="8.6640625" style="4" customWidth="1"/>
    <col min="9" max="9" width="18.5" style="9" bestFit="1" customWidth="1"/>
    <col min="10" max="10" width="11" style="8"/>
    <col min="11" max="11" width="8.5" style="4" bestFit="1" customWidth="1"/>
    <col min="12" max="12" width="4.5" style="4" customWidth="1"/>
    <col min="13" max="13" width="13.33203125" style="4" customWidth="1"/>
    <col min="14" max="14" width="18.1640625" bestFit="1" customWidth="1"/>
    <col min="19" max="19" width="14" style="2" customWidth="1"/>
    <col min="20" max="20" width="5.6640625" customWidth="1"/>
    <col min="21" max="21" width="10.6640625" customWidth="1"/>
    <col min="22" max="22" width="5.6640625" customWidth="1"/>
    <col min="23" max="23" width="16.1640625" bestFit="1" customWidth="1"/>
  </cols>
  <sheetData>
    <row r="1" spans="3:20" s="18" customFormat="1" ht="20">
      <c r="G1" s="19" t="s">
        <v>329</v>
      </c>
      <c r="H1" s="19" t="s">
        <v>334</v>
      </c>
      <c r="I1" s="20" t="s">
        <v>333</v>
      </c>
      <c r="J1" s="21" t="s">
        <v>332</v>
      </c>
      <c r="K1" s="19" t="s">
        <v>331</v>
      </c>
      <c r="L1" s="19" t="s">
        <v>1867</v>
      </c>
      <c r="M1" s="19" t="s">
        <v>1863</v>
      </c>
      <c r="N1" s="18" t="s">
        <v>329</v>
      </c>
      <c r="O1" s="18" t="s">
        <v>330</v>
      </c>
      <c r="S1" s="22"/>
    </row>
    <row r="2" spans="3:20">
      <c r="C2" s="3"/>
      <c r="F2" s="12">
        <v>61</v>
      </c>
      <c r="G2" s="62" t="s">
        <v>319</v>
      </c>
      <c r="H2" s="7">
        <f t="shared" ref="H2:H65" si="0">LOOKUP(G2,$N$2:$N$49,$O$2:$O$49)</f>
        <v>1</v>
      </c>
      <c r="I2" s="50">
        <v>40960.810416666667</v>
      </c>
      <c r="J2" s="58" t="s">
        <v>1007</v>
      </c>
      <c r="K2" s="4">
        <f t="shared" ref="K2:K65" si="1">IF(Q2&gt;Q1,1,K1+1)</f>
        <v>1</v>
      </c>
      <c r="L2" s="4">
        <v>2</v>
      </c>
      <c r="M2" s="4">
        <v>1</v>
      </c>
      <c r="N2" s="62" t="s">
        <v>319</v>
      </c>
      <c r="O2">
        <v>1</v>
      </c>
      <c r="Q2">
        <v>1</v>
      </c>
      <c r="S2" s="8"/>
      <c r="T2" s="10"/>
    </row>
    <row r="3" spans="3:20">
      <c r="C3" s="3"/>
      <c r="F3" s="12">
        <v>145</v>
      </c>
      <c r="G3" s="62" t="s">
        <v>319</v>
      </c>
      <c r="H3" s="7">
        <f t="shared" si="0"/>
        <v>1</v>
      </c>
      <c r="I3" s="50">
        <v>41015.504166666666</v>
      </c>
      <c r="J3" s="58" t="s">
        <v>221</v>
      </c>
      <c r="K3" s="4">
        <f t="shared" si="1"/>
        <v>2</v>
      </c>
      <c r="L3" s="4">
        <v>2</v>
      </c>
      <c r="M3" s="4">
        <v>2</v>
      </c>
      <c r="N3" s="63" t="s">
        <v>317</v>
      </c>
      <c r="O3">
        <v>2</v>
      </c>
      <c r="Q3">
        <v>1</v>
      </c>
      <c r="S3" s="8"/>
      <c r="T3" s="10"/>
    </row>
    <row r="4" spans="3:20">
      <c r="C4" s="3"/>
      <c r="F4" s="12">
        <v>130</v>
      </c>
      <c r="G4" s="63" t="s">
        <v>317</v>
      </c>
      <c r="H4" s="7">
        <f t="shared" si="0"/>
        <v>2</v>
      </c>
      <c r="I4" s="50">
        <v>41011.948611111111</v>
      </c>
      <c r="J4" s="58" t="s">
        <v>199</v>
      </c>
      <c r="K4" s="4">
        <f t="shared" si="1"/>
        <v>1</v>
      </c>
      <c r="L4" s="4">
        <v>2</v>
      </c>
      <c r="M4" s="4">
        <v>1</v>
      </c>
      <c r="N4" s="62" t="s">
        <v>324</v>
      </c>
      <c r="O4">
        <v>3</v>
      </c>
      <c r="Q4">
        <v>2</v>
      </c>
      <c r="S4" s="8"/>
      <c r="T4" s="10"/>
    </row>
    <row r="5" spans="3:20">
      <c r="C5" s="3"/>
      <c r="F5" s="12">
        <v>106</v>
      </c>
      <c r="G5" s="62" t="s">
        <v>324</v>
      </c>
      <c r="H5" s="7">
        <f t="shared" si="0"/>
        <v>3</v>
      </c>
      <c r="I5" s="50">
        <v>40994.512499999997</v>
      </c>
      <c r="J5" s="58" t="s">
        <v>273</v>
      </c>
      <c r="K5" s="4">
        <f t="shared" si="1"/>
        <v>1</v>
      </c>
      <c r="L5" s="4">
        <v>2</v>
      </c>
      <c r="M5" s="4">
        <v>1</v>
      </c>
      <c r="N5" s="62" t="s">
        <v>303</v>
      </c>
      <c r="O5">
        <v>4</v>
      </c>
      <c r="Q5">
        <v>3</v>
      </c>
      <c r="S5" s="8"/>
      <c r="T5" s="10"/>
    </row>
    <row r="6" spans="3:20">
      <c r="C6" s="3"/>
      <c r="F6" s="12">
        <v>76</v>
      </c>
      <c r="G6" s="62" t="s">
        <v>303</v>
      </c>
      <c r="H6" s="7">
        <f t="shared" si="0"/>
        <v>4</v>
      </c>
      <c r="I6" s="50">
        <v>40969.949999999997</v>
      </c>
      <c r="J6" s="58" t="s">
        <v>61</v>
      </c>
      <c r="K6" s="4">
        <f t="shared" si="1"/>
        <v>1</v>
      </c>
      <c r="L6" s="4">
        <v>2</v>
      </c>
      <c r="M6" s="4">
        <v>1</v>
      </c>
      <c r="N6" s="63" t="s">
        <v>295</v>
      </c>
      <c r="O6">
        <v>5</v>
      </c>
      <c r="Q6">
        <v>4</v>
      </c>
      <c r="S6" s="8"/>
      <c r="T6" s="10"/>
    </row>
    <row r="7" spans="3:20">
      <c r="C7" s="3"/>
      <c r="F7" s="12">
        <v>78</v>
      </c>
      <c r="G7" s="63" t="s">
        <v>303</v>
      </c>
      <c r="H7" s="7">
        <f t="shared" si="0"/>
        <v>4</v>
      </c>
      <c r="I7" s="50">
        <v>40970.705555555556</v>
      </c>
      <c r="J7" s="58" t="s">
        <v>216</v>
      </c>
      <c r="K7" s="4">
        <f t="shared" si="1"/>
        <v>2</v>
      </c>
      <c r="L7" s="4">
        <v>2</v>
      </c>
      <c r="M7" s="4">
        <v>2</v>
      </c>
      <c r="N7" s="62" t="s">
        <v>320</v>
      </c>
      <c r="O7">
        <v>6</v>
      </c>
      <c r="Q7">
        <v>4</v>
      </c>
      <c r="S7" s="8"/>
      <c r="T7" s="10"/>
    </row>
    <row r="8" spans="3:20">
      <c r="C8" s="3"/>
      <c r="F8" s="12">
        <v>80</v>
      </c>
      <c r="G8" s="63" t="s">
        <v>303</v>
      </c>
      <c r="H8" s="7">
        <f t="shared" si="0"/>
        <v>4</v>
      </c>
      <c r="I8" s="50">
        <v>40970.722916666666</v>
      </c>
      <c r="J8" s="58" t="s">
        <v>166</v>
      </c>
      <c r="K8" s="4">
        <f t="shared" si="1"/>
        <v>3</v>
      </c>
      <c r="L8" s="4">
        <v>2</v>
      </c>
      <c r="M8" s="4">
        <v>3</v>
      </c>
      <c r="N8" s="62" t="s">
        <v>311</v>
      </c>
      <c r="O8">
        <v>7</v>
      </c>
      <c r="Q8">
        <v>4</v>
      </c>
      <c r="S8" s="8"/>
      <c r="T8" s="10"/>
    </row>
    <row r="9" spans="3:20">
      <c r="C9" s="3"/>
      <c r="F9" s="12">
        <v>113</v>
      </c>
      <c r="G9" s="62" t="s">
        <v>303</v>
      </c>
      <c r="H9" s="7">
        <f t="shared" si="0"/>
        <v>4</v>
      </c>
      <c r="I9" s="50">
        <v>40995.716666666667</v>
      </c>
      <c r="J9" s="58" t="s">
        <v>1943</v>
      </c>
      <c r="K9" s="4">
        <f t="shared" si="1"/>
        <v>4</v>
      </c>
      <c r="L9" s="4">
        <v>3</v>
      </c>
      <c r="M9" s="4">
        <v>4</v>
      </c>
      <c r="N9" s="62" t="s">
        <v>292</v>
      </c>
      <c r="O9">
        <v>8</v>
      </c>
      <c r="Q9">
        <v>4</v>
      </c>
      <c r="S9" s="8"/>
      <c r="T9" s="10"/>
    </row>
    <row r="10" spans="3:20">
      <c r="C10" s="3"/>
      <c r="D10" s="1"/>
      <c r="F10" s="12">
        <v>96</v>
      </c>
      <c r="G10" s="63" t="s">
        <v>295</v>
      </c>
      <c r="H10" s="7">
        <f t="shared" si="0"/>
        <v>5</v>
      </c>
      <c r="I10" s="50">
        <v>40982.525000000001</v>
      </c>
      <c r="J10" s="58" t="s">
        <v>193</v>
      </c>
      <c r="K10" s="4">
        <f t="shared" si="1"/>
        <v>1</v>
      </c>
      <c r="L10" s="4">
        <v>2</v>
      </c>
      <c r="M10" s="4">
        <v>1</v>
      </c>
      <c r="N10" s="62" t="s">
        <v>310</v>
      </c>
      <c r="O10">
        <v>9</v>
      </c>
      <c r="Q10">
        <v>5</v>
      </c>
      <c r="S10" s="8"/>
      <c r="T10" s="10"/>
    </row>
    <row r="11" spans="3:20">
      <c r="C11" s="3"/>
      <c r="F11" s="12">
        <v>114</v>
      </c>
      <c r="G11" s="63" t="s">
        <v>295</v>
      </c>
      <c r="H11" s="7">
        <f t="shared" si="0"/>
        <v>5</v>
      </c>
      <c r="I11" s="50">
        <v>40997.409722222219</v>
      </c>
      <c r="J11" s="58" t="s">
        <v>258</v>
      </c>
      <c r="K11" s="4">
        <f t="shared" si="1"/>
        <v>2</v>
      </c>
      <c r="L11" s="4">
        <v>5</v>
      </c>
      <c r="M11" s="4">
        <v>2</v>
      </c>
      <c r="N11" s="63" t="s">
        <v>293</v>
      </c>
      <c r="O11">
        <v>10</v>
      </c>
      <c r="Q11">
        <v>5</v>
      </c>
      <c r="S11" s="8"/>
    </row>
    <row r="12" spans="3:20">
      <c r="C12" s="3"/>
      <c r="F12" s="12">
        <v>138</v>
      </c>
      <c r="G12" s="63" t="s">
        <v>295</v>
      </c>
      <c r="H12" s="7">
        <f t="shared" si="0"/>
        <v>5</v>
      </c>
      <c r="I12" s="50">
        <v>41015.53125</v>
      </c>
      <c r="J12" s="58" t="s">
        <v>26</v>
      </c>
      <c r="K12" s="4">
        <f t="shared" si="1"/>
        <v>3</v>
      </c>
      <c r="L12" s="4">
        <v>2</v>
      </c>
      <c r="M12" s="4">
        <v>3</v>
      </c>
      <c r="N12" s="63" t="s">
        <v>313</v>
      </c>
      <c r="O12">
        <v>11</v>
      </c>
      <c r="Q12">
        <v>5</v>
      </c>
      <c r="S12" s="8"/>
    </row>
    <row r="13" spans="3:20">
      <c r="C13" s="3"/>
      <c r="F13" s="12">
        <v>140</v>
      </c>
      <c r="G13" s="63" t="s">
        <v>295</v>
      </c>
      <c r="H13" s="7">
        <f t="shared" si="0"/>
        <v>5</v>
      </c>
      <c r="I13" s="50">
        <v>41015.532638888886</v>
      </c>
      <c r="J13" s="58" t="s">
        <v>35</v>
      </c>
      <c r="K13" s="4">
        <f t="shared" si="1"/>
        <v>4</v>
      </c>
      <c r="L13" s="4">
        <v>2</v>
      </c>
      <c r="M13" s="4">
        <v>4</v>
      </c>
      <c r="N13" s="62" t="s">
        <v>708</v>
      </c>
      <c r="O13">
        <v>12</v>
      </c>
      <c r="Q13">
        <v>5</v>
      </c>
      <c r="S13" s="8"/>
    </row>
    <row r="14" spans="3:20">
      <c r="C14" s="3"/>
      <c r="D14" s="1"/>
      <c r="F14" s="12">
        <v>142</v>
      </c>
      <c r="G14" s="63" t="s">
        <v>295</v>
      </c>
      <c r="H14" s="7">
        <f t="shared" si="0"/>
        <v>5</v>
      </c>
      <c r="I14" s="50">
        <v>41015.532638888886</v>
      </c>
      <c r="J14" s="58" t="s">
        <v>105</v>
      </c>
      <c r="K14" s="4">
        <f t="shared" si="1"/>
        <v>5</v>
      </c>
      <c r="L14" s="4">
        <v>2</v>
      </c>
      <c r="M14" s="4">
        <v>5</v>
      </c>
      <c r="N14" s="62" t="s">
        <v>316</v>
      </c>
      <c r="O14">
        <v>13</v>
      </c>
      <c r="Q14">
        <v>5</v>
      </c>
      <c r="S14" s="8"/>
      <c r="T14" s="10"/>
    </row>
    <row r="15" spans="3:20">
      <c r="C15" s="3"/>
      <c r="F15" s="12">
        <v>144</v>
      </c>
      <c r="G15" s="63" t="s">
        <v>295</v>
      </c>
      <c r="H15" s="7">
        <f t="shared" si="0"/>
        <v>5</v>
      </c>
      <c r="I15" s="50">
        <v>41015.533333333333</v>
      </c>
      <c r="J15" s="58" t="s">
        <v>210</v>
      </c>
      <c r="K15" s="4">
        <f t="shared" si="1"/>
        <v>6</v>
      </c>
      <c r="L15" s="4">
        <v>2</v>
      </c>
      <c r="M15" s="4">
        <v>6</v>
      </c>
      <c r="N15" s="63" t="s">
        <v>294</v>
      </c>
      <c r="O15">
        <v>14</v>
      </c>
      <c r="Q15">
        <v>5</v>
      </c>
      <c r="S15" s="8"/>
      <c r="T15" s="10"/>
    </row>
    <row r="16" spans="3:20">
      <c r="C16" s="3"/>
      <c r="F16" s="12">
        <v>101</v>
      </c>
      <c r="G16" s="62" t="s">
        <v>320</v>
      </c>
      <c r="H16" s="7">
        <f t="shared" si="0"/>
        <v>6</v>
      </c>
      <c r="I16" s="50">
        <v>40989.593055555553</v>
      </c>
      <c r="J16" s="58" t="s">
        <v>239</v>
      </c>
      <c r="K16" s="4">
        <f t="shared" si="1"/>
        <v>1</v>
      </c>
      <c r="L16" s="4">
        <v>2</v>
      </c>
      <c r="M16" s="4">
        <v>1</v>
      </c>
      <c r="N16" s="63" t="s">
        <v>1402</v>
      </c>
      <c r="O16">
        <v>15</v>
      </c>
      <c r="Q16">
        <v>6</v>
      </c>
      <c r="S16" s="8"/>
      <c r="T16" s="10"/>
    </row>
    <row r="17" spans="3:20">
      <c r="C17" s="3"/>
      <c r="F17" s="12">
        <v>193</v>
      </c>
      <c r="G17" s="62" t="s">
        <v>311</v>
      </c>
      <c r="H17" s="7">
        <f t="shared" si="0"/>
        <v>7</v>
      </c>
      <c r="I17" s="50">
        <v>41046.456250000003</v>
      </c>
      <c r="J17" s="58" t="s">
        <v>136</v>
      </c>
      <c r="K17" s="4">
        <f t="shared" si="1"/>
        <v>1</v>
      </c>
      <c r="L17" s="4">
        <v>3</v>
      </c>
      <c r="M17" s="4">
        <v>1</v>
      </c>
      <c r="N17" s="62" t="s">
        <v>323</v>
      </c>
      <c r="O17">
        <v>16</v>
      </c>
      <c r="Q17">
        <v>7</v>
      </c>
      <c r="S17" s="8"/>
      <c r="T17" s="10"/>
    </row>
    <row r="18" spans="3:20">
      <c r="C18" s="3"/>
      <c r="F18" s="12">
        <v>188</v>
      </c>
      <c r="G18" s="62" t="s">
        <v>292</v>
      </c>
      <c r="H18" s="7">
        <f t="shared" si="0"/>
        <v>8</v>
      </c>
      <c r="I18" s="50">
        <v>41037.834027777775</v>
      </c>
      <c r="J18" s="58" t="s">
        <v>16</v>
      </c>
      <c r="K18" s="4">
        <f t="shared" si="1"/>
        <v>1</v>
      </c>
      <c r="L18" s="4">
        <v>3</v>
      </c>
      <c r="M18" s="4">
        <v>1</v>
      </c>
      <c r="N18" s="63" t="s">
        <v>321</v>
      </c>
      <c r="O18">
        <v>17</v>
      </c>
      <c r="Q18">
        <v>8</v>
      </c>
      <c r="S18" s="8"/>
      <c r="T18" s="10"/>
    </row>
    <row r="19" spans="3:20">
      <c r="C19" s="3"/>
      <c r="D19" s="1"/>
      <c r="F19" s="12">
        <v>210</v>
      </c>
      <c r="G19" s="62" t="s">
        <v>310</v>
      </c>
      <c r="H19" s="7">
        <f t="shared" si="0"/>
        <v>9</v>
      </c>
      <c r="I19" s="50">
        <v>41052.743055555555</v>
      </c>
      <c r="J19" s="58" t="s">
        <v>132</v>
      </c>
      <c r="K19" s="4">
        <f t="shared" si="1"/>
        <v>1</v>
      </c>
      <c r="L19" s="4">
        <v>2</v>
      </c>
      <c r="M19" s="4">
        <v>1</v>
      </c>
      <c r="N19" s="62" t="s">
        <v>322</v>
      </c>
      <c r="O19">
        <v>18</v>
      </c>
      <c r="Q19">
        <v>9</v>
      </c>
      <c r="S19" s="8"/>
      <c r="T19" s="10"/>
    </row>
    <row r="20" spans="3:20">
      <c r="C20" s="3"/>
      <c r="F20" s="12">
        <v>52</v>
      </c>
      <c r="G20" s="63" t="s">
        <v>293</v>
      </c>
      <c r="H20" s="7">
        <f t="shared" si="0"/>
        <v>10</v>
      </c>
      <c r="I20" s="50">
        <v>40957.664583333331</v>
      </c>
      <c r="J20" s="58" t="s">
        <v>1388</v>
      </c>
      <c r="K20" s="4">
        <f t="shared" si="1"/>
        <v>1</v>
      </c>
      <c r="L20" s="4">
        <v>6</v>
      </c>
      <c r="M20" s="4">
        <v>1</v>
      </c>
      <c r="N20" s="62" t="s">
        <v>358</v>
      </c>
      <c r="O20">
        <v>19</v>
      </c>
      <c r="Q20">
        <v>10</v>
      </c>
      <c r="S20" s="8"/>
      <c r="T20" s="10"/>
    </row>
    <row r="21" spans="3:20">
      <c r="C21" s="3"/>
      <c r="F21" s="12">
        <v>53</v>
      </c>
      <c r="G21" s="62" t="s">
        <v>293</v>
      </c>
      <c r="H21" s="7">
        <f t="shared" si="0"/>
        <v>10</v>
      </c>
      <c r="I21" s="50">
        <v>40957.943055555559</v>
      </c>
      <c r="J21" s="58" t="s">
        <v>655</v>
      </c>
      <c r="K21" s="4">
        <f t="shared" si="1"/>
        <v>2</v>
      </c>
      <c r="L21" s="4">
        <v>5</v>
      </c>
      <c r="M21" s="4">
        <v>2</v>
      </c>
      <c r="N21" s="62" t="s">
        <v>314</v>
      </c>
      <c r="O21">
        <v>20</v>
      </c>
      <c r="Q21">
        <v>10</v>
      </c>
      <c r="S21" s="8"/>
      <c r="T21" s="10"/>
    </row>
    <row r="22" spans="3:20">
      <c r="C22" s="3"/>
      <c r="F22" s="12">
        <v>84</v>
      </c>
      <c r="G22" s="63" t="s">
        <v>293</v>
      </c>
      <c r="H22" s="7">
        <f t="shared" si="0"/>
        <v>10</v>
      </c>
      <c r="I22" s="50">
        <v>40973.567361111112</v>
      </c>
      <c r="J22" s="58" t="s">
        <v>70</v>
      </c>
      <c r="K22" s="4">
        <f t="shared" si="1"/>
        <v>3</v>
      </c>
      <c r="L22" s="4">
        <v>2</v>
      </c>
      <c r="M22" s="4">
        <v>3</v>
      </c>
      <c r="N22" s="63" t="s">
        <v>943</v>
      </c>
      <c r="O22">
        <v>21</v>
      </c>
      <c r="Q22">
        <v>10</v>
      </c>
      <c r="S22" s="8"/>
      <c r="T22" s="10"/>
    </row>
    <row r="23" spans="3:20">
      <c r="C23" s="3"/>
      <c r="F23" s="12">
        <v>122</v>
      </c>
      <c r="G23" s="63" t="s">
        <v>293</v>
      </c>
      <c r="H23" s="7">
        <f t="shared" si="0"/>
        <v>10</v>
      </c>
      <c r="I23" s="50">
        <v>41005.584027777775</v>
      </c>
      <c r="J23" s="58" t="s">
        <v>23</v>
      </c>
      <c r="K23" s="4">
        <f t="shared" si="1"/>
        <v>4</v>
      </c>
      <c r="L23" s="4">
        <v>6</v>
      </c>
      <c r="M23" s="4">
        <v>4</v>
      </c>
      <c r="N23" s="62" t="s">
        <v>989</v>
      </c>
      <c r="O23">
        <v>22</v>
      </c>
      <c r="Q23">
        <v>10</v>
      </c>
      <c r="S23" s="25" t="s">
        <v>1872</v>
      </c>
    </row>
    <row r="24" spans="3:20">
      <c r="C24" s="3"/>
      <c r="F24" s="12">
        <v>125</v>
      </c>
      <c r="G24" s="62" t="s">
        <v>293</v>
      </c>
      <c r="H24" s="7">
        <f t="shared" si="0"/>
        <v>10</v>
      </c>
      <c r="I24" s="50">
        <v>41007.436805555553</v>
      </c>
      <c r="J24" s="58" t="s">
        <v>262</v>
      </c>
      <c r="K24" s="4">
        <f t="shared" si="1"/>
        <v>5</v>
      </c>
      <c r="L24" s="4">
        <v>3</v>
      </c>
      <c r="M24" s="4">
        <v>5</v>
      </c>
      <c r="N24" s="62" t="s">
        <v>309</v>
      </c>
      <c r="O24">
        <v>23</v>
      </c>
      <c r="Q24">
        <v>10</v>
      </c>
      <c r="S24" s="25" t="s">
        <v>1870</v>
      </c>
      <c r="T24" t="s">
        <v>1869</v>
      </c>
    </row>
    <row r="25" spans="3:20">
      <c r="C25" s="3"/>
      <c r="F25" s="12">
        <v>195</v>
      </c>
      <c r="G25" s="63" t="s">
        <v>313</v>
      </c>
      <c r="H25" s="7">
        <f t="shared" si="0"/>
        <v>11</v>
      </c>
      <c r="I25" s="50">
        <v>41047.494444444441</v>
      </c>
      <c r="J25" s="58" t="s">
        <v>138</v>
      </c>
      <c r="K25" s="4">
        <f t="shared" si="1"/>
        <v>1</v>
      </c>
      <c r="L25" s="4">
        <v>2</v>
      </c>
      <c r="M25" s="4">
        <v>1</v>
      </c>
      <c r="N25" s="62" t="s">
        <v>325</v>
      </c>
      <c r="O25">
        <v>24</v>
      </c>
      <c r="Q25">
        <v>11</v>
      </c>
      <c r="S25" s="26">
        <v>1</v>
      </c>
      <c r="T25" s="4">
        <v>2</v>
      </c>
    </row>
    <row r="26" spans="3:20">
      <c r="C26" s="3"/>
      <c r="F26" s="12">
        <v>49</v>
      </c>
      <c r="G26" s="62" t="s">
        <v>708</v>
      </c>
      <c r="H26" s="7">
        <f t="shared" si="0"/>
        <v>12</v>
      </c>
      <c r="I26" s="50">
        <v>40949.40902777778</v>
      </c>
      <c r="J26" s="58" t="s">
        <v>709</v>
      </c>
      <c r="K26" s="4">
        <f t="shared" si="1"/>
        <v>1</v>
      </c>
      <c r="L26" s="4">
        <v>3</v>
      </c>
      <c r="M26" s="4">
        <v>1</v>
      </c>
      <c r="N26" s="63" t="s">
        <v>1147</v>
      </c>
      <c r="O26">
        <v>25</v>
      </c>
      <c r="Q26">
        <v>12</v>
      </c>
      <c r="S26" s="26">
        <v>2</v>
      </c>
      <c r="T26" s="4">
        <v>1</v>
      </c>
    </row>
    <row r="27" spans="3:20">
      <c r="C27" s="3"/>
      <c r="F27" s="12">
        <v>95</v>
      </c>
      <c r="G27" s="62" t="s">
        <v>316</v>
      </c>
      <c r="H27" s="7">
        <f t="shared" si="0"/>
        <v>13</v>
      </c>
      <c r="I27" s="50">
        <v>40977.490277777775</v>
      </c>
      <c r="J27" s="58" t="s">
        <v>192</v>
      </c>
      <c r="K27" s="4">
        <f t="shared" si="1"/>
        <v>1</v>
      </c>
      <c r="L27" s="4">
        <v>2</v>
      </c>
      <c r="M27" s="4">
        <v>1</v>
      </c>
      <c r="N27" s="62" t="s">
        <v>336</v>
      </c>
      <c r="O27">
        <v>26</v>
      </c>
      <c r="Q27">
        <v>13</v>
      </c>
      <c r="S27" s="26">
        <v>3</v>
      </c>
      <c r="T27" s="4">
        <v>1</v>
      </c>
    </row>
    <row r="28" spans="3:20">
      <c r="C28" s="3"/>
      <c r="F28" s="12">
        <v>64</v>
      </c>
      <c r="G28" s="63" t="s">
        <v>294</v>
      </c>
      <c r="H28" s="7">
        <f t="shared" si="0"/>
        <v>14</v>
      </c>
      <c r="I28" s="50">
        <v>40962.061111111114</v>
      </c>
      <c r="J28" s="58" t="s">
        <v>1535</v>
      </c>
      <c r="K28" s="4">
        <f t="shared" si="1"/>
        <v>1</v>
      </c>
      <c r="L28" s="4">
        <v>2</v>
      </c>
      <c r="M28" s="4">
        <v>1</v>
      </c>
      <c r="N28" s="63" t="s">
        <v>288</v>
      </c>
      <c r="O28">
        <v>27</v>
      </c>
      <c r="Q28">
        <v>14</v>
      </c>
      <c r="S28" s="26">
        <v>4</v>
      </c>
      <c r="T28" s="4">
        <v>4</v>
      </c>
    </row>
    <row r="29" spans="3:20">
      <c r="C29" s="3"/>
      <c r="F29" s="12">
        <v>109</v>
      </c>
      <c r="G29" s="62" t="s">
        <v>294</v>
      </c>
      <c r="H29" s="7">
        <f t="shared" si="0"/>
        <v>14</v>
      </c>
      <c r="I29" s="50">
        <v>40988.061805555553</v>
      </c>
      <c r="J29" s="58" t="s">
        <v>183</v>
      </c>
      <c r="K29" s="4">
        <f t="shared" si="1"/>
        <v>2</v>
      </c>
      <c r="L29" s="4">
        <v>2</v>
      </c>
      <c r="M29" s="4">
        <v>2</v>
      </c>
      <c r="N29" s="63" t="s">
        <v>304</v>
      </c>
      <c r="O29">
        <v>28</v>
      </c>
      <c r="Q29">
        <v>14</v>
      </c>
      <c r="S29" s="26">
        <v>5</v>
      </c>
      <c r="T29" s="4">
        <v>6</v>
      </c>
    </row>
    <row r="30" spans="3:20">
      <c r="C30" s="3"/>
      <c r="F30" s="12">
        <v>137</v>
      </c>
      <c r="G30" s="62" t="s">
        <v>294</v>
      </c>
      <c r="H30" s="7">
        <f t="shared" si="0"/>
        <v>14</v>
      </c>
      <c r="I30" s="50">
        <v>41008.994444444441</v>
      </c>
      <c r="J30" s="58" t="s">
        <v>25</v>
      </c>
      <c r="K30" s="4">
        <f t="shared" si="1"/>
        <v>3</v>
      </c>
      <c r="L30" s="4">
        <v>9</v>
      </c>
      <c r="M30" s="4">
        <v>3</v>
      </c>
      <c r="N30" s="63" t="s">
        <v>318</v>
      </c>
      <c r="O30">
        <v>29</v>
      </c>
      <c r="Q30">
        <v>14</v>
      </c>
      <c r="S30" s="26">
        <v>6</v>
      </c>
      <c r="T30" s="4">
        <v>1</v>
      </c>
    </row>
    <row r="31" spans="3:20">
      <c r="C31" s="3"/>
      <c r="F31" s="12">
        <v>143</v>
      </c>
      <c r="G31" s="62" t="s">
        <v>294</v>
      </c>
      <c r="H31" s="7">
        <f t="shared" si="0"/>
        <v>14</v>
      </c>
      <c r="I31" s="50">
        <v>41009.071527777778</v>
      </c>
      <c r="J31" s="58" t="s">
        <v>209</v>
      </c>
      <c r="K31" s="4">
        <f t="shared" si="1"/>
        <v>4</v>
      </c>
      <c r="L31" s="4">
        <v>67</v>
      </c>
      <c r="M31" s="4">
        <v>4</v>
      </c>
      <c r="N31" s="62" t="s">
        <v>296</v>
      </c>
      <c r="O31">
        <v>30</v>
      </c>
      <c r="Q31">
        <v>14</v>
      </c>
      <c r="S31" s="26">
        <v>7</v>
      </c>
      <c r="T31" s="4">
        <v>1</v>
      </c>
    </row>
    <row r="32" spans="3:20">
      <c r="C32" s="3"/>
      <c r="F32" s="12">
        <v>148</v>
      </c>
      <c r="G32" s="63" t="s">
        <v>294</v>
      </c>
      <c r="H32" s="7">
        <f t="shared" si="0"/>
        <v>14</v>
      </c>
      <c r="I32" s="50">
        <v>41018.047222222223</v>
      </c>
      <c r="J32" s="58" t="s">
        <v>49</v>
      </c>
      <c r="K32" s="4">
        <f t="shared" si="1"/>
        <v>5</v>
      </c>
      <c r="L32" s="4">
        <v>2</v>
      </c>
      <c r="M32" s="4">
        <v>5</v>
      </c>
      <c r="N32" s="62" t="s">
        <v>1250</v>
      </c>
      <c r="O32">
        <v>31</v>
      </c>
      <c r="Q32">
        <v>14</v>
      </c>
      <c r="S32" s="26">
        <v>8</v>
      </c>
      <c r="T32" s="4">
        <v>1</v>
      </c>
    </row>
    <row r="33" spans="3:23">
      <c r="C33" s="3"/>
      <c r="F33" s="12">
        <v>176</v>
      </c>
      <c r="G33" s="63" t="s">
        <v>294</v>
      </c>
      <c r="H33" s="7">
        <f t="shared" si="0"/>
        <v>14</v>
      </c>
      <c r="I33" s="50">
        <v>41034.786805555559</v>
      </c>
      <c r="J33" s="58" t="s">
        <v>88</v>
      </c>
      <c r="K33" s="4">
        <f t="shared" si="1"/>
        <v>6</v>
      </c>
      <c r="L33" s="4">
        <v>2</v>
      </c>
      <c r="M33" s="4">
        <v>6</v>
      </c>
      <c r="N33" s="63" t="s">
        <v>651</v>
      </c>
      <c r="O33">
        <v>32</v>
      </c>
      <c r="Q33">
        <v>14</v>
      </c>
      <c r="S33" s="26">
        <v>9</v>
      </c>
      <c r="T33" s="4">
        <v>1</v>
      </c>
    </row>
    <row r="34" spans="3:23">
      <c r="C34" s="3"/>
      <c r="F34" s="12">
        <v>60</v>
      </c>
      <c r="G34" s="63" t="s">
        <v>1402</v>
      </c>
      <c r="H34" s="7">
        <f t="shared" si="0"/>
        <v>15</v>
      </c>
      <c r="I34" s="50">
        <v>40960.944444444445</v>
      </c>
      <c r="J34" s="58" t="s">
        <v>1401</v>
      </c>
      <c r="K34" s="4">
        <f t="shared" si="1"/>
        <v>1</v>
      </c>
      <c r="L34" s="4">
        <v>2</v>
      </c>
      <c r="M34" s="4">
        <v>1</v>
      </c>
      <c r="N34" s="63" t="s">
        <v>306</v>
      </c>
      <c r="O34">
        <v>33</v>
      </c>
      <c r="Q34">
        <v>15</v>
      </c>
      <c r="S34" s="26">
        <v>10</v>
      </c>
      <c r="T34" s="4">
        <v>5</v>
      </c>
    </row>
    <row r="35" spans="3:23">
      <c r="C35" s="3"/>
      <c r="F35" s="12">
        <v>124</v>
      </c>
      <c r="G35" s="62" t="s">
        <v>323</v>
      </c>
      <c r="H35" s="7">
        <f t="shared" si="0"/>
        <v>16</v>
      </c>
      <c r="I35" s="50">
        <v>41007.128472222219</v>
      </c>
      <c r="J35" s="58" t="s">
        <v>260</v>
      </c>
      <c r="K35" s="4">
        <f t="shared" si="1"/>
        <v>1</v>
      </c>
      <c r="L35" s="4">
        <v>3</v>
      </c>
      <c r="M35" s="4">
        <v>1</v>
      </c>
      <c r="N35" s="63" t="s">
        <v>301</v>
      </c>
      <c r="O35">
        <v>34</v>
      </c>
      <c r="Q35">
        <v>16</v>
      </c>
      <c r="S35" s="26">
        <v>11</v>
      </c>
      <c r="T35" s="4">
        <v>1</v>
      </c>
    </row>
    <row r="36" spans="3:23">
      <c r="C36" s="3"/>
      <c r="F36" s="12">
        <v>92</v>
      </c>
      <c r="G36" s="63" t="s">
        <v>321</v>
      </c>
      <c r="H36" s="7">
        <f t="shared" si="0"/>
        <v>17</v>
      </c>
      <c r="I36" s="50">
        <v>40981.4375</v>
      </c>
      <c r="J36" s="58" t="s">
        <v>249</v>
      </c>
      <c r="K36" s="4">
        <f t="shared" si="1"/>
        <v>1</v>
      </c>
      <c r="L36" s="4">
        <v>2</v>
      </c>
      <c r="M36" s="4">
        <v>1</v>
      </c>
      <c r="N36" s="62" t="s">
        <v>298</v>
      </c>
      <c r="O36">
        <v>35</v>
      </c>
      <c r="Q36">
        <v>17</v>
      </c>
      <c r="S36" s="26">
        <v>12</v>
      </c>
      <c r="T36" s="4">
        <v>1</v>
      </c>
    </row>
    <row r="37" spans="3:23">
      <c r="C37" s="3"/>
      <c r="F37" s="12">
        <v>205</v>
      </c>
      <c r="G37" s="62" t="s">
        <v>322</v>
      </c>
      <c r="H37" s="7">
        <f t="shared" si="0"/>
        <v>18</v>
      </c>
      <c r="I37" s="50">
        <v>41051.552083333336</v>
      </c>
      <c r="J37" s="58" t="s">
        <v>254</v>
      </c>
      <c r="K37" s="4">
        <f t="shared" si="1"/>
        <v>1</v>
      </c>
      <c r="L37" s="4">
        <v>3</v>
      </c>
      <c r="M37" s="4">
        <v>1</v>
      </c>
      <c r="N37" s="62" t="s">
        <v>534</v>
      </c>
      <c r="O37">
        <v>36</v>
      </c>
      <c r="Q37">
        <v>18</v>
      </c>
      <c r="S37" s="26">
        <v>13</v>
      </c>
      <c r="T37" s="4">
        <v>1</v>
      </c>
    </row>
    <row r="38" spans="3:23">
      <c r="C38" s="3"/>
      <c r="F38" s="12">
        <v>32</v>
      </c>
      <c r="G38" s="62" t="s">
        <v>358</v>
      </c>
      <c r="H38" s="7">
        <f t="shared" si="0"/>
        <v>19</v>
      </c>
      <c r="I38" s="50">
        <v>40937.15902777778</v>
      </c>
      <c r="J38" s="58" t="s">
        <v>357</v>
      </c>
      <c r="K38" s="4">
        <f t="shared" si="1"/>
        <v>1</v>
      </c>
      <c r="L38" s="4">
        <v>2</v>
      </c>
      <c r="M38" s="4">
        <v>1</v>
      </c>
      <c r="N38" s="62" t="s">
        <v>290</v>
      </c>
      <c r="O38">
        <v>37</v>
      </c>
      <c r="Q38">
        <v>19</v>
      </c>
      <c r="S38" s="26">
        <v>14</v>
      </c>
      <c r="T38" s="4">
        <v>6</v>
      </c>
    </row>
    <row r="39" spans="3:23">
      <c r="C39" s="3"/>
      <c r="F39" s="12">
        <v>58</v>
      </c>
      <c r="G39" s="62" t="s">
        <v>314</v>
      </c>
      <c r="H39" s="7">
        <f t="shared" si="0"/>
        <v>20</v>
      </c>
      <c r="I39" s="50">
        <v>40959.827777777777</v>
      </c>
      <c r="J39" s="58" t="s">
        <v>421</v>
      </c>
      <c r="K39" s="4">
        <f t="shared" si="1"/>
        <v>1</v>
      </c>
      <c r="L39" s="4">
        <v>3</v>
      </c>
      <c r="M39" s="4">
        <v>1</v>
      </c>
      <c r="N39" s="63" t="s">
        <v>621</v>
      </c>
      <c r="O39">
        <v>38</v>
      </c>
      <c r="Q39">
        <v>20</v>
      </c>
      <c r="S39" s="26">
        <v>15</v>
      </c>
      <c r="T39" s="4">
        <v>1</v>
      </c>
    </row>
    <row r="40" spans="3:23">
      <c r="C40" s="3"/>
      <c r="F40" s="12">
        <v>59</v>
      </c>
      <c r="G40" s="62" t="s">
        <v>314</v>
      </c>
      <c r="H40" s="7">
        <f t="shared" si="0"/>
        <v>20</v>
      </c>
      <c r="I40" s="50">
        <v>40960.771527777775</v>
      </c>
      <c r="J40" s="58" t="s">
        <v>1400</v>
      </c>
      <c r="K40" s="4">
        <f t="shared" si="1"/>
        <v>2</v>
      </c>
      <c r="L40" s="4">
        <v>2</v>
      </c>
      <c r="M40" s="4">
        <v>2</v>
      </c>
      <c r="N40" s="62" t="s">
        <v>305</v>
      </c>
      <c r="O40">
        <v>39</v>
      </c>
      <c r="Q40">
        <v>20</v>
      </c>
      <c r="S40" s="26">
        <v>16</v>
      </c>
      <c r="T40" s="4">
        <v>1</v>
      </c>
    </row>
    <row r="41" spans="3:23">
      <c r="C41" s="3"/>
      <c r="F41" s="12">
        <v>63</v>
      </c>
      <c r="G41" s="62" t="s">
        <v>314</v>
      </c>
      <c r="H41" s="7">
        <f t="shared" si="0"/>
        <v>20</v>
      </c>
      <c r="I41" s="50">
        <v>40961.787499999999</v>
      </c>
      <c r="J41" s="58" t="s">
        <v>1534</v>
      </c>
      <c r="K41" s="4">
        <f t="shared" si="1"/>
        <v>3</v>
      </c>
      <c r="L41" s="4">
        <v>2</v>
      </c>
      <c r="M41" s="4">
        <v>3</v>
      </c>
      <c r="N41" s="62" t="s">
        <v>289</v>
      </c>
      <c r="O41">
        <v>40</v>
      </c>
      <c r="Q41">
        <v>20</v>
      </c>
      <c r="S41" s="26">
        <v>17</v>
      </c>
      <c r="T41" s="4">
        <v>1</v>
      </c>
    </row>
    <row r="42" spans="3:23">
      <c r="C42" s="3"/>
      <c r="F42" s="12">
        <v>108</v>
      </c>
      <c r="G42" s="63" t="s">
        <v>314</v>
      </c>
      <c r="H42" s="7">
        <f t="shared" si="0"/>
        <v>20</v>
      </c>
      <c r="I42" s="50">
        <v>40994.649305555555</v>
      </c>
      <c r="J42" s="58" t="s">
        <v>144</v>
      </c>
      <c r="K42" s="4">
        <f t="shared" si="1"/>
        <v>4</v>
      </c>
      <c r="L42" s="4">
        <v>5</v>
      </c>
      <c r="M42" s="4">
        <v>4</v>
      </c>
      <c r="N42" s="62" t="s">
        <v>299</v>
      </c>
      <c r="O42">
        <v>41</v>
      </c>
      <c r="Q42">
        <v>20</v>
      </c>
      <c r="S42" s="26">
        <v>18</v>
      </c>
      <c r="T42" s="4">
        <v>1</v>
      </c>
    </row>
    <row r="43" spans="3:23">
      <c r="C43" s="3"/>
      <c r="F43" s="12">
        <v>56</v>
      </c>
      <c r="G43" s="63" t="s">
        <v>943</v>
      </c>
      <c r="H43" s="7">
        <f t="shared" si="0"/>
        <v>21</v>
      </c>
      <c r="I43" s="50">
        <v>40959.738194444442</v>
      </c>
      <c r="J43" s="58" t="s">
        <v>942</v>
      </c>
      <c r="K43" s="4">
        <f t="shared" si="1"/>
        <v>1</v>
      </c>
      <c r="L43" s="4">
        <v>4</v>
      </c>
      <c r="M43" s="4">
        <v>1</v>
      </c>
      <c r="N43" s="62" t="s">
        <v>307</v>
      </c>
      <c r="O43">
        <v>42</v>
      </c>
      <c r="Q43">
        <v>21</v>
      </c>
      <c r="S43" s="26">
        <v>19</v>
      </c>
      <c r="T43" s="4">
        <v>1</v>
      </c>
    </row>
    <row r="44" spans="3:23">
      <c r="C44" s="3"/>
      <c r="F44" s="12">
        <v>5</v>
      </c>
      <c r="G44" s="62" t="s">
        <v>989</v>
      </c>
      <c r="H44" s="7">
        <f t="shared" si="0"/>
        <v>22</v>
      </c>
      <c r="I44" s="50">
        <v>40914.582638888889</v>
      </c>
      <c r="J44" s="58" t="s">
        <v>990</v>
      </c>
      <c r="K44" s="4">
        <f t="shared" si="1"/>
        <v>1</v>
      </c>
      <c r="L44" s="4">
        <v>10</v>
      </c>
      <c r="M44" s="4">
        <v>1</v>
      </c>
      <c r="N44" s="62" t="s">
        <v>308</v>
      </c>
      <c r="O44">
        <v>43</v>
      </c>
      <c r="Q44">
        <v>22</v>
      </c>
      <c r="S44" s="26">
        <v>20</v>
      </c>
      <c r="T44" s="4">
        <v>4</v>
      </c>
    </row>
    <row r="45" spans="3:23">
      <c r="C45" s="3"/>
      <c r="F45" s="12">
        <v>155</v>
      </c>
      <c r="G45" s="62" t="s">
        <v>309</v>
      </c>
      <c r="H45" s="7">
        <f t="shared" si="0"/>
        <v>23</v>
      </c>
      <c r="I45" s="50">
        <v>41017.348611111112</v>
      </c>
      <c r="J45" s="58" t="s">
        <v>109</v>
      </c>
      <c r="K45" s="4">
        <f t="shared" si="1"/>
        <v>1</v>
      </c>
      <c r="L45" s="4">
        <v>5</v>
      </c>
      <c r="M45" s="4">
        <v>1</v>
      </c>
      <c r="N45" s="62" t="s">
        <v>457</v>
      </c>
      <c r="O45">
        <v>44</v>
      </c>
      <c r="Q45">
        <v>23</v>
      </c>
      <c r="S45" s="26">
        <v>21</v>
      </c>
      <c r="T45" s="4">
        <v>1</v>
      </c>
    </row>
    <row r="46" spans="3:23">
      <c r="C46" s="3"/>
      <c r="F46" s="12">
        <v>172</v>
      </c>
      <c r="G46" s="63" t="s">
        <v>309</v>
      </c>
      <c r="H46" s="7">
        <f t="shared" si="0"/>
        <v>23</v>
      </c>
      <c r="I46" s="50">
        <v>41030.487500000003</v>
      </c>
      <c r="J46" s="58" t="s">
        <v>282</v>
      </c>
      <c r="K46" s="4">
        <f t="shared" si="1"/>
        <v>2</v>
      </c>
      <c r="L46" s="4">
        <v>2</v>
      </c>
      <c r="M46" s="4">
        <v>2</v>
      </c>
      <c r="N46" s="62" t="s">
        <v>297</v>
      </c>
      <c r="O46">
        <v>45</v>
      </c>
      <c r="Q46">
        <v>23</v>
      </c>
      <c r="S46" s="26">
        <v>22</v>
      </c>
      <c r="T46" s="4">
        <v>1</v>
      </c>
    </row>
    <row r="47" spans="3:23">
      <c r="C47" s="3"/>
      <c r="F47" s="12">
        <v>34</v>
      </c>
      <c r="G47" s="62" t="s">
        <v>325</v>
      </c>
      <c r="H47" s="7">
        <f t="shared" si="0"/>
        <v>24</v>
      </c>
      <c r="I47" s="50">
        <v>40937.724305555559</v>
      </c>
      <c r="J47" s="58" t="s">
        <v>528</v>
      </c>
      <c r="K47" s="4">
        <f t="shared" si="1"/>
        <v>1</v>
      </c>
      <c r="L47" s="4">
        <v>2</v>
      </c>
      <c r="M47" s="4">
        <v>1</v>
      </c>
      <c r="N47" s="63" t="s">
        <v>315</v>
      </c>
      <c r="O47">
        <v>46</v>
      </c>
      <c r="Q47">
        <v>24</v>
      </c>
      <c r="S47" s="26">
        <v>23</v>
      </c>
      <c r="T47" s="4">
        <v>2</v>
      </c>
    </row>
    <row r="48" spans="3:23">
      <c r="C48" s="3"/>
      <c r="F48" s="12">
        <v>131</v>
      </c>
      <c r="G48" s="63" t="s">
        <v>325</v>
      </c>
      <c r="H48" s="7">
        <f t="shared" si="0"/>
        <v>24</v>
      </c>
      <c r="I48" s="50">
        <v>41002.907638888886</v>
      </c>
      <c r="J48" s="58" t="s">
        <v>284</v>
      </c>
      <c r="K48" s="4">
        <f t="shared" si="1"/>
        <v>2</v>
      </c>
      <c r="L48" s="4">
        <v>2</v>
      </c>
      <c r="M48" s="4">
        <v>2</v>
      </c>
      <c r="N48" s="63" t="s">
        <v>312</v>
      </c>
      <c r="O48">
        <v>47</v>
      </c>
      <c r="Q48">
        <v>24</v>
      </c>
      <c r="S48" s="26">
        <v>24</v>
      </c>
      <c r="T48" s="4">
        <v>2</v>
      </c>
      <c r="W48" t="s">
        <v>1876</v>
      </c>
    </row>
    <row r="49" spans="3:23">
      <c r="C49" s="3"/>
      <c r="F49" s="12">
        <v>18</v>
      </c>
      <c r="G49" s="63" t="s">
        <v>1147</v>
      </c>
      <c r="H49" s="7">
        <f t="shared" si="0"/>
        <v>25</v>
      </c>
      <c r="I49" s="50">
        <v>40926.729861111111</v>
      </c>
      <c r="J49" s="58" t="s">
        <v>1942</v>
      </c>
      <c r="K49" s="4">
        <f t="shared" si="1"/>
        <v>1</v>
      </c>
      <c r="L49" s="4">
        <v>2</v>
      </c>
      <c r="M49" s="4">
        <v>1</v>
      </c>
      <c r="N49" s="63" t="s">
        <v>291</v>
      </c>
      <c r="O49">
        <v>48</v>
      </c>
      <c r="Q49">
        <v>25</v>
      </c>
      <c r="S49" s="26">
        <v>25</v>
      </c>
      <c r="T49" s="4">
        <v>1</v>
      </c>
      <c r="W49">
        <f>T73/S72</f>
        <v>5.375</v>
      </c>
    </row>
    <row r="50" spans="3:23">
      <c r="C50" s="3"/>
      <c r="F50" s="12">
        <v>4</v>
      </c>
      <c r="G50" s="62" t="s">
        <v>336</v>
      </c>
      <c r="H50" s="7">
        <f t="shared" si="0"/>
        <v>26</v>
      </c>
      <c r="I50" s="50">
        <v>40911.863888888889</v>
      </c>
      <c r="J50" s="58" t="s">
        <v>1077</v>
      </c>
      <c r="K50" s="4">
        <f t="shared" si="1"/>
        <v>1</v>
      </c>
      <c r="L50" s="4">
        <v>16</v>
      </c>
      <c r="M50" s="4">
        <v>1</v>
      </c>
      <c r="Q50">
        <v>26</v>
      </c>
      <c r="S50" s="26">
        <v>26</v>
      </c>
      <c r="T50" s="4">
        <v>29</v>
      </c>
    </row>
    <row r="51" spans="3:23">
      <c r="C51" s="3"/>
      <c r="F51" s="12">
        <v>46</v>
      </c>
      <c r="G51" s="62" t="s">
        <v>336</v>
      </c>
      <c r="H51" s="7">
        <f t="shared" si="0"/>
        <v>26</v>
      </c>
      <c r="I51" s="50">
        <v>40952.481249999997</v>
      </c>
      <c r="J51" s="58" t="s">
        <v>364</v>
      </c>
      <c r="K51" s="4">
        <f t="shared" si="1"/>
        <v>2</v>
      </c>
      <c r="L51" s="4">
        <v>2</v>
      </c>
      <c r="M51" s="4">
        <v>2</v>
      </c>
      <c r="Q51">
        <v>26</v>
      </c>
      <c r="S51" s="26">
        <v>27</v>
      </c>
      <c r="T51" s="4">
        <v>89</v>
      </c>
    </row>
    <row r="52" spans="3:23">
      <c r="C52" s="3"/>
      <c r="F52" s="12">
        <v>72</v>
      </c>
      <c r="G52" s="62" t="s">
        <v>336</v>
      </c>
      <c r="H52" s="7">
        <f t="shared" si="0"/>
        <v>26</v>
      </c>
      <c r="I52" s="50">
        <v>40968.780555555553</v>
      </c>
      <c r="J52" s="58" t="s">
        <v>237</v>
      </c>
      <c r="K52" s="4">
        <f t="shared" si="1"/>
        <v>3</v>
      </c>
      <c r="L52" s="4">
        <v>4</v>
      </c>
      <c r="M52" s="4">
        <v>3</v>
      </c>
      <c r="Q52">
        <v>26</v>
      </c>
      <c r="S52" s="26">
        <v>28</v>
      </c>
      <c r="T52" s="4">
        <v>5</v>
      </c>
    </row>
    <row r="53" spans="3:23">
      <c r="C53" s="3"/>
      <c r="F53" s="12">
        <v>74</v>
      </c>
      <c r="G53" s="62" t="s">
        <v>336</v>
      </c>
      <c r="H53" s="7">
        <f t="shared" si="0"/>
        <v>26</v>
      </c>
      <c r="I53" s="50">
        <v>40969.927777777775</v>
      </c>
      <c r="J53" s="58" t="s">
        <v>91</v>
      </c>
      <c r="K53" s="4">
        <f t="shared" si="1"/>
        <v>4</v>
      </c>
      <c r="L53" s="4">
        <v>2</v>
      </c>
      <c r="M53" s="4">
        <v>4</v>
      </c>
      <c r="Q53">
        <v>26</v>
      </c>
      <c r="S53" s="26">
        <v>29</v>
      </c>
      <c r="T53" s="4">
        <v>2</v>
      </c>
    </row>
    <row r="54" spans="3:23">
      <c r="C54" s="3"/>
      <c r="F54" s="12">
        <v>88</v>
      </c>
      <c r="G54" s="62" t="s">
        <v>336</v>
      </c>
      <c r="H54" s="7">
        <f t="shared" si="0"/>
        <v>26</v>
      </c>
      <c r="I54" s="50">
        <v>40973.827777777777</v>
      </c>
      <c r="J54" s="58" t="s">
        <v>121</v>
      </c>
      <c r="K54" s="4">
        <f t="shared" si="1"/>
        <v>5</v>
      </c>
      <c r="L54" s="4">
        <v>2</v>
      </c>
      <c r="M54" s="4">
        <v>5</v>
      </c>
      <c r="Q54">
        <v>26</v>
      </c>
      <c r="S54" s="26">
        <v>30</v>
      </c>
      <c r="T54" s="4">
        <v>2</v>
      </c>
    </row>
    <row r="55" spans="3:23">
      <c r="C55" s="3"/>
      <c r="F55" s="12">
        <v>90</v>
      </c>
      <c r="G55" s="62" t="s">
        <v>336</v>
      </c>
      <c r="H55" s="7">
        <f t="shared" si="0"/>
        <v>26</v>
      </c>
      <c r="I55" s="50">
        <v>40980.429861111108</v>
      </c>
      <c r="J55" s="58" t="s">
        <v>2</v>
      </c>
      <c r="K55" s="4">
        <f t="shared" si="1"/>
        <v>6</v>
      </c>
      <c r="L55" s="4">
        <v>2</v>
      </c>
      <c r="M55" s="4">
        <v>6</v>
      </c>
      <c r="Q55">
        <v>26</v>
      </c>
      <c r="S55" s="26">
        <v>31</v>
      </c>
      <c r="T55" s="4">
        <v>2</v>
      </c>
    </row>
    <row r="56" spans="3:23">
      <c r="C56" s="3"/>
      <c r="D56" s="1"/>
      <c r="F56" s="12">
        <v>126</v>
      </c>
      <c r="G56" s="62" t="s">
        <v>336</v>
      </c>
      <c r="H56" s="7">
        <f t="shared" si="0"/>
        <v>26</v>
      </c>
      <c r="I56" s="50">
        <v>41008.398611111108</v>
      </c>
      <c r="J56" s="58" t="s">
        <v>263</v>
      </c>
      <c r="K56" s="4">
        <f t="shared" si="1"/>
        <v>7</v>
      </c>
      <c r="L56" s="4">
        <v>2</v>
      </c>
      <c r="M56" s="4">
        <v>7</v>
      </c>
      <c r="Q56">
        <v>26</v>
      </c>
      <c r="S56" s="26">
        <v>32</v>
      </c>
      <c r="T56" s="4">
        <v>1</v>
      </c>
    </row>
    <row r="57" spans="3:23">
      <c r="C57" s="3"/>
      <c r="F57" s="12">
        <v>128</v>
      </c>
      <c r="G57" s="62" t="s">
        <v>336</v>
      </c>
      <c r="H57" s="7">
        <f t="shared" si="0"/>
        <v>26</v>
      </c>
      <c r="I57" s="50">
        <v>41009.888888888891</v>
      </c>
      <c r="J57" s="58" t="s">
        <v>127</v>
      </c>
      <c r="K57" s="4">
        <f t="shared" si="1"/>
        <v>8</v>
      </c>
      <c r="L57" s="4">
        <v>2</v>
      </c>
      <c r="M57" s="4">
        <v>8</v>
      </c>
      <c r="Q57">
        <v>26</v>
      </c>
      <c r="S57" s="26">
        <v>33</v>
      </c>
      <c r="T57" s="4">
        <v>7</v>
      </c>
    </row>
    <row r="58" spans="3:23">
      <c r="C58" s="3"/>
      <c r="F58" s="12">
        <v>160</v>
      </c>
      <c r="G58" s="62" t="s">
        <v>336</v>
      </c>
      <c r="H58" s="7">
        <f t="shared" si="0"/>
        <v>26</v>
      </c>
      <c r="I58" s="50">
        <v>41024.636111111111</v>
      </c>
      <c r="J58" s="58" t="s">
        <v>169</v>
      </c>
      <c r="K58" s="4">
        <f t="shared" si="1"/>
        <v>9</v>
      </c>
      <c r="L58" s="4">
        <v>3</v>
      </c>
      <c r="M58" s="4">
        <v>9</v>
      </c>
      <c r="Q58">
        <v>26</v>
      </c>
      <c r="S58" s="26">
        <v>34</v>
      </c>
      <c r="T58" s="4">
        <v>5</v>
      </c>
    </row>
    <row r="59" spans="3:23">
      <c r="C59" s="3"/>
      <c r="F59" s="12">
        <v>162</v>
      </c>
      <c r="G59" s="62" t="s">
        <v>336</v>
      </c>
      <c r="H59" s="7">
        <f t="shared" si="0"/>
        <v>26</v>
      </c>
      <c r="I59" s="50">
        <v>41024.911111111112</v>
      </c>
      <c r="J59" s="58" t="s">
        <v>219</v>
      </c>
      <c r="K59" s="4">
        <f t="shared" si="1"/>
        <v>10</v>
      </c>
      <c r="L59" s="4">
        <v>3</v>
      </c>
      <c r="M59" s="4">
        <v>10</v>
      </c>
      <c r="Q59">
        <v>26</v>
      </c>
      <c r="S59" s="26">
        <v>35</v>
      </c>
      <c r="T59" s="4">
        <v>17</v>
      </c>
    </row>
    <row r="60" spans="3:23">
      <c r="C60" s="3"/>
      <c r="F60" s="12">
        <v>166</v>
      </c>
      <c r="G60" s="62" t="s">
        <v>336</v>
      </c>
      <c r="H60" s="7">
        <f t="shared" si="0"/>
        <v>26</v>
      </c>
      <c r="I60" s="50">
        <v>41029.450694444444</v>
      </c>
      <c r="J60" s="58" t="s">
        <v>243</v>
      </c>
      <c r="K60" s="4">
        <f t="shared" si="1"/>
        <v>11</v>
      </c>
      <c r="L60" s="4">
        <v>2</v>
      </c>
      <c r="M60" s="4">
        <v>11</v>
      </c>
      <c r="Q60">
        <v>26</v>
      </c>
      <c r="S60" s="26">
        <v>36</v>
      </c>
      <c r="T60" s="4">
        <v>1</v>
      </c>
    </row>
    <row r="61" spans="3:23">
      <c r="C61" s="3"/>
      <c r="F61" s="12">
        <v>168</v>
      </c>
      <c r="G61" s="62" t="s">
        <v>336</v>
      </c>
      <c r="H61" s="7">
        <f t="shared" si="0"/>
        <v>26</v>
      </c>
      <c r="I61" s="50">
        <v>41029.520833333336</v>
      </c>
      <c r="J61" s="58" t="s">
        <v>118</v>
      </c>
      <c r="K61" s="4">
        <f t="shared" si="1"/>
        <v>12</v>
      </c>
      <c r="L61" s="4">
        <v>5</v>
      </c>
      <c r="M61" s="4">
        <v>12</v>
      </c>
      <c r="Q61">
        <v>26</v>
      </c>
      <c r="S61" s="26">
        <v>37</v>
      </c>
      <c r="T61" s="4">
        <v>7</v>
      </c>
    </row>
    <row r="62" spans="3:23">
      <c r="C62" s="3"/>
      <c r="F62" s="12">
        <v>183</v>
      </c>
      <c r="G62" s="62" t="s">
        <v>336</v>
      </c>
      <c r="H62" s="7">
        <f t="shared" si="0"/>
        <v>26</v>
      </c>
      <c r="I62" s="50">
        <v>41036.728472222225</v>
      </c>
      <c r="J62" s="58" t="s">
        <v>155</v>
      </c>
      <c r="K62" s="4">
        <f t="shared" si="1"/>
        <v>13</v>
      </c>
      <c r="L62" s="4">
        <v>2</v>
      </c>
      <c r="M62" s="4">
        <v>13</v>
      </c>
      <c r="Q62">
        <v>26</v>
      </c>
      <c r="S62" s="26">
        <v>38</v>
      </c>
      <c r="T62" s="4">
        <v>1</v>
      </c>
    </row>
    <row r="63" spans="3:23">
      <c r="C63" s="3"/>
      <c r="F63" s="12">
        <v>187</v>
      </c>
      <c r="G63" s="62" t="s">
        <v>336</v>
      </c>
      <c r="H63" s="7">
        <f t="shared" si="0"/>
        <v>26</v>
      </c>
      <c r="I63" s="50">
        <v>41043.48333333333</v>
      </c>
      <c r="J63" s="58" t="s">
        <v>234</v>
      </c>
      <c r="K63" s="4">
        <f t="shared" si="1"/>
        <v>14</v>
      </c>
      <c r="L63" s="4">
        <v>2</v>
      </c>
      <c r="M63" s="4">
        <v>14</v>
      </c>
      <c r="Q63">
        <v>26</v>
      </c>
      <c r="S63" s="26">
        <v>39</v>
      </c>
      <c r="T63" s="4">
        <v>1</v>
      </c>
    </row>
    <row r="64" spans="3:23">
      <c r="C64" s="3"/>
      <c r="F64" s="12">
        <v>191</v>
      </c>
      <c r="G64" s="62" t="s">
        <v>336</v>
      </c>
      <c r="H64" s="7">
        <f t="shared" si="0"/>
        <v>26</v>
      </c>
      <c r="I64" s="50">
        <v>41044.59652777778</v>
      </c>
      <c r="J64" s="58" t="s">
        <v>1946</v>
      </c>
      <c r="K64" s="4">
        <f t="shared" si="1"/>
        <v>15</v>
      </c>
      <c r="L64" s="4">
        <v>2</v>
      </c>
      <c r="M64" s="4">
        <v>15</v>
      </c>
      <c r="Q64">
        <v>26</v>
      </c>
      <c r="S64" s="26">
        <v>40</v>
      </c>
      <c r="T64" s="4">
        <v>15</v>
      </c>
    </row>
    <row r="65" spans="3:20">
      <c r="C65" s="3"/>
      <c r="F65" s="12">
        <v>197</v>
      </c>
      <c r="G65" s="62" t="s">
        <v>336</v>
      </c>
      <c r="H65" s="7">
        <f t="shared" si="0"/>
        <v>26</v>
      </c>
      <c r="I65" s="50">
        <v>41050.595833333333</v>
      </c>
      <c r="J65" s="58" t="s">
        <v>202</v>
      </c>
      <c r="K65" s="4">
        <f t="shared" si="1"/>
        <v>16</v>
      </c>
      <c r="L65" s="4">
        <v>2</v>
      </c>
      <c r="M65" s="4">
        <v>16</v>
      </c>
      <c r="Q65">
        <v>26</v>
      </c>
      <c r="S65" s="26">
        <v>41</v>
      </c>
      <c r="T65" s="4">
        <v>3</v>
      </c>
    </row>
    <row r="66" spans="3:20">
      <c r="C66" s="3"/>
      <c r="F66" s="12">
        <v>201</v>
      </c>
      <c r="G66" s="62" t="s">
        <v>336</v>
      </c>
      <c r="H66" s="7">
        <f t="shared" ref="H66:H129" si="2">LOOKUP(G66,$N$2:$N$49,$O$2:$O$49)</f>
        <v>26</v>
      </c>
      <c r="I66" s="50">
        <v>41050.75277777778</v>
      </c>
      <c r="J66" s="58" t="s">
        <v>161</v>
      </c>
      <c r="K66" s="4">
        <f t="shared" ref="K66:K129" si="3">IF(Q66&gt;Q65,1,K65+1)</f>
        <v>17</v>
      </c>
      <c r="L66" s="4">
        <v>2</v>
      </c>
      <c r="M66" s="4">
        <v>17</v>
      </c>
      <c r="Q66">
        <v>26</v>
      </c>
      <c r="S66" s="26">
        <v>42</v>
      </c>
      <c r="T66" s="4">
        <v>1</v>
      </c>
    </row>
    <row r="67" spans="3:20">
      <c r="C67" s="3"/>
      <c r="F67" s="12">
        <v>207</v>
      </c>
      <c r="G67" s="62" t="s">
        <v>336</v>
      </c>
      <c r="H67" s="7">
        <f t="shared" si="2"/>
        <v>26</v>
      </c>
      <c r="I67" s="50">
        <v>41051.70208333333</v>
      </c>
      <c r="J67" s="58" t="s">
        <v>172</v>
      </c>
      <c r="K67" s="4">
        <f t="shared" si="3"/>
        <v>18</v>
      </c>
      <c r="L67" s="4">
        <v>2</v>
      </c>
      <c r="M67" s="4">
        <v>18</v>
      </c>
      <c r="Q67">
        <v>26</v>
      </c>
      <c r="S67" s="26">
        <v>43</v>
      </c>
      <c r="T67" s="4">
        <v>2</v>
      </c>
    </row>
    <row r="68" spans="3:20">
      <c r="C68" s="3"/>
      <c r="F68" s="12">
        <v>209</v>
      </c>
      <c r="G68" s="62" t="s">
        <v>336</v>
      </c>
      <c r="H68" s="7">
        <f t="shared" si="2"/>
        <v>26</v>
      </c>
      <c r="I68" s="50">
        <v>41052.723611111112</v>
      </c>
      <c r="J68" s="58" t="s">
        <v>178</v>
      </c>
      <c r="K68" s="4">
        <f t="shared" si="3"/>
        <v>19</v>
      </c>
      <c r="L68" s="4">
        <v>8</v>
      </c>
      <c r="M68" s="4">
        <v>19</v>
      </c>
      <c r="Q68">
        <v>26</v>
      </c>
      <c r="S68" s="26">
        <v>44</v>
      </c>
      <c r="T68" s="4">
        <v>1</v>
      </c>
    </row>
    <row r="69" spans="3:20">
      <c r="C69" s="3"/>
      <c r="F69" s="12">
        <v>218</v>
      </c>
      <c r="G69" s="62" t="s">
        <v>336</v>
      </c>
      <c r="H69" s="7">
        <f t="shared" si="2"/>
        <v>26</v>
      </c>
      <c r="I69" s="50">
        <v>41058.80972222222</v>
      </c>
      <c r="J69" s="58" t="s">
        <v>276</v>
      </c>
      <c r="K69" s="4">
        <f t="shared" si="3"/>
        <v>20</v>
      </c>
      <c r="L69" s="4">
        <v>9</v>
      </c>
      <c r="M69" s="4">
        <v>20</v>
      </c>
      <c r="Q69">
        <v>26</v>
      </c>
      <c r="S69" s="26">
        <v>45</v>
      </c>
      <c r="T69" s="4">
        <v>1</v>
      </c>
    </row>
    <row r="70" spans="3:20">
      <c r="C70" s="3"/>
      <c r="F70" s="12">
        <v>220</v>
      </c>
      <c r="G70" s="62" t="s">
        <v>336</v>
      </c>
      <c r="H70" s="7">
        <f t="shared" si="2"/>
        <v>26</v>
      </c>
      <c r="I70" s="50">
        <v>41059.599305555559</v>
      </c>
      <c r="J70" s="58" t="s">
        <v>204</v>
      </c>
      <c r="K70" s="4">
        <f t="shared" si="3"/>
        <v>21</v>
      </c>
      <c r="L70" s="4">
        <v>2</v>
      </c>
      <c r="M70" s="4">
        <v>21</v>
      </c>
      <c r="Q70">
        <v>26</v>
      </c>
      <c r="S70" s="26">
        <v>46</v>
      </c>
      <c r="T70" s="4">
        <v>4</v>
      </c>
    </row>
    <row r="71" spans="3:20">
      <c r="C71" s="3"/>
      <c r="F71" s="12">
        <v>229</v>
      </c>
      <c r="G71" s="62" t="s">
        <v>336</v>
      </c>
      <c r="H71" s="7">
        <f t="shared" si="2"/>
        <v>26</v>
      </c>
      <c r="I71" s="50">
        <v>41064.902777777781</v>
      </c>
      <c r="J71" s="58" t="s">
        <v>265</v>
      </c>
      <c r="K71" s="4">
        <f t="shared" si="3"/>
        <v>22</v>
      </c>
      <c r="L71" s="4">
        <v>2</v>
      </c>
      <c r="M71" s="4">
        <v>22</v>
      </c>
      <c r="Q71">
        <v>26</v>
      </c>
      <c r="S71" s="26">
        <v>47</v>
      </c>
      <c r="T71" s="4">
        <v>5</v>
      </c>
    </row>
    <row r="72" spans="3:20">
      <c r="C72" s="3"/>
      <c r="F72" s="12">
        <v>231</v>
      </c>
      <c r="G72" s="62" t="s">
        <v>336</v>
      </c>
      <c r="H72" s="7">
        <f t="shared" si="2"/>
        <v>26</v>
      </c>
      <c r="I72" s="50">
        <v>41065.640972222223</v>
      </c>
      <c r="J72" s="58" t="s">
        <v>94</v>
      </c>
      <c r="K72" s="4">
        <f t="shared" si="3"/>
        <v>23</v>
      </c>
      <c r="L72" s="4">
        <v>5</v>
      </c>
      <c r="M72" s="4">
        <v>23</v>
      </c>
      <c r="Q72">
        <v>26</v>
      </c>
      <c r="S72" s="26">
        <v>48</v>
      </c>
      <c r="T72" s="4">
        <v>9</v>
      </c>
    </row>
    <row r="73" spans="3:20">
      <c r="C73" s="3"/>
      <c r="F73" s="12">
        <v>235</v>
      </c>
      <c r="G73" s="62" t="s">
        <v>336</v>
      </c>
      <c r="H73" s="7">
        <f t="shared" si="2"/>
        <v>26</v>
      </c>
      <c r="I73" s="50">
        <v>41065.854166666664</v>
      </c>
      <c r="J73" s="58" t="s">
        <v>55</v>
      </c>
      <c r="K73" s="4">
        <f t="shared" si="3"/>
        <v>24</v>
      </c>
      <c r="L73" s="4">
        <v>9</v>
      </c>
      <c r="M73" s="4">
        <v>24</v>
      </c>
      <c r="Q73">
        <v>26</v>
      </c>
      <c r="S73" s="26" t="s">
        <v>1871</v>
      </c>
      <c r="T73" s="4">
        <v>258</v>
      </c>
    </row>
    <row r="74" spans="3:20">
      <c r="C74" s="3"/>
      <c r="F74" s="12">
        <v>237</v>
      </c>
      <c r="G74" s="62" t="s">
        <v>336</v>
      </c>
      <c r="H74" s="7">
        <f t="shared" si="2"/>
        <v>26</v>
      </c>
      <c r="I74" s="50">
        <v>41071.416666666664</v>
      </c>
      <c r="J74" s="58" t="s">
        <v>175</v>
      </c>
      <c r="K74" s="4">
        <f t="shared" si="3"/>
        <v>25</v>
      </c>
      <c r="L74" s="4">
        <v>2</v>
      </c>
      <c r="M74" s="4">
        <v>25</v>
      </c>
      <c r="Q74">
        <v>26</v>
      </c>
      <c r="S74" s="8"/>
    </row>
    <row r="75" spans="3:20">
      <c r="C75" s="3"/>
      <c r="F75" s="12">
        <v>239</v>
      </c>
      <c r="G75" s="62" t="s">
        <v>336</v>
      </c>
      <c r="H75" s="7">
        <f t="shared" si="2"/>
        <v>26</v>
      </c>
      <c r="I75" s="50">
        <v>41071.484027777777</v>
      </c>
      <c r="J75" s="58" t="s">
        <v>102</v>
      </c>
      <c r="K75" s="4">
        <f t="shared" si="3"/>
        <v>26</v>
      </c>
      <c r="L75" s="4">
        <v>9</v>
      </c>
      <c r="M75" s="4">
        <v>26</v>
      </c>
      <c r="Q75">
        <v>26</v>
      </c>
      <c r="S75" s="8"/>
    </row>
    <row r="76" spans="3:20">
      <c r="C76" s="3"/>
      <c r="F76" s="12">
        <v>241</v>
      </c>
      <c r="G76" s="62" t="s">
        <v>336</v>
      </c>
      <c r="H76" s="7">
        <f t="shared" si="2"/>
        <v>26</v>
      </c>
      <c r="I76" s="50">
        <v>41071.63958333333</v>
      </c>
      <c r="J76" s="58" t="s">
        <v>8</v>
      </c>
      <c r="K76" s="4">
        <f t="shared" si="3"/>
        <v>27</v>
      </c>
      <c r="L76" s="4">
        <v>20</v>
      </c>
      <c r="M76" s="4">
        <v>27</v>
      </c>
      <c r="Q76">
        <v>26</v>
      </c>
      <c r="S76" s="8"/>
    </row>
    <row r="77" spans="3:20">
      <c r="C77" s="3"/>
      <c r="F77" s="12">
        <v>243</v>
      </c>
      <c r="G77" s="62" t="s">
        <v>336</v>
      </c>
      <c r="H77" s="7">
        <f t="shared" si="2"/>
        <v>26</v>
      </c>
      <c r="I77" s="50">
        <v>41071.969444444447</v>
      </c>
      <c r="J77" s="58" t="s">
        <v>207</v>
      </c>
      <c r="K77" s="4">
        <f t="shared" si="3"/>
        <v>28</v>
      </c>
      <c r="L77" s="16">
        <v>2</v>
      </c>
      <c r="M77" s="4">
        <v>28</v>
      </c>
      <c r="Q77">
        <v>26</v>
      </c>
      <c r="S77" s="8"/>
    </row>
    <row r="78" spans="3:20">
      <c r="C78" s="3"/>
      <c r="F78" s="12">
        <v>252</v>
      </c>
      <c r="G78" s="62" t="s">
        <v>336</v>
      </c>
      <c r="H78" s="7">
        <f t="shared" si="2"/>
        <v>26</v>
      </c>
      <c r="I78" s="50">
        <v>41078.938194444447</v>
      </c>
      <c r="J78" s="58" t="s">
        <v>147</v>
      </c>
      <c r="K78" s="4">
        <f t="shared" si="3"/>
        <v>29</v>
      </c>
      <c r="L78" s="4">
        <v>2</v>
      </c>
      <c r="M78" s="4">
        <v>29</v>
      </c>
      <c r="Q78">
        <v>26</v>
      </c>
      <c r="S78" s="8"/>
    </row>
    <row r="79" spans="3:20">
      <c r="C79" s="3"/>
      <c r="F79" s="12">
        <v>2</v>
      </c>
      <c r="G79" s="63" t="s">
        <v>288</v>
      </c>
      <c r="H79" s="7">
        <f t="shared" si="2"/>
        <v>27</v>
      </c>
      <c r="I79" s="50">
        <v>40910.809027777781</v>
      </c>
      <c r="J79" s="58" t="s">
        <v>1141</v>
      </c>
      <c r="K79" s="4">
        <f t="shared" si="3"/>
        <v>1</v>
      </c>
      <c r="L79" s="4">
        <v>2</v>
      </c>
      <c r="M79" s="4">
        <v>1</v>
      </c>
      <c r="Q79">
        <v>27</v>
      </c>
      <c r="S79" s="8"/>
    </row>
    <row r="80" spans="3:20">
      <c r="C80" s="3"/>
      <c r="F80" s="12">
        <v>3</v>
      </c>
      <c r="G80" s="62" t="s">
        <v>288</v>
      </c>
      <c r="H80" s="7">
        <f t="shared" si="2"/>
        <v>27</v>
      </c>
      <c r="I80" s="50">
        <v>40910.395833333336</v>
      </c>
      <c r="J80" s="58" t="s">
        <v>1076</v>
      </c>
      <c r="K80" s="4">
        <f t="shared" si="3"/>
        <v>2</v>
      </c>
      <c r="L80" s="4">
        <v>2</v>
      </c>
      <c r="M80" s="4">
        <v>2</v>
      </c>
      <c r="Q80">
        <v>27</v>
      </c>
      <c r="S80" s="8"/>
    </row>
    <row r="81" spans="3:19">
      <c r="C81" s="3"/>
      <c r="F81" s="12">
        <v>7</v>
      </c>
      <c r="G81" s="62" t="s">
        <v>288</v>
      </c>
      <c r="H81" s="7">
        <f t="shared" si="2"/>
        <v>27</v>
      </c>
      <c r="I81" s="50">
        <v>40917.43472222222</v>
      </c>
      <c r="J81" s="58" t="s">
        <v>1138</v>
      </c>
      <c r="K81" s="4">
        <f t="shared" si="3"/>
        <v>3</v>
      </c>
      <c r="L81" s="4">
        <v>2</v>
      </c>
      <c r="M81" s="4">
        <v>3</v>
      </c>
      <c r="Q81">
        <v>27</v>
      </c>
      <c r="S81" s="8"/>
    </row>
    <row r="82" spans="3:19">
      <c r="C82" s="3"/>
      <c r="D82" s="1"/>
      <c r="F82" s="12">
        <v>9</v>
      </c>
      <c r="G82" s="62" t="s">
        <v>288</v>
      </c>
      <c r="H82" s="7">
        <f t="shared" si="2"/>
        <v>27</v>
      </c>
      <c r="I82" s="50">
        <v>40918.729861111111</v>
      </c>
      <c r="J82" s="58" t="s">
        <v>1301</v>
      </c>
      <c r="K82" s="4">
        <f t="shared" si="3"/>
        <v>4</v>
      </c>
      <c r="L82" s="4">
        <v>3</v>
      </c>
      <c r="M82" s="4">
        <v>4</v>
      </c>
      <c r="Q82">
        <v>27</v>
      </c>
      <c r="S82" s="8"/>
    </row>
    <row r="83" spans="3:19">
      <c r="C83" s="3"/>
      <c r="F83" s="12">
        <v>16</v>
      </c>
      <c r="G83" s="63" t="s">
        <v>288</v>
      </c>
      <c r="H83" s="7">
        <f t="shared" si="2"/>
        <v>27</v>
      </c>
      <c r="I83" s="50">
        <v>40925.411805555559</v>
      </c>
      <c r="J83" s="58" t="s">
        <v>1527</v>
      </c>
      <c r="K83" s="4">
        <f t="shared" si="3"/>
        <v>5</v>
      </c>
      <c r="L83" s="4">
        <v>2</v>
      </c>
      <c r="M83" s="4">
        <v>5</v>
      </c>
      <c r="Q83">
        <v>27</v>
      </c>
      <c r="S83" s="8"/>
    </row>
    <row r="84" spans="3:19">
      <c r="C84" s="3"/>
      <c r="F84" s="12">
        <v>17</v>
      </c>
      <c r="G84" s="62" t="s">
        <v>288</v>
      </c>
      <c r="H84" s="7">
        <f t="shared" si="2"/>
        <v>27</v>
      </c>
      <c r="I84" s="50">
        <v>40926.443055555559</v>
      </c>
      <c r="J84" s="58" t="s">
        <v>1146</v>
      </c>
      <c r="K84" s="4">
        <f t="shared" si="3"/>
        <v>6</v>
      </c>
      <c r="L84" s="4">
        <v>4</v>
      </c>
      <c r="M84" s="4">
        <v>6</v>
      </c>
      <c r="Q84">
        <v>27</v>
      </c>
      <c r="S84" s="8"/>
    </row>
    <row r="85" spans="3:19">
      <c r="C85" s="3"/>
      <c r="F85" s="12">
        <v>21</v>
      </c>
      <c r="G85" s="62" t="s">
        <v>288</v>
      </c>
      <c r="H85" s="7">
        <f t="shared" si="2"/>
        <v>27</v>
      </c>
      <c r="I85" s="50">
        <v>40931.647916666669</v>
      </c>
      <c r="J85" s="58" t="s">
        <v>612</v>
      </c>
      <c r="K85" s="4">
        <f t="shared" si="3"/>
        <v>7</v>
      </c>
      <c r="L85" s="4">
        <v>2</v>
      </c>
      <c r="M85" s="4">
        <v>7</v>
      </c>
      <c r="Q85">
        <v>27</v>
      </c>
      <c r="S85" s="8"/>
    </row>
    <row r="86" spans="3:19">
      <c r="C86" s="3"/>
      <c r="F86" s="12">
        <v>29</v>
      </c>
      <c r="G86" s="62" t="s">
        <v>288</v>
      </c>
      <c r="H86" s="7">
        <f t="shared" si="2"/>
        <v>27</v>
      </c>
      <c r="I86" s="50">
        <v>40934.60833333333</v>
      </c>
      <c r="J86" s="58" t="s">
        <v>444</v>
      </c>
      <c r="K86" s="4">
        <f t="shared" si="3"/>
        <v>8</v>
      </c>
      <c r="L86" s="4">
        <v>3</v>
      </c>
      <c r="M86" s="4">
        <v>8</v>
      </c>
      <c r="Q86">
        <v>27</v>
      </c>
      <c r="S86" s="8"/>
    </row>
    <row r="87" spans="3:19">
      <c r="C87" s="3"/>
      <c r="F87" s="12">
        <v>31</v>
      </c>
      <c r="G87" s="63" t="s">
        <v>288</v>
      </c>
      <c r="H87" s="7">
        <f t="shared" si="2"/>
        <v>27</v>
      </c>
      <c r="I87" s="50">
        <v>40935.731249999997</v>
      </c>
      <c r="J87" s="58" t="s">
        <v>356</v>
      </c>
      <c r="K87" s="4">
        <f t="shared" si="3"/>
        <v>9</v>
      </c>
      <c r="L87" s="4">
        <v>2</v>
      </c>
      <c r="M87" s="4">
        <v>9</v>
      </c>
      <c r="Q87">
        <v>27</v>
      </c>
      <c r="S87" s="8"/>
    </row>
    <row r="88" spans="3:19">
      <c r="C88" s="3"/>
      <c r="F88" s="12">
        <v>37</v>
      </c>
      <c r="G88" s="62" t="s">
        <v>288</v>
      </c>
      <c r="H88" s="7">
        <f t="shared" si="2"/>
        <v>27</v>
      </c>
      <c r="I88" s="50">
        <v>40938.620138888888</v>
      </c>
      <c r="J88" s="58" t="s">
        <v>737</v>
      </c>
      <c r="K88" s="4">
        <f t="shared" si="3"/>
        <v>10</v>
      </c>
      <c r="L88" s="4">
        <v>2</v>
      </c>
      <c r="M88" s="4">
        <v>10</v>
      </c>
      <c r="Q88">
        <v>27</v>
      </c>
      <c r="S88" s="8"/>
    </row>
    <row r="89" spans="3:19">
      <c r="C89" s="3"/>
      <c r="F89" s="12">
        <v>40</v>
      </c>
      <c r="G89" s="63" t="s">
        <v>288</v>
      </c>
      <c r="H89" s="7">
        <f t="shared" si="2"/>
        <v>27</v>
      </c>
      <c r="I89" s="50">
        <v>40938.73333333333</v>
      </c>
      <c r="J89" s="58" t="s">
        <v>766</v>
      </c>
      <c r="K89" s="4">
        <f t="shared" si="3"/>
        <v>11</v>
      </c>
      <c r="L89" s="4">
        <v>9</v>
      </c>
      <c r="M89" s="4">
        <v>11</v>
      </c>
      <c r="Q89">
        <v>27</v>
      </c>
      <c r="S89" s="8"/>
    </row>
    <row r="90" spans="3:19">
      <c r="C90" s="3"/>
      <c r="F90" s="12">
        <v>42</v>
      </c>
      <c r="G90" s="63" t="s">
        <v>288</v>
      </c>
      <c r="H90" s="7">
        <f t="shared" si="2"/>
        <v>27</v>
      </c>
      <c r="I90" s="50">
        <v>40945.615972222222</v>
      </c>
      <c r="J90" s="58" t="s">
        <v>1916</v>
      </c>
      <c r="K90" s="4">
        <f t="shared" si="3"/>
        <v>12</v>
      </c>
      <c r="L90" s="4">
        <v>2</v>
      </c>
      <c r="M90" s="4">
        <v>12</v>
      </c>
      <c r="Q90">
        <v>27</v>
      </c>
      <c r="S90" s="8"/>
    </row>
    <row r="91" spans="3:19">
      <c r="C91" s="3"/>
      <c r="F91" s="12">
        <v>44</v>
      </c>
      <c r="G91" s="63" t="s">
        <v>288</v>
      </c>
      <c r="H91" s="7">
        <f t="shared" si="2"/>
        <v>27</v>
      </c>
      <c r="I91" s="50">
        <v>40947.335416666669</v>
      </c>
      <c r="J91" s="58" t="s">
        <v>819</v>
      </c>
      <c r="K91" s="4">
        <f t="shared" si="3"/>
        <v>13</v>
      </c>
      <c r="L91" s="4">
        <v>2</v>
      </c>
      <c r="M91" s="4">
        <v>13</v>
      </c>
      <c r="Q91">
        <v>27</v>
      </c>
      <c r="S91" s="8"/>
    </row>
    <row r="92" spans="3:19">
      <c r="C92" s="3"/>
      <c r="F92" s="12">
        <v>45</v>
      </c>
      <c r="G92" s="63" t="s">
        <v>288</v>
      </c>
      <c r="H92" s="7">
        <f t="shared" si="2"/>
        <v>27</v>
      </c>
      <c r="I92" s="50">
        <v>40952.4375</v>
      </c>
      <c r="J92" s="58" t="s">
        <v>363</v>
      </c>
      <c r="K92" s="4">
        <f t="shared" si="3"/>
        <v>14</v>
      </c>
      <c r="L92" s="4">
        <v>2</v>
      </c>
      <c r="M92" s="4">
        <v>14</v>
      </c>
      <c r="Q92">
        <v>27</v>
      </c>
      <c r="S92" s="8"/>
    </row>
    <row r="93" spans="3:19">
      <c r="C93" s="3"/>
      <c r="F93" s="12">
        <v>47</v>
      </c>
      <c r="G93" s="62" t="s">
        <v>288</v>
      </c>
      <c r="H93" s="7">
        <f t="shared" si="2"/>
        <v>27</v>
      </c>
      <c r="I93" s="50">
        <v>40955.412499999999</v>
      </c>
      <c r="J93" s="58" t="s">
        <v>782</v>
      </c>
      <c r="K93" s="4">
        <f t="shared" si="3"/>
        <v>15</v>
      </c>
      <c r="L93" s="4">
        <v>8</v>
      </c>
      <c r="M93" s="4">
        <v>15</v>
      </c>
      <c r="Q93">
        <v>27</v>
      </c>
    </row>
    <row r="94" spans="3:19">
      <c r="C94" s="3"/>
      <c r="F94" s="12">
        <v>54</v>
      </c>
      <c r="G94" s="63" t="s">
        <v>288</v>
      </c>
      <c r="H94" s="7">
        <f t="shared" si="2"/>
        <v>27</v>
      </c>
      <c r="I94" s="50">
        <v>40958.42291666667</v>
      </c>
      <c r="J94" s="58" t="s">
        <v>656</v>
      </c>
      <c r="K94" s="4">
        <f t="shared" si="3"/>
        <v>16</v>
      </c>
      <c r="L94" s="4">
        <v>5</v>
      </c>
      <c r="M94" s="4">
        <v>16</v>
      </c>
      <c r="Q94">
        <v>27</v>
      </c>
    </row>
    <row r="95" spans="3:19">
      <c r="C95" s="3"/>
      <c r="F95" s="12">
        <v>68</v>
      </c>
      <c r="G95" s="63" t="s">
        <v>288</v>
      </c>
      <c r="H95" s="7">
        <f t="shared" si="2"/>
        <v>27</v>
      </c>
      <c r="I95" s="50">
        <v>40966.38958333333</v>
      </c>
      <c r="J95" s="58" t="s">
        <v>44</v>
      </c>
      <c r="K95" s="4">
        <f t="shared" si="3"/>
        <v>17</v>
      </c>
      <c r="L95" s="4">
        <v>2</v>
      </c>
      <c r="M95" s="4">
        <v>17</v>
      </c>
      <c r="Q95">
        <v>27</v>
      </c>
    </row>
    <row r="96" spans="3:19">
      <c r="C96" s="3"/>
      <c r="F96" s="12">
        <v>70</v>
      </c>
      <c r="G96" s="63" t="s">
        <v>288</v>
      </c>
      <c r="H96" s="7">
        <f t="shared" si="2"/>
        <v>27</v>
      </c>
      <c r="I96" s="50">
        <v>40967.851388888892</v>
      </c>
      <c r="J96" s="58" t="s">
        <v>11</v>
      </c>
      <c r="K96" s="4">
        <f t="shared" si="3"/>
        <v>18</v>
      </c>
      <c r="L96" s="4">
        <v>4</v>
      </c>
      <c r="M96" s="4">
        <v>18</v>
      </c>
      <c r="Q96">
        <v>27</v>
      </c>
    </row>
    <row r="97" spans="3:17">
      <c r="C97" s="3"/>
      <c r="F97" s="12">
        <v>71</v>
      </c>
      <c r="G97" s="62" t="s">
        <v>288</v>
      </c>
      <c r="H97" s="7">
        <f t="shared" si="2"/>
        <v>27</v>
      </c>
      <c r="I97" s="50">
        <v>40968.638888888891</v>
      </c>
      <c r="J97" s="58" t="s">
        <v>236</v>
      </c>
      <c r="K97" s="4">
        <f t="shared" si="3"/>
        <v>19</v>
      </c>
      <c r="L97" s="4">
        <v>3</v>
      </c>
      <c r="M97" s="4">
        <v>19</v>
      </c>
      <c r="Q97">
        <v>27</v>
      </c>
    </row>
    <row r="98" spans="3:17">
      <c r="C98" s="3"/>
      <c r="F98" s="12">
        <v>73</v>
      </c>
      <c r="G98" s="62" t="s">
        <v>288</v>
      </c>
      <c r="H98" s="7">
        <f t="shared" si="2"/>
        <v>27</v>
      </c>
      <c r="I98" s="50">
        <v>40969.923611111109</v>
      </c>
      <c r="J98" s="58" t="s">
        <v>90</v>
      </c>
      <c r="K98" s="4">
        <f t="shared" si="3"/>
        <v>20</v>
      </c>
      <c r="L98" s="4">
        <v>2</v>
      </c>
      <c r="M98" s="4">
        <v>20</v>
      </c>
      <c r="Q98">
        <v>27</v>
      </c>
    </row>
    <row r="99" spans="3:17">
      <c r="C99" s="3"/>
      <c r="F99" s="12">
        <v>75</v>
      </c>
      <c r="G99" s="63" t="s">
        <v>288</v>
      </c>
      <c r="H99" s="7">
        <f t="shared" si="2"/>
        <v>27</v>
      </c>
      <c r="I99" s="50">
        <v>40968.785416666666</v>
      </c>
      <c r="J99" s="58" t="s">
        <v>60</v>
      </c>
      <c r="K99" s="4">
        <f t="shared" si="3"/>
        <v>21</v>
      </c>
      <c r="L99" s="4">
        <v>4</v>
      </c>
      <c r="M99" s="4">
        <v>21</v>
      </c>
      <c r="Q99">
        <v>27</v>
      </c>
    </row>
    <row r="100" spans="3:17">
      <c r="C100" s="3"/>
      <c r="F100" s="12">
        <v>77</v>
      </c>
      <c r="G100" s="62" t="s">
        <v>288</v>
      </c>
      <c r="H100" s="7">
        <f t="shared" si="2"/>
        <v>27</v>
      </c>
      <c r="I100" s="50">
        <v>40969.943055555559</v>
      </c>
      <c r="J100" s="58" t="s">
        <v>215</v>
      </c>
      <c r="K100" s="4">
        <f t="shared" si="3"/>
        <v>22</v>
      </c>
      <c r="L100" s="4">
        <v>2</v>
      </c>
      <c r="M100" s="4">
        <v>22</v>
      </c>
      <c r="Q100">
        <v>27</v>
      </c>
    </row>
    <row r="101" spans="3:17">
      <c r="C101" s="3"/>
      <c r="F101" s="12">
        <v>81</v>
      </c>
      <c r="G101" s="62" t="s">
        <v>288</v>
      </c>
      <c r="H101" s="7">
        <f t="shared" si="2"/>
        <v>27</v>
      </c>
      <c r="I101" s="50">
        <v>40970.750694444447</v>
      </c>
      <c r="J101" s="58" t="s">
        <v>149</v>
      </c>
      <c r="K101" s="4">
        <f t="shared" si="3"/>
        <v>23</v>
      </c>
      <c r="L101" s="4">
        <v>2</v>
      </c>
      <c r="M101" s="4">
        <v>23</v>
      </c>
      <c r="Q101">
        <v>27</v>
      </c>
    </row>
    <row r="102" spans="3:17">
      <c r="C102" s="3"/>
      <c r="F102" s="12">
        <v>83</v>
      </c>
      <c r="G102" s="62" t="s">
        <v>288</v>
      </c>
      <c r="H102" s="7">
        <f t="shared" si="2"/>
        <v>27</v>
      </c>
      <c r="I102" s="50">
        <v>40973.425694444442</v>
      </c>
      <c r="J102" s="58" t="s">
        <v>69</v>
      </c>
      <c r="K102" s="4">
        <f t="shared" si="3"/>
        <v>24</v>
      </c>
      <c r="L102" s="4">
        <v>2</v>
      </c>
      <c r="M102" s="4">
        <v>24</v>
      </c>
      <c r="Q102">
        <v>27</v>
      </c>
    </row>
    <row r="103" spans="3:17">
      <c r="C103" s="3"/>
      <c r="F103" s="12">
        <v>86</v>
      </c>
      <c r="G103" s="63" t="s">
        <v>288</v>
      </c>
      <c r="H103" s="7">
        <f t="shared" si="2"/>
        <v>27</v>
      </c>
      <c r="I103" s="50">
        <v>40973.679166666669</v>
      </c>
      <c r="J103" s="58" t="s">
        <v>256</v>
      </c>
      <c r="K103" s="4">
        <f t="shared" si="3"/>
        <v>25</v>
      </c>
      <c r="L103" s="4">
        <v>9</v>
      </c>
      <c r="M103" s="4">
        <v>25</v>
      </c>
      <c r="Q103">
        <v>27</v>
      </c>
    </row>
    <row r="104" spans="3:17">
      <c r="C104" s="3"/>
      <c r="F104" s="12">
        <v>87</v>
      </c>
      <c r="G104" s="62" t="s">
        <v>288</v>
      </c>
      <c r="H104" s="7">
        <f t="shared" si="2"/>
        <v>27</v>
      </c>
      <c r="I104" s="50">
        <v>40973.811805555553</v>
      </c>
      <c r="J104" s="58" t="s">
        <v>120</v>
      </c>
      <c r="K104" s="4">
        <f t="shared" si="3"/>
        <v>26</v>
      </c>
      <c r="L104" s="4">
        <v>5</v>
      </c>
      <c r="M104" s="4">
        <v>26</v>
      </c>
      <c r="Q104">
        <v>27</v>
      </c>
    </row>
    <row r="105" spans="3:17">
      <c r="C105" s="3"/>
      <c r="F105" s="12">
        <v>89</v>
      </c>
      <c r="G105" s="62" t="s">
        <v>288</v>
      </c>
      <c r="H105" s="7">
        <f t="shared" si="2"/>
        <v>27</v>
      </c>
      <c r="I105" s="50">
        <v>40977.926388888889</v>
      </c>
      <c r="J105" s="58" t="s">
        <v>1</v>
      </c>
      <c r="K105" s="4">
        <f t="shared" si="3"/>
        <v>27</v>
      </c>
      <c r="L105" s="4">
        <v>2</v>
      </c>
      <c r="M105" s="4">
        <v>27</v>
      </c>
      <c r="Q105">
        <v>27</v>
      </c>
    </row>
    <row r="106" spans="3:17">
      <c r="C106" s="3"/>
      <c r="F106" s="12">
        <v>91</v>
      </c>
      <c r="G106" s="62" t="s">
        <v>288</v>
      </c>
      <c r="H106" s="7">
        <f t="shared" si="2"/>
        <v>27</v>
      </c>
      <c r="I106" s="50">
        <v>40978.484027777777</v>
      </c>
      <c r="J106" s="58" t="s">
        <v>248</v>
      </c>
      <c r="K106" s="4">
        <f t="shared" si="3"/>
        <v>28</v>
      </c>
      <c r="L106" s="4">
        <v>2</v>
      </c>
      <c r="M106" s="4">
        <v>28</v>
      </c>
      <c r="Q106">
        <v>27</v>
      </c>
    </row>
    <row r="107" spans="3:17">
      <c r="C107" s="3"/>
      <c r="F107" s="12">
        <v>97</v>
      </c>
      <c r="G107" s="62" t="s">
        <v>288</v>
      </c>
      <c r="H107" s="7">
        <f t="shared" si="2"/>
        <v>27</v>
      </c>
      <c r="I107" s="50">
        <v>40983.663194444445</v>
      </c>
      <c r="J107" s="58" t="s">
        <v>269</v>
      </c>
      <c r="K107" s="4">
        <f t="shared" si="3"/>
        <v>29</v>
      </c>
      <c r="L107" s="4">
        <v>2</v>
      </c>
      <c r="M107" s="4">
        <v>29</v>
      </c>
      <c r="Q107">
        <v>27</v>
      </c>
    </row>
    <row r="108" spans="3:17">
      <c r="C108" s="3"/>
      <c r="F108" s="12">
        <v>100</v>
      </c>
      <c r="G108" s="62" t="s">
        <v>288</v>
      </c>
      <c r="H108" s="7">
        <f t="shared" si="2"/>
        <v>27</v>
      </c>
      <c r="I108" s="50">
        <v>40987.399305555555</v>
      </c>
      <c r="J108" s="58" t="s">
        <v>76</v>
      </c>
      <c r="K108" s="4">
        <f t="shared" si="3"/>
        <v>30</v>
      </c>
      <c r="L108" s="4">
        <v>2</v>
      </c>
      <c r="M108" s="4">
        <v>30</v>
      </c>
      <c r="Q108">
        <v>27</v>
      </c>
    </row>
    <row r="109" spans="3:17">
      <c r="C109" s="3"/>
      <c r="F109" s="12">
        <v>103</v>
      </c>
      <c r="G109" s="62" t="s">
        <v>288</v>
      </c>
      <c r="H109" s="7">
        <f t="shared" si="2"/>
        <v>27</v>
      </c>
      <c r="I109" s="50">
        <v>40990.456250000003</v>
      </c>
      <c r="J109" s="58" t="s">
        <v>195</v>
      </c>
      <c r="K109" s="4">
        <f t="shared" si="3"/>
        <v>31</v>
      </c>
      <c r="L109" s="4">
        <v>3</v>
      </c>
      <c r="M109" s="4">
        <v>31</v>
      </c>
      <c r="Q109">
        <v>27</v>
      </c>
    </row>
    <row r="110" spans="3:17">
      <c r="C110" s="3"/>
      <c r="F110" s="12">
        <v>105</v>
      </c>
      <c r="G110" s="62" t="s">
        <v>288</v>
      </c>
      <c r="H110" s="7">
        <f t="shared" si="2"/>
        <v>27</v>
      </c>
      <c r="I110" s="50">
        <v>40994.488888888889</v>
      </c>
      <c r="J110" s="58" t="s">
        <v>272</v>
      </c>
      <c r="K110" s="4">
        <f t="shared" si="3"/>
        <v>32</v>
      </c>
      <c r="L110" s="4">
        <v>2</v>
      </c>
      <c r="M110" s="4">
        <v>32</v>
      </c>
      <c r="Q110">
        <v>27</v>
      </c>
    </row>
    <row r="111" spans="3:17">
      <c r="C111" s="3"/>
      <c r="F111" s="12">
        <v>107</v>
      </c>
      <c r="G111" s="62" t="s">
        <v>288</v>
      </c>
      <c r="H111" s="7">
        <f t="shared" si="2"/>
        <v>27</v>
      </c>
      <c r="I111" s="50">
        <v>40994.488888888889</v>
      </c>
      <c r="J111" s="58" t="s">
        <v>143</v>
      </c>
      <c r="K111" s="4">
        <f t="shared" si="3"/>
        <v>33</v>
      </c>
      <c r="L111" s="4">
        <v>2</v>
      </c>
      <c r="M111" s="4">
        <v>33</v>
      </c>
      <c r="Q111">
        <v>27</v>
      </c>
    </row>
    <row r="112" spans="3:17">
      <c r="C112" s="3"/>
      <c r="F112" s="12">
        <v>110</v>
      </c>
      <c r="G112" s="62" t="s">
        <v>288</v>
      </c>
      <c r="H112" s="7">
        <f t="shared" si="2"/>
        <v>27</v>
      </c>
      <c r="I112" s="50">
        <v>40995.789583333331</v>
      </c>
      <c r="J112" s="58" t="s">
        <v>184</v>
      </c>
      <c r="K112" s="4">
        <f t="shared" si="3"/>
        <v>34</v>
      </c>
      <c r="L112" s="4">
        <v>5</v>
      </c>
      <c r="M112" s="4">
        <v>34</v>
      </c>
      <c r="Q112">
        <v>27</v>
      </c>
    </row>
    <row r="113" spans="3:17">
      <c r="C113" s="3"/>
      <c r="F113" s="12">
        <v>117</v>
      </c>
      <c r="G113" s="62" t="s">
        <v>288</v>
      </c>
      <c r="H113" s="7">
        <f t="shared" si="2"/>
        <v>27</v>
      </c>
      <c r="I113" s="50">
        <v>41000.388888888891</v>
      </c>
      <c r="J113" s="58" t="s">
        <v>19</v>
      </c>
      <c r="K113" s="4">
        <f t="shared" si="3"/>
        <v>35</v>
      </c>
      <c r="L113" s="4">
        <v>6</v>
      </c>
      <c r="M113" s="4">
        <v>35</v>
      </c>
      <c r="Q113">
        <v>27</v>
      </c>
    </row>
    <row r="114" spans="3:17">
      <c r="C114" s="3"/>
      <c r="F114" s="12">
        <v>119</v>
      </c>
      <c r="G114" s="62" t="s">
        <v>288</v>
      </c>
      <c r="H114" s="7">
        <f t="shared" si="2"/>
        <v>27</v>
      </c>
      <c r="I114" s="50">
        <v>41001.488888888889</v>
      </c>
      <c r="J114" s="58" t="s">
        <v>13</v>
      </c>
      <c r="K114" s="4">
        <f t="shared" si="3"/>
        <v>36</v>
      </c>
      <c r="L114" s="4">
        <v>2</v>
      </c>
      <c r="M114" s="4">
        <v>36</v>
      </c>
      <c r="Q114">
        <v>27</v>
      </c>
    </row>
    <row r="115" spans="3:17">
      <c r="C115" s="3"/>
      <c r="F115" s="12">
        <v>121</v>
      </c>
      <c r="G115" s="62" t="s">
        <v>288</v>
      </c>
      <c r="H115" s="7">
        <f t="shared" si="2"/>
        <v>27</v>
      </c>
      <c r="I115" s="50">
        <v>40994.454861111109</v>
      </c>
      <c r="J115" s="58" t="s">
        <v>22</v>
      </c>
      <c r="K115" s="4">
        <f t="shared" si="3"/>
        <v>37</v>
      </c>
      <c r="L115" s="4">
        <v>2</v>
      </c>
      <c r="M115" s="4">
        <v>37</v>
      </c>
      <c r="Q115">
        <v>27</v>
      </c>
    </row>
    <row r="116" spans="3:17">
      <c r="C116" s="3"/>
      <c r="F116" s="12">
        <v>123</v>
      </c>
      <c r="G116" s="62" t="s">
        <v>288</v>
      </c>
      <c r="H116" s="7">
        <f t="shared" si="2"/>
        <v>27</v>
      </c>
      <c r="I116" s="50">
        <v>41005.688888888886</v>
      </c>
      <c r="J116" s="58" t="s">
        <v>1944</v>
      </c>
      <c r="K116" s="4">
        <f t="shared" si="3"/>
        <v>38</v>
      </c>
      <c r="L116" s="4">
        <v>3</v>
      </c>
      <c r="M116" s="4">
        <v>38</v>
      </c>
      <c r="Q116">
        <v>27</v>
      </c>
    </row>
    <row r="117" spans="3:17">
      <c r="C117" s="3"/>
      <c r="F117" s="12">
        <v>127</v>
      </c>
      <c r="G117" s="62" t="s">
        <v>288</v>
      </c>
      <c r="H117" s="7">
        <f t="shared" si="2"/>
        <v>27</v>
      </c>
      <c r="I117" s="50">
        <v>41008.398611111108</v>
      </c>
      <c r="J117" s="58" t="s">
        <v>126</v>
      </c>
      <c r="K117" s="4">
        <f t="shared" si="3"/>
        <v>39</v>
      </c>
      <c r="L117" s="4">
        <v>2</v>
      </c>
      <c r="M117" s="4">
        <v>39</v>
      </c>
      <c r="Q117">
        <v>27</v>
      </c>
    </row>
    <row r="118" spans="3:17">
      <c r="C118" s="3"/>
      <c r="F118" s="12">
        <v>133</v>
      </c>
      <c r="G118" s="62" t="s">
        <v>288</v>
      </c>
      <c r="H118" s="7">
        <f t="shared" si="2"/>
        <v>27</v>
      </c>
      <c r="I118" s="50">
        <v>41013.315972222219</v>
      </c>
      <c r="J118" s="58" t="s">
        <v>186</v>
      </c>
      <c r="K118" s="4">
        <f t="shared" si="3"/>
        <v>40</v>
      </c>
      <c r="L118" s="4">
        <v>2</v>
      </c>
      <c r="M118" s="4">
        <v>40</v>
      </c>
      <c r="Q118">
        <v>27</v>
      </c>
    </row>
    <row r="119" spans="3:17">
      <c r="C119" s="3"/>
      <c r="F119" s="12">
        <v>135</v>
      </c>
      <c r="G119" s="62" t="s">
        <v>288</v>
      </c>
      <c r="H119" s="7">
        <f t="shared" si="2"/>
        <v>27</v>
      </c>
      <c r="I119" s="50">
        <v>41013.918055555558</v>
      </c>
      <c r="J119" s="58" t="s">
        <v>51</v>
      </c>
      <c r="K119" s="4">
        <f t="shared" si="3"/>
        <v>41</v>
      </c>
      <c r="L119" s="4">
        <v>2</v>
      </c>
      <c r="M119" s="4">
        <v>41</v>
      </c>
      <c r="Q119">
        <v>27</v>
      </c>
    </row>
    <row r="120" spans="3:17">
      <c r="C120" s="3"/>
      <c r="F120" s="12">
        <v>146</v>
      </c>
      <c r="G120" s="63" t="s">
        <v>288</v>
      </c>
      <c r="H120" s="7">
        <f t="shared" si="2"/>
        <v>27</v>
      </c>
      <c r="I120" s="50">
        <v>41015.884722222225</v>
      </c>
      <c r="J120" s="58" t="s">
        <v>222</v>
      </c>
      <c r="K120" s="4">
        <f t="shared" si="3"/>
        <v>42</v>
      </c>
      <c r="L120" s="4">
        <v>2</v>
      </c>
      <c r="M120" s="4">
        <v>42</v>
      </c>
      <c r="Q120">
        <v>27</v>
      </c>
    </row>
    <row r="121" spans="3:17">
      <c r="C121" s="3"/>
      <c r="F121" s="12">
        <v>147</v>
      </c>
      <c r="G121" s="62" t="s">
        <v>288</v>
      </c>
      <c r="H121" s="7">
        <f t="shared" si="2"/>
        <v>27</v>
      </c>
      <c r="I121" s="50">
        <v>41016.488888888889</v>
      </c>
      <c r="J121" s="58" t="s">
        <v>1945</v>
      </c>
      <c r="K121" s="4">
        <f t="shared" si="3"/>
        <v>43</v>
      </c>
      <c r="L121" s="4">
        <v>2</v>
      </c>
      <c r="M121" s="4">
        <v>43</v>
      </c>
      <c r="Q121">
        <v>27</v>
      </c>
    </row>
    <row r="122" spans="3:17">
      <c r="C122" s="3"/>
      <c r="F122" s="12">
        <v>150</v>
      </c>
      <c r="G122" s="63" t="s">
        <v>288</v>
      </c>
      <c r="H122" s="7">
        <f t="shared" si="2"/>
        <v>27</v>
      </c>
      <c r="I122" s="50">
        <v>41018.561111111114</v>
      </c>
      <c r="J122" s="58" t="s">
        <v>32</v>
      </c>
      <c r="K122" s="4">
        <f t="shared" si="3"/>
        <v>44</v>
      </c>
      <c r="L122" s="4">
        <v>2</v>
      </c>
      <c r="M122" s="4">
        <v>44</v>
      </c>
      <c r="Q122">
        <v>27</v>
      </c>
    </row>
    <row r="123" spans="3:17">
      <c r="C123" s="3"/>
      <c r="F123" s="12">
        <v>154</v>
      </c>
      <c r="G123" s="63" t="s">
        <v>288</v>
      </c>
      <c r="H123" s="7">
        <f t="shared" si="2"/>
        <v>27</v>
      </c>
      <c r="I123" s="50">
        <v>41022.647222222222</v>
      </c>
      <c r="J123" s="58" t="s">
        <v>58</v>
      </c>
      <c r="K123" s="4">
        <f t="shared" si="3"/>
        <v>45</v>
      </c>
      <c r="L123" s="4">
        <v>2</v>
      </c>
      <c r="M123" s="4">
        <v>45</v>
      </c>
      <c r="Q123">
        <v>27</v>
      </c>
    </row>
    <row r="124" spans="3:17">
      <c r="C124" s="3"/>
      <c r="F124" s="12">
        <v>159</v>
      </c>
      <c r="G124" s="62" t="s">
        <v>288</v>
      </c>
      <c r="H124" s="7">
        <f t="shared" si="2"/>
        <v>27</v>
      </c>
      <c r="I124" s="50">
        <v>41024.42291666667</v>
      </c>
      <c r="J124" s="58" t="s">
        <v>168</v>
      </c>
      <c r="K124" s="4">
        <f t="shared" si="3"/>
        <v>46</v>
      </c>
      <c r="L124" s="4">
        <v>2</v>
      </c>
      <c r="M124" s="4">
        <v>46</v>
      </c>
      <c r="Q124">
        <v>27</v>
      </c>
    </row>
    <row r="125" spans="3:17">
      <c r="C125" s="3"/>
      <c r="F125" s="12">
        <v>161</v>
      </c>
      <c r="G125" s="62" t="s">
        <v>288</v>
      </c>
      <c r="H125" s="7">
        <f t="shared" si="2"/>
        <v>27</v>
      </c>
      <c r="I125" s="50">
        <v>41018.743055555555</v>
      </c>
      <c r="J125" s="58" t="s">
        <v>218</v>
      </c>
      <c r="K125" s="4">
        <f t="shared" si="3"/>
        <v>47</v>
      </c>
      <c r="L125" s="4">
        <v>2</v>
      </c>
      <c r="M125" s="4">
        <v>47</v>
      </c>
      <c r="Q125">
        <v>27</v>
      </c>
    </row>
    <row r="126" spans="3:17">
      <c r="C126" s="3"/>
      <c r="F126" s="12">
        <v>164</v>
      </c>
      <c r="G126" s="63" t="s">
        <v>288</v>
      </c>
      <c r="H126" s="7">
        <f t="shared" si="2"/>
        <v>27</v>
      </c>
      <c r="I126" s="50">
        <v>41024.956250000003</v>
      </c>
      <c r="J126" s="58" t="s">
        <v>246</v>
      </c>
      <c r="K126" s="4">
        <f t="shared" si="3"/>
        <v>48</v>
      </c>
      <c r="L126" s="4">
        <v>2</v>
      </c>
      <c r="M126" s="4">
        <v>48</v>
      </c>
      <c r="Q126">
        <v>27</v>
      </c>
    </row>
    <row r="127" spans="3:17">
      <c r="C127" s="3"/>
      <c r="F127" s="12">
        <v>165</v>
      </c>
      <c r="G127" s="62" t="s">
        <v>288</v>
      </c>
      <c r="H127" s="7">
        <f t="shared" si="2"/>
        <v>27</v>
      </c>
      <c r="I127" s="50">
        <v>41026.67291666667</v>
      </c>
      <c r="J127" s="58" t="s">
        <v>242</v>
      </c>
      <c r="K127" s="4">
        <f t="shared" si="3"/>
        <v>49</v>
      </c>
      <c r="L127" s="4">
        <v>5</v>
      </c>
      <c r="M127" s="4">
        <v>49</v>
      </c>
      <c r="Q127">
        <v>27</v>
      </c>
    </row>
    <row r="128" spans="3:17">
      <c r="C128" s="3"/>
      <c r="F128" s="12">
        <v>167</v>
      </c>
      <c r="G128" s="63" t="s">
        <v>288</v>
      </c>
      <c r="H128" s="7">
        <f t="shared" si="2"/>
        <v>27</v>
      </c>
      <c r="I128" s="50">
        <v>41029.450694444444</v>
      </c>
      <c r="J128" s="58" t="s">
        <v>117</v>
      </c>
      <c r="K128" s="4">
        <f t="shared" si="3"/>
        <v>50</v>
      </c>
      <c r="L128" s="4">
        <v>2</v>
      </c>
      <c r="M128" s="4">
        <v>50</v>
      </c>
      <c r="Q128">
        <v>27</v>
      </c>
    </row>
    <row r="129" spans="3:17">
      <c r="C129" s="3"/>
      <c r="F129" s="12">
        <v>175</v>
      </c>
      <c r="G129" s="62" t="s">
        <v>288</v>
      </c>
      <c r="H129" s="7">
        <f t="shared" si="2"/>
        <v>27</v>
      </c>
      <c r="I129" s="50">
        <v>41033.542361111111</v>
      </c>
      <c r="J129" s="58" t="s">
        <v>87</v>
      </c>
      <c r="K129" s="4">
        <f t="shared" si="3"/>
        <v>51</v>
      </c>
      <c r="L129" s="4">
        <v>4</v>
      </c>
      <c r="M129" s="4">
        <v>51</v>
      </c>
      <c r="Q129">
        <v>27</v>
      </c>
    </row>
    <row r="130" spans="3:17">
      <c r="C130" s="3"/>
      <c r="F130" s="12">
        <v>179</v>
      </c>
      <c r="G130" s="63" t="s">
        <v>288</v>
      </c>
      <c r="H130" s="7">
        <f t="shared" ref="H130:H193" si="4">LOOKUP(G130,$N$2:$N$49,$O$2:$O$49)</f>
        <v>27</v>
      </c>
      <c r="I130" s="50">
        <v>41036.455555555556</v>
      </c>
      <c r="J130" s="58" t="s">
        <v>29</v>
      </c>
      <c r="K130" s="4">
        <f t="shared" ref="K130:K193" si="5">IF(Q130&gt;Q129,1,K129+1)</f>
        <v>52</v>
      </c>
      <c r="L130" s="4">
        <v>2</v>
      </c>
      <c r="M130" s="4">
        <v>52</v>
      </c>
      <c r="Q130">
        <v>27</v>
      </c>
    </row>
    <row r="131" spans="3:17">
      <c r="C131" s="3"/>
      <c r="F131" s="12">
        <v>181</v>
      </c>
      <c r="G131" s="63" t="s">
        <v>288</v>
      </c>
      <c r="H131" s="7">
        <f t="shared" si="4"/>
        <v>27</v>
      </c>
      <c r="I131" s="50">
        <v>41036.570833333331</v>
      </c>
      <c r="J131" s="58" t="s">
        <v>64</v>
      </c>
      <c r="K131" s="4">
        <f t="shared" si="5"/>
        <v>53</v>
      </c>
      <c r="L131" s="4">
        <v>9</v>
      </c>
      <c r="M131" s="4">
        <v>53</v>
      </c>
      <c r="Q131">
        <v>27</v>
      </c>
    </row>
    <row r="132" spans="3:17">
      <c r="C132" s="3"/>
      <c r="F132" s="12">
        <v>182</v>
      </c>
      <c r="G132" s="62" t="s">
        <v>288</v>
      </c>
      <c r="H132" s="7">
        <f t="shared" si="4"/>
        <v>27</v>
      </c>
      <c r="I132" s="50">
        <v>41036.570833333331</v>
      </c>
      <c r="J132" s="58" t="s">
        <v>154</v>
      </c>
      <c r="K132" s="4">
        <f t="shared" si="5"/>
        <v>54</v>
      </c>
      <c r="L132" s="4">
        <v>9</v>
      </c>
      <c r="M132" s="4">
        <v>54</v>
      </c>
      <c r="Q132">
        <v>27</v>
      </c>
    </row>
    <row r="133" spans="3:17">
      <c r="C133" s="3"/>
      <c r="F133" s="12">
        <v>184</v>
      </c>
      <c r="G133" s="62" t="s">
        <v>288</v>
      </c>
      <c r="H133" s="7">
        <f t="shared" si="4"/>
        <v>27</v>
      </c>
      <c r="I133" s="50">
        <v>41036.745833333334</v>
      </c>
      <c r="J133" s="58" t="s">
        <v>157</v>
      </c>
      <c r="K133" s="4">
        <f t="shared" si="5"/>
        <v>55</v>
      </c>
      <c r="L133" s="4">
        <v>2</v>
      </c>
      <c r="M133" s="4">
        <v>55</v>
      </c>
      <c r="Q133">
        <v>27</v>
      </c>
    </row>
    <row r="134" spans="3:17">
      <c r="C134" s="3"/>
      <c r="F134" s="12">
        <v>186</v>
      </c>
      <c r="G134" s="62" t="s">
        <v>288</v>
      </c>
      <c r="H134" s="7">
        <f t="shared" si="4"/>
        <v>27</v>
      </c>
      <c r="I134" s="50">
        <v>41038.575694444444</v>
      </c>
      <c r="J134" s="58" t="s">
        <v>233</v>
      </c>
      <c r="K134" s="4">
        <f t="shared" si="5"/>
        <v>56</v>
      </c>
      <c r="L134" s="4">
        <v>2</v>
      </c>
      <c r="M134" s="4">
        <v>56</v>
      </c>
      <c r="Q134">
        <v>27</v>
      </c>
    </row>
    <row r="135" spans="3:17">
      <c r="C135" s="3"/>
      <c r="F135" s="12">
        <v>189</v>
      </c>
      <c r="G135" s="63" t="s">
        <v>288</v>
      </c>
      <c r="H135" s="7">
        <f t="shared" si="4"/>
        <v>27</v>
      </c>
      <c r="I135" s="50">
        <v>41043.48333333333</v>
      </c>
      <c r="J135" s="58" t="s">
        <v>17</v>
      </c>
      <c r="K135" s="4">
        <f t="shared" si="5"/>
        <v>57</v>
      </c>
      <c r="L135" s="4">
        <v>2</v>
      </c>
      <c r="M135" s="4">
        <v>57</v>
      </c>
      <c r="Q135">
        <v>27</v>
      </c>
    </row>
    <row r="136" spans="3:17">
      <c r="C136" s="3"/>
      <c r="F136" s="12">
        <v>190</v>
      </c>
      <c r="G136" s="62" t="s">
        <v>288</v>
      </c>
      <c r="H136" s="7">
        <f t="shared" si="4"/>
        <v>27</v>
      </c>
      <c r="I136" s="50">
        <v>41043.793055555558</v>
      </c>
      <c r="J136" s="58" t="s">
        <v>115</v>
      </c>
      <c r="K136" s="4">
        <f t="shared" si="5"/>
        <v>58</v>
      </c>
      <c r="L136" s="4">
        <v>3</v>
      </c>
      <c r="M136" s="4">
        <v>58</v>
      </c>
      <c r="Q136">
        <v>27</v>
      </c>
    </row>
    <row r="137" spans="3:17">
      <c r="C137" s="3"/>
      <c r="F137" s="12">
        <v>192</v>
      </c>
      <c r="G137" s="62" t="s">
        <v>288</v>
      </c>
      <c r="H137" s="7">
        <f t="shared" si="4"/>
        <v>27</v>
      </c>
      <c r="I137" s="50">
        <v>41044.958333333336</v>
      </c>
      <c r="J137" s="58" t="s">
        <v>135</v>
      </c>
      <c r="K137" s="4">
        <f t="shared" si="5"/>
        <v>59</v>
      </c>
      <c r="L137" s="4">
        <v>2</v>
      </c>
      <c r="M137" s="4">
        <v>59</v>
      </c>
      <c r="Q137">
        <v>27</v>
      </c>
    </row>
    <row r="138" spans="3:17">
      <c r="C138" s="3"/>
      <c r="F138" s="12">
        <v>196</v>
      </c>
      <c r="G138" s="62" t="s">
        <v>288</v>
      </c>
      <c r="H138" s="7">
        <f t="shared" si="4"/>
        <v>27</v>
      </c>
      <c r="I138" s="50">
        <v>41047.689583333333</v>
      </c>
      <c r="J138" s="58" t="s">
        <v>201</v>
      </c>
      <c r="K138" s="4">
        <f t="shared" si="5"/>
        <v>60</v>
      </c>
      <c r="L138" s="4">
        <v>27</v>
      </c>
      <c r="M138" s="4">
        <v>60</v>
      </c>
      <c r="Q138">
        <v>27</v>
      </c>
    </row>
    <row r="139" spans="3:17">
      <c r="C139" s="3"/>
      <c r="F139" s="12">
        <v>198</v>
      </c>
      <c r="G139" s="62" t="s">
        <v>288</v>
      </c>
      <c r="H139" s="7">
        <f t="shared" si="4"/>
        <v>27</v>
      </c>
      <c r="I139" s="50">
        <v>41050.595833333333</v>
      </c>
      <c r="J139" s="58" t="s">
        <v>1948</v>
      </c>
      <c r="K139" s="4">
        <f t="shared" si="5"/>
        <v>61</v>
      </c>
      <c r="L139" s="4">
        <v>2</v>
      </c>
      <c r="M139" s="4">
        <v>61</v>
      </c>
      <c r="Q139">
        <v>27</v>
      </c>
    </row>
    <row r="140" spans="3:17">
      <c r="C140" s="3"/>
      <c r="F140" s="12">
        <v>200</v>
      </c>
      <c r="G140" s="62" t="s">
        <v>288</v>
      </c>
      <c r="H140" s="7">
        <f t="shared" si="4"/>
        <v>27</v>
      </c>
      <c r="I140" s="50">
        <v>41050.745833333334</v>
      </c>
      <c r="J140" s="58" t="s">
        <v>160</v>
      </c>
      <c r="K140" s="4">
        <f t="shared" si="5"/>
        <v>62</v>
      </c>
      <c r="L140" s="4">
        <v>27</v>
      </c>
      <c r="M140" s="4">
        <v>62</v>
      </c>
      <c r="Q140">
        <v>27</v>
      </c>
    </row>
    <row r="141" spans="3:17">
      <c r="C141" s="3"/>
      <c r="F141" s="12">
        <v>202</v>
      </c>
      <c r="G141" s="62" t="s">
        <v>288</v>
      </c>
      <c r="H141" s="7">
        <f t="shared" si="4"/>
        <v>27</v>
      </c>
      <c r="I141" s="50">
        <v>41050.779166666667</v>
      </c>
      <c r="J141" s="58" t="s">
        <v>230</v>
      </c>
      <c r="K141" s="4">
        <f t="shared" si="5"/>
        <v>63</v>
      </c>
      <c r="L141" s="4">
        <v>2</v>
      </c>
      <c r="M141" s="4">
        <v>63</v>
      </c>
      <c r="Q141">
        <v>27</v>
      </c>
    </row>
    <row r="142" spans="3:17">
      <c r="C142" s="3"/>
      <c r="F142" s="12">
        <v>206</v>
      </c>
      <c r="G142" s="62" t="s">
        <v>288</v>
      </c>
      <c r="H142" s="7">
        <f t="shared" si="4"/>
        <v>27</v>
      </c>
      <c r="I142" s="50">
        <v>41051.689583333333</v>
      </c>
      <c r="J142" s="58" t="s">
        <v>171</v>
      </c>
      <c r="K142" s="4">
        <f t="shared" si="5"/>
        <v>64</v>
      </c>
      <c r="L142" s="4">
        <v>2</v>
      </c>
      <c r="M142" s="4">
        <v>64</v>
      </c>
      <c r="Q142">
        <v>27</v>
      </c>
    </row>
    <row r="143" spans="3:17">
      <c r="C143" s="3"/>
      <c r="F143" s="12">
        <v>208</v>
      </c>
      <c r="G143" s="62" t="s">
        <v>288</v>
      </c>
      <c r="H143" s="7">
        <f t="shared" si="4"/>
        <v>27</v>
      </c>
      <c r="I143" s="50">
        <v>41051.779861111114</v>
      </c>
      <c r="J143" s="58" t="s">
        <v>177</v>
      </c>
      <c r="K143" s="4">
        <f t="shared" si="5"/>
        <v>65</v>
      </c>
      <c r="L143" s="4">
        <v>4</v>
      </c>
      <c r="M143" s="4">
        <v>65</v>
      </c>
      <c r="Q143">
        <v>27</v>
      </c>
    </row>
    <row r="144" spans="3:17">
      <c r="C144" s="3"/>
      <c r="D144" s="1"/>
      <c r="F144" s="12">
        <v>211</v>
      </c>
      <c r="G144" s="62" t="s">
        <v>288</v>
      </c>
      <c r="H144" s="7">
        <f t="shared" si="4"/>
        <v>27</v>
      </c>
      <c r="I144" s="50">
        <v>41052.84097222222</v>
      </c>
      <c r="J144" s="58" t="s">
        <v>133</v>
      </c>
      <c r="K144" s="4">
        <f t="shared" si="5"/>
        <v>66</v>
      </c>
      <c r="L144" s="4">
        <v>5</v>
      </c>
      <c r="M144" s="4">
        <v>66</v>
      </c>
      <c r="Q144">
        <v>27</v>
      </c>
    </row>
    <row r="145" spans="3:17">
      <c r="C145" s="3"/>
      <c r="F145" s="12">
        <v>213</v>
      </c>
      <c r="G145" s="63" t="s">
        <v>288</v>
      </c>
      <c r="H145" s="7">
        <f t="shared" si="4"/>
        <v>27</v>
      </c>
      <c r="I145" s="50">
        <v>41053.832638888889</v>
      </c>
      <c r="J145" s="58" t="s">
        <v>213</v>
      </c>
      <c r="K145" s="4">
        <f t="shared" si="5"/>
        <v>67</v>
      </c>
      <c r="L145" s="4">
        <v>2</v>
      </c>
      <c r="M145" s="4">
        <v>67</v>
      </c>
      <c r="Q145">
        <v>27</v>
      </c>
    </row>
    <row r="146" spans="3:17">
      <c r="C146" s="3"/>
      <c r="F146" s="12">
        <v>215</v>
      </c>
      <c r="G146" s="63" t="s">
        <v>288</v>
      </c>
      <c r="H146" s="7">
        <f t="shared" si="4"/>
        <v>27</v>
      </c>
      <c r="I146" s="50">
        <v>41057.824999999997</v>
      </c>
      <c r="J146" s="58" t="s">
        <v>107</v>
      </c>
      <c r="K146" s="4">
        <f t="shared" si="5"/>
        <v>68</v>
      </c>
      <c r="L146" s="4">
        <v>2</v>
      </c>
      <c r="M146" s="4">
        <v>68</v>
      </c>
      <c r="Q146">
        <v>27</v>
      </c>
    </row>
    <row r="147" spans="3:17">
      <c r="C147" s="3"/>
      <c r="F147" s="12">
        <v>216</v>
      </c>
      <c r="G147" s="63" t="s">
        <v>288</v>
      </c>
      <c r="H147" s="7">
        <f t="shared" si="4"/>
        <v>27</v>
      </c>
      <c r="I147" s="50">
        <v>41058.488194444442</v>
      </c>
      <c r="J147" s="58" t="s">
        <v>38</v>
      </c>
      <c r="K147" s="4">
        <f t="shared" si="5"/>
        <v>69</v>
      </c>
      <c r="L147" s="4">
        <v>2</v>
      </c>
      <c r="M147" s="4">
        <v>69</v>
      </c>
      <c r="Q147">
        <v>27</v>
      </c>
    </row>
    <row r="148" spans="3:17">
      <c r="C148" s="3"/>
      <c r="F148" s="12">
        <v>217</v>
      </c>
      <c r="G148" s="62" t="s">
        <v>288</v>
      </c>
      <c r="H148" s="7">
        <f t="shared" si="4"/>
        <v>27</v>
      </c>
      <c r="I148" s="50">
        <v>41058.743055555555</v>
      </c>
      <c r="J148" s="58" t="s">
        <v>275</v>
      </c>
      <c r="K148" s="4">
        <f t="shared" si="5"/>
        <v>70</v>
      </c>
      <c r="L148" s="4">
        <v>2</v>
      </c>
      <c r="M148" s="4">
        <v>70</v>
      </c>
      <c r="Q148">
        <v>27</v>
      </c>
    </row>
    <row r="149" spans="3:17">
      <c r="C149" s="3"/>
      <c r="F149" s="12">
        <v>219</v>
      </c>
      <c r="G149" s="62" t="s">
        <v>288</v>
      </c>
      <c r="H149" s="7">
        <f t="shared" si="4"/>
        <v>27</v>
      </c>
      <c r="I149" s="50">
        <v>41059.59375</v>
      </c>
      <c r="J149" s="58" t="s">
        <v>1949</v>
      </c>
      <c r="K149" s="4">
        <f t="shared" si="5"/>
        <v>71</v>
      </c>
      <c r="L149" s="4">
        <v>2</v>
      </c>
      <c r="M149" s="4">
        <v>71</v>
      </c>
      <c r="Q149">
        <v>27</v>
      </c>
    </row>
    <row r="150" spans="3:17">
      <c r="C150" s="3"/>
      <c r="F150" s="12">
        <v>221</v>
      </c>
      <c r="G150" s="62" t="s">
        <v>288</v>
      </c>
      <c r="H150" s="7">
        <f t="shared" si="4"/>
        <v>27</v>
      </c>
      <c r="I150" s="50">
        <v>41059.742361111108</v>
      </c>
      <c r="J150" s="58" t="s">
        <v>84</v>
      </c>
      <c r="K150" s="4">
        <f t="shared" si="5"/>
        <v>72</v>
      </c>
      <c r="L150" s="4">
        <v>42</v>
      </c>
      <c r="M150" s="4">
        <v>72</v>
      </c>
      <c r="Q150">
        <v>27</v>
      </c>
    </row>
    <row r="151" spans="3:17">
      <c r="C151" s="3"/>
      <c r="F151" s="12">
        <v>226</v>
      </c>
      <c r="G151" s="63" t="s">
        <v>288</v>
      </c>
      <c r="H151" s="7">
        <f t="shared" si="4"/>
        <v>27</v>
      </c>
      <c r="I151" s="50">
        <v>41064.474999999999</v>
      </c>
      <c r="J151" s="58" t="s">
        <v>130</v>
      </c>
      <c r="K151" s="4">
        <f t="shared" si="5"/>
        <v>73</v>
      </c>
      <c r="L151" s="4">
        <v>2</v>
      </c>
      <c r="M151" s="4">
        <v>73</v>
      </c>
      <c r="Q151">
        <v>27</v>
      </c>
    </row>
    <row r="152" spans="3:17">
      <c r="C152" s="3"/>
      <c r="F152" s="12">
        <v>228</v>
      </c>
      <c r="G152" s="63" t="s">
        <v>288</v>
      </c>
      <c r="H152" s="7">
        <f t="shared" si="4"/>
        <v>27</v>
      </c>
      <c r="I152" s="50">
        <v>41064.615972222222</v>
      </c>
      <c r="J152" s="58" t="s">
        <v>228</v>
      </c>
      <c r="K152" s="4">
        <f t="shared" si="5"/>
        <v>74</v>
      </c>
      <c r="L152" s="4">
        <v>2</v>
      </c>
      <c r="M152" s="4">
        <v>74</v>
      </c>
      <c r="Q152">
        <v>27</v>
      </c>
    </row>
    <row r="153" spans="3:17">
      <c r="C153" s="3"/>
      <c r="F153" s="12">
        <v>230</v>
      </c>
      <c r="G153" s="62" t="s">
        <v>288</v>
      </c>
      <c r="H153" s="7">
        <f t="shared" si="4"/>
        <v>27</v>
      </c>
      <c r="I153" s="50">
        <v>41064.902777777781</v>
      </c>
      <c r="J153" s="58" t="s">
        <v>93</v>
      </c>
      <c r="K153" s="4">
        <f t="shared" si="5"/>
        <v>75</v>
      </c>
      <c r="L153" s="4">
        <v>2</v>
      </c>
      <c r="M153" s="4">
        <v>75</v>
      </c>
      <c r="Q153">
        <v>27</v>
      </c>
    </row>
    <row r="154" spans="3:17">
      <c r="C154" s="3"/>
      <c r="F154" s="12">
        <v>233</v>
      </c>
      <c r="G154" s="62" t="s">
        <v>288</v>
      </c>
      <c r="H154" s="7">
        <f t="shared" si="4"/>
        <v>27</v>
      </c>
      <c r="I154" s="50">
        <v>41065.722222222219</v>
      </c>
      <c r="J154" s="58" t="s">
        <v>82</v>
      </c>
      <c r="K154" s="4">
        <f t="shared" si="5"/>
        <v>76</v>
      </c>
      <c r="L154" s="4">
        <v>6</v>
      </c>
      <c r="M154" s="4">
        <v>76</v>
      </c>
      <c r="Q154">
        <v>27</v>
      </c>
    </row>
    <row r="155" spans="3:17">
      <c r="C155" s="3"/>
      <c r="F155" s="12">
        <v>234</v>
      </c>
      <c r="G155" s="62" t="s">
        <v>288</v>
      </c>
      <c r="H155" s="7">
        <f t="shared" si="4"/>
        <v>27</v>
      </c>
      <c r="I155" s="50">
        <v>41065.76458333333</v>
      </c>
      <c r="J155" s="58" t="s">
        <v>54</v>
      </c>
      <c r="K155" s="4">
        <f t="shared" si="5"/>
        <v>77</v>
      </c>
      <c r="L155" s="4">
        <v>6</v>
      </c>
      <c r="M155" s="4">
        <v>77</v>
      </c>
      <c r="Q155">
        <v>27</v>
      </c>
    </row>
    <row r="156" spans="3:17">
      <c r="C156" s="3"/>
      <c r="F156" s="12">
        <v>236</v>
      </c>
      <c r="G156" s="62" t="s">
        <v>288</v>
      </c>
      <c r="H156" s="7">
        <f t="shared" si="4"/>
        <v>27</v>
      </c>
      <c r="I156" s="50">
        <v>41069.53125</v>
      </c>
      <c r="J156" s="58" t="s">
        <v>174</v>
      </c>
      <c r="K156" s="4">
        <f t="shared" si="5"/>
        <v>78</v>
      </c>
      <c r="L156" s="4">
        <v>5</v>
      </c>
      <c r="M156" s="4">
        <v>78</v>
      </c>
      <c r="Q156">
        <v>27</v>
      </c>
    </row>
    <row r="157" spans="3:17">
      <c r="C157" s="3"/>
      <c r="F157" s="12">
        <v>238</v>
      </c>
      <c r="G157" s="62" t="s">
        <v>288</v>
      </c>
      <c r="H157" s="7">
        <f t="shared" si="4"/>
        <v>27</v>
      </c>
      <c r="I157" s="50">
        <v>41071.44027777778</v>
      </c>
      <c r="J157" s="58" t="s">
        <v>101</v>
      </c>
      <c r="K157" s="4">
        <f t="shared" si="5"/>
        <v>79</v>
      </c>
      <c r="L157" s="4">
        <v>8</v>
      </c>
      <c r="M157" s="4">
        <v>79</v>
      </c>
      <c r="Q157">
        <v>27</v>
      </c>
    </row>
    <row r="158" spans="3:17">
      <c r="C158" s="3"/>
      <c r="F158" s="12">
        <v>240</v>
      </c>
      <c r="G158" s="62" t="s">
        <v>288</v>
      </c>
      <c r="H158" s="7">
        <f t="shared" si="4"/>
        <v>27</v>
      </c>
      <c r="I158" s="50">
        <v>41071.495833333334</v>
      </c>
      <c r="J158" s="58" t="s">
        <v>7</v>
      </c>
      <c r="K158" s="4">
        <f t="shared" si="5"/>
        <v>80</v>
      </c>
      <c r="L158" s="4">
        <v>9</v>
      </c>
      <c r="M158" s="4">
        <v>80</v>
      </c>
      <c r="Q158">
        <v>27</v>
      </c>
    </row>
    <row r="159" spans="3:17">
      <c r="C159" s="3"/>
      <c r="F159" s="12">
        <v>242</v>
      </c>
      <c r="G159" s="63" t="s">
        <v>288</v>
      </c>
      <c r="H159" s="7">
        <f t="shared" si="4"/>
        <v>27</v>
      </c>
      <c r="I159" s="50">
        <v>41071.746527777781</v>
      </c>
      <c r="J159" s="58" t="s">
        <v>251</v>
      </c>
      <c r="K159" s="4">
        <f t="shared" si="5"/>
        <v>81</v>
      </c>
      <c r="L159" s="4">
        <v>3</v>
      </c>
      <c r="M159" s="4">
        <v>81</v>
      </c>
      <c r="Q159">
        <v>27</v>
      </c>
    </row>
    <row r="160" spans="3:17">
      <c r="C160" s="3"/>
      <c r="F160" s="12">
        <v>244</v>
      </c>
      <c r="G160" s="62" t="s">
        <v>288</v>
      </c>
      <c r="H160" s="7">
        <f t="shared" si="4"/>
        <v>27</v>
      </c>
      <c r="I160" s="50">
        <v>41071.44027777778</v>
      </c>
      <c r="J160" s="58" t="s">
        <v>206</v>
      </c>
      <c r="K160" s="4">
        <f t="shared" si="5"/>
        <v>82</v>
      </c>
      <c r="L160" s="4">
        <v>2</v>
      </c>
      <c r="M160" s="4">
        <v>82</v>
      </c>
      <c r="Q160">
        <v>27</v>
      </c>
    </row>
    <row r="161" spans="3:17">
      <c r="C161" s="3"/>
      <c r="F161" s="12">
        <v>245</v>
      </c>
      <c r="G161" s="62" t="s">
        <v>288</v>
      </c>
      <c r="H161" s="7">
        <f t="shared" si="4"/>
        <v>27</v>
      </c>
      <c r="I161" s="50">
        <v>41071.980555555558</v>
      </c>
      <c r="J161" s="58" t="s">
        <v>140</v>
      </c>
      <c r="K161" s="4">
        <f t="shared" si="5"/>
        <v>83</v>
      </c>
      <c r="L161" s="4">
        <v>2</v>
      </c>
      <c r="M161" s="4">
        <v>83</v>
      </c>
      <c r="Q161">
        <v>27</v>
      </c>
    </row>
    <row r="162" spans="3:17">
      <c r="C162" s="3"/>
      <c r="F162" s="12">
        <v>247</v>
      </c>
      <c r="G162" s="62" t="s">
        <v>288</v>
      </c>
      <c r="H162" s="7">
        <f t="shared" si="4"/>
        <v>27</v>
      </c>
      <c r="I162" s="50">
        <v>41073.449305555558</v>
      </c>
      <c r="J162" s="58" t="s">
        <v>66</v>
      </c>
      <c r="K162" s="4">
        <f t="shared" si="5"/>
        <v>84</v>
      </c>
      <c r="L162" s="4">
        <v>9</v>
      </c>
      <c r="M162" s="4">
        <v>84</v>
      </c>
      <c r="Q162">
        <v>27</v>
      </c>
    </row>
    <row r="163" spans="3:17">
      <c r="C163" s="3"/>
      <c r="F163" s="12">
        <v>249</v>
      </c>
      <c r="G163" s="62" t="s">
        <v>288</v>
      </c>
      <c r="H163" s="7">
        <f t="shared" si="4"/>
        <v>27</v>
      </c>
      <c r="I163" s="50">
        <v>41073.447916666664</v>
      </c>
      <c r="J163" s="58" t="s">
        <v>46</v>
      </c>
      <c r="K163" s="4">
        <f t="shared" si="5"/>
        <v>85</v>
      </c>
      <c r="L163" s="4">
        <v>2</v>
      </c>
      <c r="M163" s="4">
        <v>85</v>
      </c>
      <c r="Q163">
        <v>27</v>
      </c>
    </row>
    <row r="164" spans="3:17">
      <c r="C164" s="3"/>
      <c r="F164" s="12">
        <v>251</v>
      </c>
      <c r="G164" s="62" t="s">
        <v>288</v>
      </c>
      <c r="H164" s="7">
        <f t="shared" si="4"/>
        <v>27</v>
      </c>
      <c r="I164" s="50">
        <v>41075.770833333336</v>
      </c>
      <c r="J164" s="58" t="s">
        <v>146</v>
      </c>
      <c r="K164" s="4">
        <f t="shared" si="5"/>
        <v>86</v>
      </c>
      <c r="L164" s="4">
        <v>4</v>
      </c>
      <c r="M164" s="4">
        <v>86</v>
      </c>
      <c r="Q164">
        <v>27</v>
      </c>
    </row>
    <row r="165" spans="3:17">
      <c r="C165" s="3"/>
      <c r="F165" s="12">
        <v>254</v>
      </c>
      <c r="G165" s="63" t="s">
        <v>288</v>
      </c>
      <c r="H165" s="7">
        <f t="shared" si="4"/>
        <v>27</v>
      </c>
      <c r="I165" s="50">
        <v>41078.976388888892</v>
      </c>
      <c r="J165" s="58" t="s">
        <v>225</v>
      </c>
      <c r="K165" s="4">
        <f t="shared" si="5"/>
        <v>87</v>
      </c>
      <c r="L165" s="4">
        <v>9</v>
      </c>
      <c r="M165" s="4">
        <v>87</v>
      </c>
      <c r="Q165">
        <v>27</v>
      </c>
    </row>
    <row r="166" spans="3:17">
      <c r="C166" s="3"/>
      <c r="F166" s="12">
        <v>256</v>
      </c>
      <c r="G166" s="63" t="s">
        <v>288</v>
      </c>
      <c r="H166" s="7">
        <f t="shared" si="4"/>
        <v>27</v>
      </c>
      <c r="I166" s="50">
        <v>41079.57916666667</v>
      </c>
      <c r="J166" s="58" t="s">
        <v>79</v>
      </c>
      <c r="K166" s="4">
        <f t="shared" si="5"/>
        <v>88</v>
      </c>
      <c r="L166" s="4">
        <v>4</v>
      </c>
      <c r="M166" s="4">
        <v>88</v>
      </c>
      <c r="Q166">
        <v>27</v>
      </c>
    </row>
    <row r="167" spans="3:17">
      <c r="C167" s="3"/>
      <c r="F167" s="12">
        <v>257</v>
      </c>
      <c r="G167" s="62" t="s">
        <v>288</v>
      </c>
      <c r="H167" s="7">
        <f t="shared" si="4"/>
        <v>27</v>
      </c>
      <c r="I167" s="50">
        <v>41079.677083333336</v>
      </c>
      <c r="J167" s="58" t="s">
        <v>96</v>
      </c>
      <c r="K167" s="4">
        <f t="shared" si="5"/>
        <v>89</v>
      </c>
      <c r="L167" s="4">
        <v>7</v>
      </c>
      <c r="M167" s="4">
        <v>89</v>
      </c>
      <c r="Q167">
        <v>27</v>
      </c>
    </row>
    <row r="168" spans="3:17">
      <c r="C168" s="3"/>
      <c r="F168" s="12">
        <v>48</v>
      </c>
      <c r="G168" s="63" t="s">
        <v>304</v>
      </c>
      <c r="H168" s="7">
        <f t="shared" si="4"/>
        <v>28</v>
      </c>
      <c r="I168" s="50">
        <v>40955.561111111114</v>
      </c>
      <c r="J168" s="58" t="s">
        <v>783</v>
      </c>
      <c r="K168" s="4">
        <f t="shared" si="5"/>
        <v>1</v>
      </c>
      <c r="L168" s="4">
        <v>5</v>
      </c>
      <c r="M168" s="4">
        <v>1</v>
      </c>
      <c r="Q168">
        <v>28</v>
      </c>
    </row>
    <row r="169" spans="3:17">
      <c r="C169" s="3"/>
      <c r="F169" s="12">
        <v>116</v>
      </c>
      <c r="G169" s="63" t="s">
        <v>304</v>
      </c>
      <c r="H169" s="7">
        <f t="shared" si="4"/>
        <v>28</v>
      </c>
      <c r="I169" s="50">
        <v>40999.972222222219</v>
      </c>
      <c r="J169" s="58" t="s">
        <v>124</v>
      </c>
      <c r="K169" s="4">
        <f t="shared" si="5"/>
        <v>2</v>
      </c>
      <c r="L169" s="4">
        <v>3</v>
      </c>
      <c r="M169" s="4">
        <v>2</v>
      </c>
      <c r="Q169">
        <v>28</v>
      </c>
    </row>
    <row r="170" spans="3:17">
      <c r="C170" s="3"/>
      <c r="F170" s="12">
        <v>224</v>
      </c>
      <c r="G170" s="63" t="s">
        <v>304</v>
      </c>
      <c r="H170" s="7">
        <f t="shared" si="4"/>
        <v>28</v>
      </c>
      <c r="I170" s="50">
        <v>41060.527777777781</v>
      </c>
      <c r="J170" s="58" t="s">
        <v>113</v>
      </c>
      <c r="K170" s="4">
        <f t="shared" si="5"/>
        <v>3</v>
      </c>
      <c r="L170" s="4">
        <v>5</v>
      </c>
      <c r="M170" s="4">
        <v>3</v>
      </c>
      <c r="Q170">
        <v>28</v>
      </c>
    </row>
    <row r="171" spans="3:17">
      <c r="C171" s="3"/>
      <c r="F171" s="12">
        <v>246</v>
      </c>
      <c r="G171" s="63" t="s">
        <v>304</v>
      </c>
      <c r="H171" s="7">
        <f t="shared" si="4"/>
        <v>28</v>
      </c>
      <c r="I171" s="50">
        <v>41073.388888888891</v>
      </c>
      <c r="J171" s="58" t="s">
        <v>141</v>
      </c>
      <c r="K171" s="4">
        <f t="shared" si="5"/>
        <v>4</v>
      </c>
      <c r="L171" s="4">
        <v>2</v>
      </c>
      <c r="M171" s="4">
        <v>4</v>
      </c>
      <c r="Q171">
        <v>28</v>
      </c>
    </row>
    <row r="172" spans="3:17">
      <c r="C172" s="3"/>
      <c r="F172" s="12">
        <v>248</v>
      </c>
      <c r="G172" s="63" t="s">
        <v>304</v>
      </c>
      <c r="H172" s="7">
        <f t="shared" si="4"/>
        <v>28</v>
      </c>
      <c r="I172" s="50">
        <v>41073.553472222222</v>
      </c>
      <c r="J172" s="58" t="s">
        <v>67</v>
      </c>
      <c r="K172" s="4">
        <f t="shared" si="5"/>
        <v>5</v>
      </c>
      <c r="L172" s="4">
        <v>3</v>
      </c>
      <c r="M172" s="4">
        <v>5</v>
      </c>
      <c r="Q172">
        <v>28</v>
      </c>
    </row>
    <row r="173" spans="3:17">
      <c r="C173" s="3"/>
      <c r="F173" s="12">
        <v>203</v>
      </c>
      <c r="G173" s="63" t="s">
        <v>318</v>
      </c>
      <c r="H173" s="7">
        <f t="shared" si="4"/>
        <v>29</v>
      </c>
      <c r="I173" s="50">
        <v>41051.522222222222</v>
      </c>
      <c r="J173" s="58" t="s">
        <v>231</v>
      </c>
      <c r="K173" s="4">
        <f t="shared" si="5"/>
        <v>1</v>
      </c>
      <c r="L173" s="4">
        <v>55</v>
      </c>
      <c r="M173" s="4">
        <v>1</v>
      </c>
      <c r="Q173">
        <v>29</v>
      </c>
    </row>
    <row r="174" spans="3:17">
      <c r="C174" s="3"/>
      <c r="F174" s="12">
        <v>212</v>
      </c>
      <c r="G174" s="62" t="s">
        <v>318</v>
      </c>
      <c r="H174" s="7">
        <f t="shared" si="4"/>
        <v>29</v>
      </c>
      <c r="I174" s="50">
        <v>41053.470833333333</v>
      </c>
      <c r="J174" s="58" t="s">
        <v>212</v>
      </c>
      <c r="K174" s="4">
        <f t="shared" si="5"/>
        <v>2</v>
      </c>
      <c r="L174" s="4">
        <v>29</v>
      </c>
      <c r="M174" s="4">
        <v>2</v>
      </c>
      <c r="Q174">
        <v>29</v>
      </c>
    </row>
    <row r="175" spans="3:17">
      <c r="C175" s="3"/>
      <c r="F175" s="12">
        <v>149</v>
      </c>
      <c r="G175" s="62" t="s">
        <v>296</v>
      </c>
      <c r="H175" s="7">
        <f t="shared" si="4"/>
        <v>30</v>
      </c>
      <c r="I175" s="50">
        <v>41009.717361111114</v>
      </c>
      <c r="J175" s="58" t="s">
        <v>31</v>
      </c>
      <c r="K175" s="4">
        <f t="shared" si="5"/>
        <v>1</v>
      </c>
      <c r="L175" s="4">
        <v>2</v>
      </c>
      <c r="M175" s="4">
        <v>1</v>
      </c>
      <c r="Q175">
        <v>30</v>
      </c>
    </row>
    <row r="176" spans="3:17">
      <c r="C176" s="3"/>
      <c r="F176" s="12">
        <v>163</v>
      </c>
      <c r="G176" s="62" t="s">
        <v>296</v>
      </c>
      <c r="H176" s="7">
        <f t="shared" si="4"/>
        <v>30</v>
      </c>
      <c r="I176" s="50">
        <v>41024.824305555558</v>
      </c>
      <c r="J176" s="58" t="s">
        <v>245</v>
      </c>
      <c r="K176" s="4">
        <f t="shared" si="5"/>
        <v>2</v>
      </c>
      <c r="L176" s="4">
        <v>2</v>
      </c>
      <c r="M176" s="4">
        <v>2</v>
      </c>
      <c r="Q176">
        <v>30</v>
      </c>
    </row>
    <row r="177" spans="3:17">
      <c r="C177" s="3"/>
      <c r="F177" s="12">
        <v>11</v>
      </c>
      <c r="G177" s="62" t="s">
        <v>1250</v>
      </c>
      <c r="H177" s="7">
        <f t="shared" si="4"/>
        <v>31</v>
      </c>
      <c r="I177" s="50">
        <v>40922.570833333331</v>
      </c>
      <c r="J177" s="58" t="s">
        <v>1251</v>
      </c>
      <c r="K177" s="4">
        <f t="shared" si="5"/>
        <v>1</v>
      </c>
      <c r="L177" s="4">
        <v>3</v>
      </c>
      <c r="M177" s="4">
        <v>1</v>
      </c>
      <c r="Q177">
        <v>31</v>
      </c>
    </row>
    <row r="178" spans="3:17">
      <c r="C178" s="3"/>
      <c r="F178" s="12">
        <v>13</v>
      </c>
      <c r="G178" s="62" t="s">
        <v>1250</v>
      </c>
      <c r="H178" s="7">
        <f t="shared" si="4"/>
        <v>31</v>
      </c>
      <c r="I178" s="50">
        <v>40922.800694444442</v>
      </c>
      <c r="J178" s="58" t="s">
        <v>1537</v>
      </c>
      <c r="K178" s="4">
        <f t="shared" si="5"/>
        <v>2</v>
      </c>
      <c r="L178" s="4">
        <v>3</v>
      </c>
      <c r="M178" s="4">
        <v>2</v>
      </c>
      <c r="Q178">
        <v>31</v>
      </c>
    </row>
    <row r="179" spans="3:17">
      <c r="C179" s="3"/>
      <c r="F179" s="12">
        <v>26</v>
      </c>
      <c r="G179" s="63" t="s">
        <v>651</v>
      </c>
      <c r="H179" s="7">
        <f t="shared" si="4"/>
        <v>32</v>
      </c>
      <c r="I179" s="50">
        <v>40933.959027777775</v>
      </c>
      <c r="J179" s="58" t="s">
        <v>1222</v>
      </c>
      <c r="K179" s="4">
        <f t="shared" si="5"/>
        <v>1</v>
      </c>
      <c r="L179" s="4">
        <v>2</v>
      </c>
      <c r="M179" s="4">
        <v>1</v>
      </c>
      <c r="Q179">
        <v>32</v>
      </c>
    </row>
    <row r="180" spans="3:17">
      <c r="C180" s="3"/>
      <c r="F180" s="12">
        <v>24</v>
      </c>
      <c r="G180" s="63" t="s">
        <v>306</v>
      </c>
      <c r="H180" s="7">
        <f t="shared" si="4"/>
        <v>33</v>
      </c>
      <c r="I180" s="50">
        <v>40933.592361111114</v>
      </c>
      <c r="J180" s="58" t="s">
        <v>1394</v>
      </c>
      <c r="K180" s="4">
        <f t="shared" si="5"/>
        <v>1</v>
      </c>
      <c r="L180" s="4">
        <v>2</v>
      </c>
      <c r="M180" s="4">
        <v>1</v>
      </c>
      <c r="Q180">
        <v>33</v>
      </c>
    </row>
    <row r="181" spans="3:17">
      <c r="C181" s="3"/>
      <c r="F181" s="12">
        <v>25</v>
      </c>
      <c r="G181" s="62" t="s">
        <v>306</v>
      </c>
      <c r="H181" s="7">
        <f t="shared" si="4"/>
        <v>33</v>
      </c>
      <c r="I181" s="50">
        <v>40933.609027777777</v>
      </c>
      <c r="J181" s="58" t="s">
        <v>1221</v>
      </c>
      <c r="K181" s="4">
        <f t="shared" si="5"/>
        <v>2</v>
      </c>
      <c r="L181" s="4">
        <v>3</v>
      </c>
      <c r="M181" s="4">
        <v>2</v>
      </c>
      <c r="Q181">
        <v>33</v>
      </c>
    </row>
    <row r="182" spans="3:17">
      <c r="C182" s="3"/>
      <c r="F182" s="12">
        <v>36</v>
      </c>
      <c r="G182" s="62" t="s">
        <v>302</v>
      </c>
      <c r="H182" s="7">
        <f t="shared" si="4"/>
        <v>33</v>
      </c>
      <c r="I182" s="50">
        <v>40938.285416666666</v>
      </c>
      <c r="J182" s="58" t="s">
        <v>536</v>
      </c>
      <c r="K182" s="4">
        <f t="shared" si="5"/>
        <v>3</v>
      </c>
      <c r="L182" s="4">
        <v>2</v>
      </c>
      <c r="M182" s="4">
        <v>3</v>
      </c>
      <c r="Q182">
        <v>33</v>
      </c>
    </row>
    <row r="183" spans="3:17">
      <c r="C183" s="3"/>
      <c r="F183" s="12">
        <v>153</v>
      </c>
      <c r="G183" s="62" t="s">
        <v>302</v>
      </c>
      <c r="H183" s="7">
        <f t="shared" si="4"/>
        <v>33</v>
      </c>
      <c r="I183" s="50">
        <v>41022.025694444441</v>
      </c>
      <c r="J183" s="58" t="s">
        <v>57</v>
      </c>
      <c r="K183" s="4">
        <f t="shared" si="5"/>
        <v>4</v>
      </c>
      <c r="L183" s="4">
        <v>3</v>
      </c>
      <c r="M183" s="4">
        <v>4</v>
      </c>
      <c r="Q183">
        <v>33</v>
      </c>
    </row>
    <row r="184" spans="3:17">
      <c r="C184" s="3"/>
      <c r="F184" s="12">
        <v>227</v>
      </c>
      <c r="G184" s="62" t="s">
        <v>306</v>
      </c>
      <c r="H184" s="7">
        <f t="shared" si="4"/>
        <v>33</v>
      </c>
      <c r="I184" s="50">
        <v>41061.719444444447</v>
      </c>
      <c r="J184" s="58" t="s">
        <v>227</v>
      </c>
      <c r="K184" s="4">
        <f t="shared" si="5"/>
        <v>5</v>
      </c>
      <c r="L184" s="4">
        <v>2</v>
      </c>
      <c r="M184" s="4">
        <v>5</v>
      </c>
      <c r="Q184">
        <v>33</v>
      </c>
    </row>
    <row r="185" spans="3:17">
      <c r="C185" s="3"/>
      <c r="F185" s="12">
        <v>253</v>
      </c>
      <c r="G185" s="62" t="s">
        <v>306</v>
      </c>
      <c r="H185" s="7">
        <f t="shared" si="4"/>
        <v>33</v>
      </c>
      <c r="I185" s="50">
        <v>41078.885416666664</v>
      </c>
      <c r="J185" s="58" t="s">
        <v>224</v>
      </c>
      <c r="K185" s="4">
        <f t="shared" si="5"/>
        <v>6</v>
      </c>
      <c r="L185" s="4">
        <v>2</v>
      </c>
      <c r="M185" s="4">
        <v>6</v>
      </c>
      <c r="Q185">
        <v>33</v>
      </c>
    </row>
    <row r="186" spans="3:17">
      <c r="C186" s="3"/>
      <c r="F186" s="12">
        <v>255</v>
      </c>
      <c r="G186" s="62" t="s">
        <v>306</v>
      </c>
      <c r="H186" s="7">
        <f t="shared" si="4"/>
        <v>33</v>
      </c>
      <c r="I186" s="50">
        <v>41079.390277777777</v>
      </c>
      <c r="J186" s="58" t="s">
        <v>78</v>
      </c>
      <c r="K186" s="4">
        <f t="shared" si="5"/>
        <v>7</v>
      </c>
      <c r="L186" s="4">
        <v>5</v>
      </c>
      <c r="M186" s="4">
        <v>7</v>
      </c>
      <c r="Q186">
        <v>33</v>
      </c>
    </row>
    <row r="187" spans="3:17">
      <c r="C187" s="3"/>
      <c r="F187" s="12">
        <v>10</v>
      </c>
      <c r="G187" s="63" t="s">
        <v>301</v>
      </c>
      <c r="H187" s="7">
        <f t="shared" si="4"/>
        <v>34</v>
      </c>
      <c r="I187" s="50">
        <v>40920.65</v>
      </c>
      <c r="J187" s="58" t="s">
        <v>1302</v>
      </c>
      <c r="K187" s="4">
        <f t="shared" si="5"/>
        <v>1</v>
      </c>
      <c r="L187" s="4">
        <v>2</v>
      </c>
      <c r="M187" s="4">
        <v>1</v>
      </c>
      <c r="Q187">
        <v>34</v>
      </c>
    </row>
    <row r="188" spans="3:17">
      <c r="C188" s="3"/>
      <c r="F188" s="12">
        <v>39</v>
      </c>
      <c r="G188" s="62" t="s">
        <v>301</v>
      </c>
      <c r="H188" s="7">
        <f t="shared" si="4"/>
        <v>34</v>
      </c>
      <c r="I188" s="50">
        <v>40918.513888888891</v>
      </c>
      <c r="J188" s="58" t="s">
        <v>765</v>
      </c>
      <c r="K188" s="4">
        <f t="shared" si="5"/>
        <v>2</v>
      </c>
      <c r="L188" s="4">
        <v>2</v>
      </c>
      <c r="M188" s="4">
        <v>2</v>
      </c>
      <c r="Q188">
        <v>34</v>
      </c>
    </row>
    <row r="189" spans="3:17">
      <c r="C189" s="3"/>
      <c r="F189" s="12">
        <v>85</v>
      </c>
      <c r="G189" s="62" t="s">
        <v>301</v>
      </c>
      <c r="H189" s="7">
        <f t="shared" si="4"/>
        <v>34</v>
      </c>
      <c r="I189" s="50">
        <v>40970.720833333333</v>
      </c>
      <c r="J189" s="58" t="s">
        <v>152</v>
      </c>
      <c r="K189" s="4">
        <f t="shared" si="5"/>
        <v>3</v>
      </c>
      <c r="L189" s="4">
        <v>3</v>
      </c>
      <c r="M189" s="4">
        <v>3</v>
      </c>
      <c r="Q189">
        <v>34</v>
      </c>
    </row>
    <row r="190" spans="3:17">
      <c r="C190" s="3"/>
      <c r="F190" s="12">
        <v>157</v>
      </c>
      <c r="G190" s="62" t="s">
        <v>301</v>
      </c>
      <c r="H190" s="7">
        <f t="shared" si="4"/>
        <v>34</v>
      </c>
      <c r="I190" s="50">
        <v>40991.37777777778</v>
      </c>
      <c r="J190" s="58" t="s">
        <v>180</v>
      </c>
      <c r="K190" s="4">
        <f t="shared" si="5"/>
        <v>4</v>
      </c>
      <c r="L190" s="4">
        <v>2</v>
      </c>
      <c r="M190" s="4">
        <v>4</v>
      </c>
      <c r="Q190">
        <v>34</v>
      </c>
    </row>
    <row r="191" spans="3:17">
      <c r="C191" s="3"/>
      <c r="F191" s="12">
        <v>250</v>
      </c>
      <c r="G191" s="63" t="s">
        <v>301</v>
      </c>
      <c r="H191" s="7">
        <f t="shared" si="4"/>
        <v>34</v>
      </c>
      <c r="I191" s="50">
        <v>41073.738888888889</v>
      </c>
      <c r="J191" s="58" t="s">
        <v>47</v>
      </c>
      <c r="K191" s="4">
        <f t="shared" si="5"/>
        <v>5</v>
      </c>
      <c r="L191" s="4">
        <v>2</v>
      </c>
      <c r="M191" s="4">
        <v>5</v>
      </c>
      <c r="Q191">
        <v>34</v>
      </c>
    </row>
    <row r="192" spans="3:17">
      <c r="C192" s="3"/>
      <c r="F192" s="12">
        <v>19</v>
      </c>
      <c r="G192" s="62" t="s">
        <v>298</v>
      </c>
      <c r="H192" s="7">
        <f t="shared" si="4"/>
        <v>35</v>
      </c>
      <c r="I192" s="50">
        <v>40928.781944444447</v>
      </c>
      <c r="J192" s="58" t="s">
        <v>1040</v>
      </c>
      <c r="K192" s="4">
        <f t="shared" si="5"/>
        <v>1</v>
      </c>
      <c r="L192" s="4">
        <v>2</v>
      </c>
      <c r="M192" s="4">
        <v>1</v>
      </c>
      <c r="Q192">
        <v>35</v>
      </c>
    </row>
    <row r="193" spans="3:17">
      <c r="C193" s="3"/>
      <c r="F193" s="12">
        <v>23</v>
      </c>
      <c r="G193" s="62" t="s">
        <v>300</v>
      </c>
      <c r="H193" s="7">
        <f t="shared" si="4"/>
        <v>35</v>
      </c>
      <c r="I193" s="50">
        <v>40933.012499999997</v>
      </c>
      <c r="J193" s="58" t="s">
        <v>1393</v>
      </c>
      <c r="K193" s="4">
        <f t="shared" si="5"/>
        <v>2</v>
      </c>
      <c r="L193" s="4">
        <v>3</v>
      </c>
      <c r="M193" s="4">
        <v>2</v>
      </c>
      <c r="Q193">
        <v>35</v>
      </c>
    </row>
    <row r="194" spans="3:17">
      <c r="C194" s="3"/>
      <c r="F194" s="12">
        <v>28</v>
      </c>
      <c r="G194" s="63" t="s">
        <v>300</v>
      </c>
      <c r="H194" s="7">
        <f t="shared" ref="H194:H257" si="6">LOOKUP(G194,$N$2:$N$49,$O$2:$O$49)</f>
        <v>35</v>
      </c>
      <c r="I194" s="50">
        <v>40933.982638888891</v>
      </c>
      <c r="J194" s="58" t="s">
        <v>599</v>
      </c>
      <c r="K194" s="4">
        <f t="shared" ref="K194:K259" si="7">IF(Q194&gt;Q193,1,K193+1)</f>
        <v>3</v>
      </c>
      <c r="L194" s="4">
        <v>2</v>
      </c>
      <c r="M194" s="4">
        <v>3</v>
      </c>
      <c r="Q194">
        <v>35</v>
      </c>
    </row>
    <row r="195" spans="3:17">
      <c r="C195" s="3"/>
      <c r="F195" s="12">
        <v>38</v>
      </c>
      <c r="G195" s="63" t="s">
        <v>300</v>
      </c>
      <c r="H195" s="7">
        <f t="shared" si="6"/>
        <v>35</v>
      </c>
      <c r="I195" s="50">
        <v>40938.708333333336</v>
      </c>
      <c r="J195" s="58" t="s">
        <v>738</v>
      </c>
      <c r="K195" s="4">
        <f t="shared" si="7"/>
        <v>4</v>
      </c>
      <c r="L195" s="4">
        <v>2</v>
      </c>
      <c r="M195" s="4">
        <v>4</v>
      </c>
      <c r="Q195">
        <v>35</v>
      </c>
    </row>
    <row r="196" spans="3:17">
      <c r="C196" s="3"/>
      <c r="F196" s="12">
        <v>51</v>
      </c>
      <c r="G196" s="62" t="s">
        <v>300</v>
      </c>
      <c r="H196" s="7">
        <f t="shared" si="6"/>
        <v>35</v>
      </c>
      <c r="I196" s="50">
        <v>40956.576388888891</v>
      </c>
      <c r="J196" s="58" t="s">
        <v>1387</v>
      </c>
      <c r="K196" s="4">
        <f t="shared" si="7"/>
        <v>5</v>
      </c>
      <c r="L196" s="4">
        <v>2</v>
      </c>
      <c r="M196" s="4">
        <v>5</v>
      </c>
      <c r="Q196">
        <v>35</v>
      </c>
    </row>
    <row r="197" spans="3:17">
      <c r="C197" s="3"/>
      <c r="F197" s="12">
        <v>57</v>
      </c>
      <c r="G197" s="62" t="s">
        <v>300</v>
      </c>
      <c r="H197" s="7">
        <f t="shared" si="6"/>
        <v>35</v>
      </c>
      <c r="I197" s="50">
        <v>40959.744444444441</v>
      </c>
      <c r="J197" s="58" t="s">
        <v>420</v>
      </c>
      <c r="K197" s="4">
        <f t="shared" si="7"/>
        <v>6</v>
      </c>
      <c r="L197" s="4">
        <v>2</v>
      </c>
      <c r="M197" s="4">
        <v>6</v>
      </c>
      <c r="Q197">
        <v>35</v>
      </c>
    </row>
    <row r="198" spans="3:17">
      <c r="C198" s="3"/>
      <c r="F198" s="12">
        <v>62</v>
      </c>
      <c r="G198" s="63" t="s">
        <v>300</v>
      </c>
      <c r="H198" s="7">
        <f t="shared" si="6"/>
        <v>35</v>
      </c>
      <c r="I198" s="50">
        <v>40961.378472222219</v>
      </c>
      <c r="J198" s="58" t="s">
        <v>1008</v>
      </c>
      <c r="K198" s="4">
        <f t="shared" si="7"/>
        <v>7</v>
      </c>
      <c r="L198" s="4">
        <v>2</v>
      </c>
      <c r="M198" s="4">
        <v>7</v>
      </c>
      <c r="Q198">
        <v>35</v>
      </c>
    </row>
    <row r="199" spans="3:17">
      <c r="C199" s="3"/>
      <c r="F199" s="12">
        <v>67</v>
      </c>
      <c r="G199" s="62" t="s">
        <v>300</v>
      </c>
      <c r="H199" s="7">
        <f t="shared" si="6"/>
        <v>35</v>
      </c>
      <c r="I199" s="50">
        <v>40965.975694444445</v>
      </c>
      <c r="J199" s="58" t="s">
        <v>43</v>
      </c>
      <c r="K199" s="4">
        <f t="shared" si="7"/>
        <v>8</v>
      </c>
      <c r="L199" s="4">
        <v>2</v>
      </c>
      <c r="M199" s="4">
        <v>8</v>
      </c>
      <c r="Q199">
        <v>35</v>
      </c>
    </row>
    <row r="200" spans="3:17">
      <c r="C200" s="3"/>
      <c r="F200" s="12">
        <v>94</v>
      </c>
      <c r="G200" s="63" t="s">
        <v>300</v>
      </c>
      <c r="H200" s="7">
        <f t="shared" si="6"/>
        <v>35</v>
      </c>
      <c r="I200" s="50">
        <v>40982.026388888888</v>
      </c>
      <c r="J200" s="58" t="s">
        <v>73</v>
      </c>
      <c r="K200" s="4">
        <f t="shared" si="7"/>
        <v>9</v>
      </c>
      <c r="L200" s="4">
        <v>2</v>
      </c>
      <c r="M200" s="4">
        <v>9</v>
      </c>
      <c r="Q200">
        <v>35</v>
      </c>
    </row>
    <row r="201" spans="3:17">
      <c r="C201" s="3"/>
      <c r="F201" s="12">
        <v>112</v>
      </c>
      <c r="G201" s="62" t="s">
        <v>300</v>
      </c>
      <c r="H201" s="7">
        <f t="shared" si="6"/>
        <v>35</v>
      </c>
      <c r="I201" s="50">
        <v>40997.352777777778</v>
      </c>
      <c r="J201" s="58" t="s">
        <v>279</v>
      </c>
      <c r="K201" s="4">
        <f t="shared" si="7"/>
        <v>10</v>
      </c>
      <c r="L201" s="4">
        <v>5</v>
      </c>
      <c r="M201" s="4">
        <v>10</v>
      </c>
      <c r="Q201">
        <v>35</v>
      </c>
    </row>
    <row r="202" spans="3:17">
      <c r="F202" s="12">
        <v>132</v>
      </c>
      <c r="G202" s="62" t="s">
        <v>300</v>
      </c>
      <c r="H202" s="7">
        <f t="shared" si="6"/>
        <v>35</v>
      </c>
      <c r="I202" s="50">
        <v>41013.532638888886</v>
      </c>
      <c r="J202" s="58" t="s">
        <v>285</v>
      </c>
      <c r="K202" s="4">
        <f t="shared" si="7"/>
        <v>11</v>
      </c>
      <c r="L202" s="4">
        <v>5</v>
      </c>
      <c r="M202" s="4">
        <v>11</v>
      </c>
      <c r="Q202">
        <v>35</v>
      </c>
    </row>
    <row r="203" spans="3:17">
      <c r="F203" s="12">
        <v>136</v>
      </c>
      <c r="G203" s="62" t="s">
        <v>300</v>
      </c>
      <c r="H203" s="7">
        <f t="shared" si="6"/>
        <v>35</v>
      </c>
      <c r="I203" s="50">
        <v>41013.952777777777</v>
      </c>
      <c r="J203" s="58" t="s">
        <v>52</v>
      </c>
      <c r="K203" s="4">
        <f t="shared" si="7"/>
        <v>12</v>
      </c>
      <c r="L203" s="4">
        <v>2</v>
      </c>
      <c r="M203" s="4">
        <v>12</v>
      </c>
      <c r="Q203">
        <v>35</v>
      </c>
    </row>
    <row r="204" spans="3:17">
      <c r="F204" s="12">
        <v>170</v>
      </c>
      <c r="G204" s="63" t="s">
        <v>298</v>
      </c>
      <c r="H204" s="7">
        <f t="shared" si="6"/>
        <v>35</v>
      </c>
      <c r="I204" s="50">
        <v>41030.404861111114</v>
      </c>
      <c r="J204" s="58" t="s">
        <v>41</v>
      </c>
      <c r="K204" s="4">
        <f t="shared" si="7"/>
        <v>13</v>
      </c>
      <c r="L204" s="4">
        <v>2</v>
      </c>
      <c r="M204" s="4">
        <v>13</v>
      </c>
      <c r="Q204">
        <v>35</v>
      </c>
    </row>
    <row r="205" spans="3:17">
      <c r="F205" s="12">
        <v>173</v>
      </c>
      <c r="G205" s="62" t="s">
        <v>298</v>
      </c>
      <c r="H205" s="7">
        <f t="shared" si="6"/>
        <v>35</v>
      </c>
      <c r="I205" s="50">
        <v>41032.65625</v>
      </c>
      <c r="J205" s="58" t="s">
        <v>189</v>
      </c>
      <c r="K205" s="4">
        <f t="shared" si="7"/>
        <v>14</v>
      </c>
      <c r="L205" s="4">
        <v>2</v>
      </c>
      <c r="M205" s="4">
        <v>14</v>
      </c>
      <c r="Q205">
        <v>35</v>
      </c>
    </row>
    <row r="206" spans="3:17">
      <c r="F206" s="12">
        <v>180</v>
      </c>
      <c r="G206" s="62" t="s">
        <v>300</v>
      </c>
      <c r="H206" s="7">
        <f t="shared" si="6"/>
        <v>35</v>
      </c>
      <c r="I206" s="50">
        <v>41036.564583333333</v>
      </c>
      <c r="J206" s="58" t="s">
        <v>63</v>
      </c>
      <c r="K206" s="4">
        <f t="shared" si="7"/>
        <v>15</v>
      </c>
      <c r="L206" s="4">
        <v>2</v>
      </c>
      <c r="M206" s="4">
        <v>15</v>
      </c>
      <c r="Q206">
        <v>35</v>
      </c>
    </row>
    <row r="207" spans="3:17">
      <c r="F207" s="12">
        <v>214</v>
      </c>
      <c r="G207" s="62" t="s">
        <v>298</v>
      </c>
      <c r="H207" s="7">
        <f t="shared" si="6"/>
        <v>35</v>
      </c>
      <c r="I207" s="50">
        <v>41057.35833333333</v>
      </c>
      <c r="J207" s="58" t="s">
        <v>37</v>
      </c>
      <c r="K207" s="4">
        <f t="shared" si="7"/>
        <v>16</v>
      </c>
      <c r="L207" s="4">
        <v>2</v>
      </c>
      <c r="M207" s="4">
        <v>16</v>
      </c>
      <c r="Q207">
        <v>35</v>
      </c>
    </row>
    <row r="208" spans="3:17">
      <c r="F208" s="12">
        <v>223</v>
      </c>
      <c r="G208" s="62" t="s">
        <v>300</v>
      </c>
      <c r="H208" s="7">
        <f t="shared" si="6"/>
        <v>35</v>
      </c>
      <c r="I208" s="50">
        <v>41060.395138888889</v>
      </c>
      <c r="J208" s="58" t="s">
        <v>112</v>
      </c>
      <c r="K208" s="4">
        <f t="shared" si="7"/>
        <v>17</v>
      </c>
      <c r="L208" s="4">
        <v>2</v>
      </c>
      <c r="M208" s="4">
        <v>17</v>
      </c>
      <c r="Q208">
        <v>35</v>
      </c>
    </row>
    <row r="209" spans="6:17">
      <c r="F209" s="12">
        <v>35</v>
      </c>
      <c r="G209" s="62" t="s">
        <v>534</v>
      </c>
      <c r="H209" s="7">
        <f t="shared" si="6"/>
        <v>36</v>
      </c>
      <c r="I209" s="50">
        <v>40927.743750000001</v>
      </c>
      <c r="J209" s="58" t="s">
        <v>535</v>
      </c>
      <c r="K209" s="4">
        <f t="shared" si="7"/>
        <v>1</v>
      </c>
      <c r="L209" s="4">
        <v>2</v>
      </c>
      <c r="M209" s="4">
        <v>1</v>
      </c>
      <c r="Q209">
        <v>36</v>
      </c>
    </row>
    <row r="210" spans="6:17">
      <c r="F210" s="12">
        <v>30</v>
      </c>
      <c r="G210" s="62" t="s">
        <v>290</v>
      </c>
      <c r="H210" s="7">
        <f t="shared" si="6"/>
        <v>37</v>
      </c>
      <c r="I210" s="50">
        <v>40935.462500000001</v>
      </c>
      <c r="J210" s="58" t="s">
        <v>445</v>
      </c>
      <c r="K210" s="4">
        <f t="shared" si="7"/>
        <v>1</v>
      </c>
      <c r="L210" s="4">
        <v>2</v>
      </c>
      <c r="M210" s="4">
        <v>1</v>
      </c>
      <c r="Q210">
        <v>37</v>
      </c>
    </row>
    <row r="211" spans="6:17">
      <c r="F211" s="12">
        <v>98</v>
      </c>
      <c r="G211" s="62" t="s">
        <v>290</v>
      </c>
      <c r="H211" s="7">
        <f t="shared" si="6"/>
        <v>37</v>
      </c>
      <c r="I211" s="50">
        <v>40983.779166666667</v>
      </c>
      <c r="J211" s="58" t="s">
        <v>270</v>
      </c>
      <c r="K211" s="4">
        <f t="shared" si="7"/>
        <v>2</v>
      </c>
      <c r="L211" s="4">
        <v>2</v>
      </c>
      <c r="M211" s="4">
        <v>2</v>
      </c>
      <c r="Q211">
        <v>37</v>
      </c>
    </row>
    <row r="212" spans="6:17">
      <c r="F212" s="12">
        <v>152</v>
      </c>
      <c r="G212" s="63" t="s">
        <v>290</v>
      </c>
      <c r="H212" s="7">
        <f t="shared" si="6"/>
        <v>37</v>
      </c>
      <c r="I212" s="50">
        <v>41020.477777777778</v>
      </c>
      <c r="J212" s="58" t="s">
        <v>5</v>
      </c>
      <c r="K212" s="4">
        <f t="shared" si="7"/>
        <v>3</v>
      </c>
      <c r="L212" s="4">
        <v>3</v>
      </c>
      <c r="M212" s="4">
        <v>3</v>
      </c>
      <c r="Q212">
        <v>37</v>
      </c>
    </row>
    <row r="213" spans="6:17">
      <c r="F213" s="12">
        <v>158</v>
      </c>
      <c r="G213" s="63" t="s">
        <v>290</v>
      </c>
      <c r="H213" s="7">
        <f t="shared" si="6"/>
        <v>37</v>
      </c>
      <c r="I213" s="50">
        <v>41024.399305555555</v>
      </c>
      <c r="J213" s="58" t="s">
        <v>181</v>
      </c>
      <c r="K213" s="4">
        <f t="shared" si="7"/>
        <v>4</v>
      </c>
      <c r="L213" s="4">
        <v>2</v>
      </c>
      <c r="M213" s="4">
        <v>4</v>
      </c>
      <c r="Q213">
        <v>37</v>
      </c>
    </row>
    <row r="214" spans="6:17">
      <c r="F214" s="12">
        <v>185</v>
      </c>
      <c r="G214" s="63" t="s">
        <v>290</v>
      </c>
      <c r="H214" s="7">
        <f t="shared" si="6"/>
        <v>37</v>
      </c>
      <c r="I214" s="50">
        <v>41036.775694444441</v>
      </c>
      <c r="J214" s="58" t="s">
        <v>158</v>
      </c>
      <c r="K214" s="4">
        <f t="shared" si="7"/>
        <v>5</v>
      </c>
      <c r="L214" s="4">
        <v>4</v>
      </c>
      <c r="M214" s="4">
        <v>5</v>
      </c>
      <c r="Q214">
        <v>37</v>
      </c>
    </row>
    <row r="215" spans="6:17">
      <c r="F215" s="12">
        <v>222</v>
      </c>
      <c r="G215" s="63" t="s">
        <v>290</v>
      </c>
      <c r="H215" s="7">
        <f t="shared" si="6"/>
        <v>37</v>
      </c>
      <c r="I215" s="50">
        <v>41060.472916666666</v>
      </c>
      <c r="J215" s="58" t="s">
        <v>85</v>
      </c>
      <c r="K215" s="4">
        <f t="shared" si="7"/>
        <v>6</v>
      </c>
      <c r="L215" s="4">
        <v>2</v>
      </c>
      <c r="M215" s="4">
        <v>6</v>
      </c>
      <c r="Q215">
        <v>37</v>
      </c>
    </row>
    <row r="216" spans="6:17">
      <c r="F216" s="12">
        <v>225</v>
      </c>
      <c r="G216" s="62" t="s">
        <v>290</v>
      </c>
      <c r="H216" s="7">
        <f t="shared" si="6"/>
        <v>37</v>
      </c>
      <c r="I216" s="50">
        <v>41061.676388888889</v>
      </c>
      <c r="J216" s="58" t="s">
        <v>129</v>
      </c>
      <c r="K216" s="4">
        <f t="shared" si="7"/>
        <v>7</v>
      </c>
      <c r="L216" s="4">
        <v>2</v>
      </c>
      <c r="M216" s="4">
        <v>7</v>
      </c>
      <c r="Q216">
        <v>37</v>
      </c>
    </row>
    <row r="217" spans="6:17">
      <c r="F217" s="12">
        <v>12</v>
      </c>
      <c r="G217" s="63" t="s">
        <v>621</v>
      </c>
      <c r="H217" s="7">
        <f t="shared" si="6"/>
        <v>38</v>
      </c>
      <c r="I217" s="50">
        <v>40923.454861111109</v>
      </c>
      <c r="J217" s="58" t="s">
        <v>1252</v>
      </c>
      <c r="K217" s="4">
        <f t="shared" si="7"/>
        <v>1</v>
      </c>
      <c r="L217" s="4">
        <v>2</v>
      </c>
      <c r="M217" s="4">
        <v>1</v>
      </c>
      <c r="Q217">
        <v>38</v>
      </c>
    </row>
    <row r="218" spans="6:17">
      <c r="F218" s="12">
        <v>93</v>
      </c>
      <c r="G218" s="62" t="s">
        <v>305</v>
      </c>
      <c r="H218" s="7">
        <f t="shared" si="6"/>
        <v>39</v>
      </c>
      <c r="I218" s="50">
        <v>40953.62222222222</v>
      </c>
      <c r="J218" s="58" t="s">
        <v>72</v>
      </c>
      <c r="K218" s="4">
        <f t="shared" si="7"/>
        <v>1</v>
      </c>
      <c r="L218" s="4">
        <v>4</v>
      </c>
      <c r="M218" s="4">
        <v>1</v>
      </c>
      <c r="Q218">
        <v>39</v>
      </c>
    </row>
    <row r="219" spans="6:17">
      <c r="F219" s="12">
        <v>1</v>
      </c>
      <c r="G219" s="62" t="s">
        <v>289</v>
      </c>
      <c r="H219" s="7">
        <f t="shared" si="6"/>
        <v>40</v>
      </c>
      <c r="I219" s="50">
        <v>40910.095138888886</v>
      </c>
      <c r="J219" s="58" t="s">
        <v>1140</v>
      </c>
      <c r="K219" s="4">
        <f t="shared" si="7"/>
        <v>1</v>
      </c>
      <c r="L219" s="4">
        <v>3</v>
      </c>
      <c r="M219" s="4">
        <v>1</v>
      </c>
      <c r="Q219">
        <v>40</v>
      </c>
    </row>
    <row r="220" spans="6:17">
      <c r="F220" s="12">
        <v>6</v>
      </c>
      <c r="G220" s="63" t="s">
        <v>289</v>
      </c>
      <c r="H220" s="7">
        <f t="shared" si="6"/>
        <v>40</v>
      </c>
      <c r="I220" s="50">
        <v>40915.045138888891</v>
      </c>
      <c r="J220" s="58" t="s">
        <v>991</v>
      </c>
      <c r="K220" s="4">
        <f t="shared" si="7"/>
        <v>2</v>
      </c>
      <c r="L220" s="4">
        <v>2</v>
      </c>
      <c r="M220" s="4">
        <v>2</v>
      </c>
      <c r="Q220">
        <v>40</v>
      </c>
    </row>
    <row r="221" spans="6:17">
      <c r="F221" s="12">
        <v>20</v>
      </c>
      <c r="G221" s="63" t="s">
        <v>289</v>
      </c>
      <c r="H221" s="7">
        <f t="shared" si="6"/>
        <v>40</v>
      </c>
      <c r="I221" s="50">
        <v>40928.941666666666</v>
      </c>
      <c r="J221" s="58" t="s">
        <v>1041</v>
      </c>
      <c r="K221" s="4">
        <f t="shared" si="7"/>
        <v>3</v>
      </c>
      <c r="L221" s="4">
        <v>3</v>
      </c>
      <c r="M221" s="4">
        <v>3</v>
      </c>
      <c r="Q221">
        <v>40</v>
      </c>
    </row>
    <row r="222" spans="6:17">
      <c r="F222" s="12">
        <v>33</v>
      </c>
      <c r="G222" s="62" t="s">
        <v>289</v>
      </c>
      <c r="H222" s="7">
        <f t="shared" si="6"/>
        <v>40</v>
      </c>
      <c r="I222" s="50">
        <v>40937.467361111114</v>
      </c>
      <c r="J222" s="58" t="s">
        <v>527</v>
      </c>
      <c r="K222" s="4">
        <f t="shared" si="7"/>
        <v>4</v>
      </c>
      <c r="L222" s="4">
        <v>39</v>
      </c>
      <c r="M222" s="4">
        <v>4</v>
      </c>
      <c r="Q222">
        <v>40</v>
      </c>
    </row>
    <row r="223" spans="6:17">
      <c r="F223" s="12">
        <v>43</v>
      </c>
      <c r="G223" s="62" t="s">
        <v>289</v>
      </c>
      <c r="H223" s="7">
        <f t="shared" si="6"/>
        <v>40</v>
      </c>
      <c r="I223" s="50">
        <v>40946.012499999997</v>
      </c>
      <c r="J223" s="58" t="s">
        <v>818</v>
      </c>
      <c r="K223" s="4">
        <f t="shared" si="7"/>
        <v>5</v>
      </c>
      <c r="L223" s="4">
        <v>2</v>
      </c>
      <c r="M223" s="4">
        <v>5</v>
      </c>
      <c r="Q223">
        <v>40</v>
      </c>
    </row>
    <row r="224" spans="6:17">
      <c r="F224" s="12">
        <v>82</v>
      </c>
      <c r="G224" s="63" t="s">
        <v>289</v>
      </c>
      <c r="H224" s="7">
        <f t="shared" si="6"/>
        <v>40</v>
      </c>
      <c r="I224" s="50">
        <v>40971.477083333331</v>
      </c>
      <c r="J224" s="58" t="s">
        <v>150</v>
      </c>
      <c r="K224" s="4">
        <f t="shared" si="7"/>
        <v>6</v>
      </c>
      <c r="L224" s="4">
        <v>13</v>
      </c>
      <c r="M224" s="4">
        <v>6</v>
      </c>
      <c r="Q224">
        <v>40</v>
      </c>
    </row>
    <row r="225" spans="6:17">
      <c r="F225" s="12">
        <v>99</v>
      </c>
      <c r="G225" s="62" t="s">
        <v>289</v>
      </c>
      <c r="H225" s="7">
        <f t="shared" si="6"/>
        <v>40</v>
      </c>
      <c r="I225" s="50">
        <v>40987.040277777778</v>
      </c>
      <c r="J225" s="58" t="s">
        <v>75</v>
      </c>
      <c r="K225" s="4">
        <f t="shared" si="7"/>
        <v>7</v>
      </c>
      <c r="L225" s="4">
        <v>2</v>
      </c>
      <c r="M225" s="4">
        <v>7</v>
      </c>
      <c r="Q225">
        <v>40</v>
      </c>
    </row>
    <row r="226" spans="6:17">
      <c r="F226" s="12">
        <v>102</v>
      </c>
      <c r="G226" s="63" t="s">
        <v>289</v>
      </c>
      <c r="H226" s="7">
        <f t="shared" si="6"/>
        <v>40</v>
      </c>
      <c r="I226" s="50">
        <v>40989.836805555555</v>
      </c>
      <c r="J226" s="58" t="s">
        <v>240</v>
      </c>
      <c r="K226" s="4">
        <f t="shared" si="7"/>
        <v>8</v>
      </c>
      <c r="L226" s="4">
        <v>2</v>
      </c>
      <c r="M226" s="4">
        <v>8</v>
      </c>
      <c r="Q226">
        <v>40</v>
      </c>
    </row>
    <row r="227" spans="6:17">
      <c r="F227" s="12">
        <v>115</v>
      </c>
      <c r="G227" s="62" t="s">
        <v>289</v>
      </c>
      <c r="H227" s="7">
        <f t="shared" si="6"/>
        <v>40</v>
      </c>
      <c r="I227" s="50">
        <v>40999.883333333331</v>
      </c>
      <c r="J227" s="58" t="s">
        <v>123</v>
      </c>
      <c r="K227" s="4">
        <f t="shared" si="7"/>
        <v>9</v>
      </c>
      <c r="L227" s="4">
        <v>2</v>
      </c>
      <c r="M227" s="4">
        <v>9</v>
      </c>
      <c r="Q227">
        <v>40</v>
      </c>
    </row>
    <row r="228" spans="6:17">
      <c r="F228" s="12">
        <v>129</v>
      </c>
      <c r="G228" s="62" t="s">
        <v>289</v>
      </c>
      <c r="H228" s="7">
        <f t="shared" si="6"/>
        <v>40</v>
      </c>
      <c r="I228" s="50">
        <v>41011.868055555555</v>
      </c>
      <c r="J228" s="58" t="s">
        <v>198</v>
      </c>
      <c r="K228" s="4">
        <f t="shared" si="7"/>
        <v>10</v>
      </c>
      <c r="L228" s="4">
        <v>2</v>
      </c>
      <c r="M228" s="4">
        <v>10</v>
      </c>
      <c r="Q228">
        <v>40</v>
      </c>
    </row>
    <row r="229" spans="6:17">
      <c r="F229" s="12">
        <v>141</v>
      </c>
      <c r="G229" s="62" t="s">
        <v>289</v>
      </c>
      <c r="H229" s="7">
        <f t="shared" si="6"/>
        <v>40</v>
      </c>
      <c r="I229" s="50">
        <v>41014.992361111108</v>
      </c>
      <c r="J229" s="58" t="s">
        <v>104</v>
      </c>
      <c r="K229" s="4">
        <f t="shared" si="7"/>
        <v>11</v>
      </c>
      <c r="L229" s="4">
        <v>2</v>
      </c>
      <c r="M229" s="4">
        <v>11</v>
      </c>
      <c r="Q229">
        <v>40</v>
      </c>
    </row>
    <row r="230" spans="6:17">
      <c r="F230" s="12">
        <v>151</v>
      </c>
      <c r="G230" s="62" t="s">
        <v>289</v>
      </c>
      <c r="H230" s="7">
        <f t="shared" si="6"/>
        <v>40</v>
      </c>
      <c r="I230" s="50">
        <v>41020.418749999997</v>
      </c>
      <c r="J230" s="58" t="s">
        <v>4</v>
      </c>
      <c r="K230" s="4">
        <f t="shared" si="7"/>
        <v>12</v>
      </c>
      <c r="L230" s="4">
        <v>6</v>
      </c>
      <c r="M230" s="4">
        <v>12</v>
      </c>
      <c r="Q230">
        <v>40</v>
      </c>
    </row>
    <row r="231" spans="6:17">
      <c r="F231" s="12">
        <v>174</v>
      </c>
      <c r="G231" s="62" t="s">
        <v>289</v>
      </c>
      <c r="H231" s="7">
        <f t="shared" si="6"/>
        <v>40</v>
      </c>
      <c r="I231" s="50">
        <v>41032.681250000001</v>
      </c>
      <c r="J231" s="58" t="s">
        <v>190</v>
      </c>
      <c r="K231" s="4">
        <f t="shared" si="7"/>
        <v>13</v>
      </c>
      <c r="L231" s="4">
        <v>13</v>
      </c>
      <c r="M231" s="4">
        <v>13</v>
      </c>
      <c r="Q231">
        <v>40</v>
      </c>
    </row>
    <row r="232" spans="6:17">
      <c r="F232" s="12">
        <v>178</v>
      </c>
      <c r="G232" s="63" t="s">
        <v>289</v>
      </c>
      <c r="H232" s="7">
        <f t="shared" si="6"/>
        <v>40</v>
      </c>
      <c r="I232" s="50">
        <v>41035.763888888891</v>
      </c>
      <c r="J232" s="58" t="s">
        <v>28</v>
      </c>
      <c r="K232" s="4">
        <f t="shared" si="7"/>
        <v>14</v>
      </c>
      <c r="L232" s="4">
        <v>4</v>
      </c>
      <c r="M232" s="4">
        <v>14</v>
      </c>
      <c r="Q232">
        <v>40</v>
      </c>
    </row>
    <row r="233" spans="6:17">
      <c r="F233" s="12">
        <v>204</v>
      </c>
      <c r="G233" s="62" t="s">
        <v>289</v>
      </c>
      <c r="H233" s="7">
        <f t="shared" si="6"/>
        <v>40</v>
      </c>
      <c r="I233" s="50">
        <v>41051.17291666667</v>
      </c>
      <c r="J233" s="58" t="s">
        <v>253</v>
      </c>
      <c r="K233" s="4">
        <f t="shared" si="7"/>
        <v>15</v>
      </c>
      <c r="L233" s="4">
        <v>55</v>
      </c>
      <c r="M233" s="4">
        <v>15</v>
      </c>
      <c r="Q233">
        <v>40</v>
      </c>
    </row>
    <row r="234" spans="6:17">
      <c r="F234" s="12">
        <v>169</v>
      </c>
      <c r="G234" s="62" t="s">
        <v>299</v>
      </c>
      <c r="H234" s="7">
        <f t="shared" si="6"/>
        <v>41</v>
      </c>
      <c r="I234" s="50">
        <v>41030.38958333333</v>
      </c>
      <c r="J234" s="58" t="s">
        <v>40</v>
      </c>
      <c r="K234" s="4">
        <f t="shared" si="7"/>
        <v>1</v>
      </c>
      <c r="L234" s="4">
        <v>2</v>
      </c>
      <c r="M234" s="4">
        <v>1</v>
      </c>
      <c r="Q234">
        <v>41</v>
      </c>
    </row>
    <row r="235" spans="6:17">
      <c r="F235" s="12">
        <v>171</v>
      </c>
      <c r="G235" s="62" t="s">
        <v>299</v>
      </c>
      <c r="H235" s="7">
        <f t="shared" si="6"/>
        <v>41</v>
      </c>
      <c r="I235" s="50">
        <v>41030.402083333334</v>
      </c>
      <c r="J235" s="58" t="s">
        <v>281</v>
      </c>
      <c r="K235" s="4">
        <f t="shared" si="7"/>
        <v>2</v>
      </c>
      <c r="L235" s="4">
        <v>2</v>
      </c>
      <c r="M235" s="4">
        <v>2</v>
      </c>
      <c r="Q235">
        <v>41</v>
      </c>
    </row>
    <row r="236" spans="6:17">
      <c r="F236" s="12">
        <v>199</v>
      </c>
      <c r="G236" s="62" t="s">
        <v>299</v>
      </c>
      <c r="H236" s="7">
        <f t="shared" si="6"/>
        <v>41</v>
      </c>
      <c r="I236" s="50">
        <v>41050.663194444445</v>
      </c>
      <c r="J236" s="58" t="s">
        <v>267</v>
      </c>
      <c r="K236" s="4">
        <f t="shared" si="7"/>
        <v>3</v>
      </c>
      <c r="L236" s="4">
        <v>2</v>
      </c>
      <c r="M236" s="4">
        <v>3</v>
      </c>
      <c r="Q236">
        <v>41</v>
      </c>
    </row>
    <row r="237" spans="6:17">
      <c r="F237" s="12">
        <v>232</v>
      </c>
      <c r="G237" s="62" t="s">
        <v>307</v>
      </c>
      <c r="H237" s="7">
        <f t="shared" si="6"/>
        <v>42</v>
      </c>
      <c r="I237" s="50">
        <v>41008.543749999997</v>
      </c>
      <c r="J237" s="58" t="s">
        <v>81</v>
      </c>
      <c r="K237" s="4">
        <f t="shared" si="7"/>
        <v>1</v>
      </c>
      <c r="L237" s="4">
        <v>2</v>
      </c>
      <c r="M237" s="4">
        <v>1</v>
      </c>
      <c r="Q237">
        <v>42</v>
      </c>
    </row>
    <row r="238" spans="6:17">
      <c r="F238" s="12">
        <v>66</v>
      </c>
      <c r="G238" s="62" t="s">
        <v>308</v>
      </c>
      <c r="H238" s="7">
        <f t="shared" si="6"/>
        <v>43</v>
      </c>
      <c r="I238" s="50">
        <v>40963.697222222225</v>
      </c>
      <c r="J238" s="58" t="s">
        <v>392</v>
      </c>
      <c r="K238" s="4">
        <f t="shared" si="7"/>
        <v>1</v>
      </c>
      <c r="L238" s="4">
        <v>2</v>
      </c>
      <c r="M238" s="4">
        <v>1</v>
      </c>
      <c r="Q238">
        <v>43</v>
      </c>
    </row>
    <row r="239" spans="6:17">
      <c r="F239" s="12">
        <v>258</v>
      </c>
      <c r="G239" s="63" t="s">
        <v>308</v>
      </c>
      <c r="H239" s="7">
        <f t="shared" si="6"/>
        <v>43</v>
      </c>
      <c r="I239" s="50">
        <v>41079.785416666666</v>
      </c>
      <c r="J239" s="58" t="s">
        <v>1950</v>
      </c>
      <c r="K239" s="4">
        <f t="shared" si="7"/>
        <v>2</v>
      </c>
      <c r="L239" s="4">
        <v>2</v>
      </c>
      <c r="M239" s="4">
        <v>2</v>
      </c>
      <c r="Q239">
        <v>43</v>
      </c>
    </row>
    <row r="240" spans="6:17">
      <c r="F240" s="12">
        <v>41</v>
      </c>
      <c r="G240" s="62" t="s">
        <v>457</v>
      </c>
      <c r="H240" s="7">
        <f t="shared" si="6"/>
        <v>44</v>
      </c>
      <c r="I240" s="50">
        <v>40915.584027777775</v>
      </c>
      <c r="J240" s="58" t="s">
        <v>1493</v>
      </c>
      <c r="K240" s="4">
        <f t="shared" si="7"/>
        <v>1</v>
      </c>
      <c r="L240" s="4">
        <v>2</v>
      </c>
      <c r="M240" s="4">
        <v>1</v>
      </c>
      <c r="Q240">
        <v>44</v>
      </c>
    </row>
    <row r="241" spans="6:17">
      <c r="F241" s="12">
        <v>139</v>
      </c>
      <c r="G241" s="62" t="s">
        <v>297</v>
      </c>
      <c r="H241" s="7">
        <f t="shared" si="6"/>
        <v>45</v>
      </c>
      <c r="I241" s="50">
        <v>41013.703472222223</v>
      </c>
      <c r="J241" s="58" t="s">
        <v>34</v>
      </c>
      <c r="K241" s="4">
        <f t="shared" si="7"/>
        <v>1</v>
      </c>
      <c r="L241" s="4">
        <v>2</v>
      </c>
      <c r="M241" s="4">
        <v>1</v>
      </c>
      <c r="Q241">
        <v>45</v>
      </c>
    </row>
    <row r="242" spans="6:17">
      <c r="F242" s="12">
        <v>104</v>
      </c>
      <c r="G242" s="63" t="s">
        <v>315</v>
      </c>
      <c r="H242" s="7">
        <f t="shared" si="6"/>
        <v>46</v>
      </c>
      <c r="I242" s="50">
        <v>40990.819444444445</v>
      </c>
      <c r="J242" s="58" t="s">
        <v>196</v>
      </c>
      <c r="K242" s="4">
        <f t="shared" si="7"/>
        <v>1</v>
      </c>
      <c r="L242" s="4">
        <v>3</v>
      </c>
      <c r="M242" s="4">
        <v>1</v>
      </c>
      <c r="Q242">
        <v>46</v>
      </c>
    </row>
    <row r="243" spans="6:17">
      <c r="F243" s="12">
        <v>111</v>
      </c>
      <c r="G243" s="63" t="s">
        <v>315</v>
      </c>
      <c r="H243" s="7">
        <f t="shared" si="6"/>
        <v>46</v>
      </c>
      <c r="I243" s="50">
        <v>40995.917361111111</v>
      </c>
      <c r="J243" s="58" t="s">
        <v>278</v>
      </c>
      <c r="K243" s="4">
        <f t="shared" si="7"/>
        <v>2</v>
      </c>
      <c r="L243" s="4">
        <v>2</v>
      </c>
      <c r="M243" s="4">
        <v>2</v>
      </c>
      <c r="Q243">
        <v>46</v>
      </c>
    </row>
    <row r="244" spans="6:17">
      <c r="F244" s="12">
        <v>134</v>
      </c>
      <c r="G244" s="63" t="s">
        <v>315</v>
      </c>
      <c r="H244" s="7">
        <f t="shared" si="6"/>
        <v>46</v>
      </c>
      <c r="I244" s="50">
        <v>41013.902777777781</v>
      </c>
      <c r="J244" s="58" t="s">
        <v>187</v>
      </c>
      <c r="K244" s="4">
        <f t="shared" si="7"/>
        <v>3</v>
      </c>
      <c r="L244" s="4">
        <v>5</v>
      </c>
      <c r="M244" s="4">
        <v>3</v>
      </c>
      <c r="Q244">
        <v>46</v>
      </c>
    </row>
    <row r="245" spans="6:17">
      <c r="F245" s="12">
        <v>177</v>
      </c>
      <c r="G245" s="62" t="s">
        <v>315</v>
      </c>
      <c r="H245" s="7">
        <f t="shared" si="6"/>
        <v>46</v>
      </c>
      <c r="I245" s="50">
        <v>41035.727083333331</v>
      </c>
      <c r="J245" s="58" t="s">
        <v>163</v>
      </c>
      <c r="K245" s="4">
        <f t="shared" si="7"/>
        <v>4</v>
      </c>
      <c r="L245" s="4">
        <v>2</v>
      </c>
      <c r="M245" s="4">
        <v>4</v>
      </c>
      <c r="Q245">
        <v>46</v>
      </c>
    </row>
    <row r="246" spans="6:17">
      <c r="F246" s="12">
        <v>14</v>
      </c>
      <c r="G246" s="63" t="s">
        <v>312</v>
      </c>
      <c r="H246" s="7">
        <f t="shared" si="6"/>
        <v>47</v>
      </c>
      <c r="I246" s="50">
        <v>40924.270833333336</v>
      </c>
      <c r="J246" s="58" t="s">
        <v>1538</v>
      </c>
      <c r="K246" s="4">
        <f t="shared" si="7"/>
        <v>1</v>
      </c>
      <c r="L246" s="4">
        <v>2</v>
      </c>
      <c r="M246" s="4">
        <v>1</v>
      </c>
      <c r="Q246">
        <v>47</v>
      </c>
    </row>
    <row r="247" spans="6:17">
      <c r="F247" s="12">
        <v>55</v>
      </c>
      <c r="G247" s="62" t="s">
        <v>312</v>
      </c>
      <c r="H247" s="7">
        <f t="shared" si="6"/>
        <v>47</v>
      </c>
      <c r="I247" s="50">
        <v>40959.313888888886</v>
      </c>
      <c r="J247" s="58" t="s">
        <v>1917</v>
      </c>
      <c r="K247" s="4">
        <f t="shared" si="7"/>
        <v>2</v>
      </c>
      <c r="L247" s="4">
        <v>5</v>
      </c>
      <c r="M247" s="4">
        <v>2</v>
      </c>
      <c r="Q247">
        <v>47</v>
      </c>
    </row>
    <row r="248" spans="6:17">
      <c r="F248" s="12">
        <v>65</v>
      </c>
      <c r="G248" s="62" t="s">
        <v>312</v>
      </c>
      <c r="H248" s="7">
        <f t="shared" si="6"/>
        <v>47</v>
      </c>
      <c r="I248" s="50">
        <v>40962.070138888892</v>
      </c>
      <c r="J248" s="58" t="s">
        <v>391</v>
      </c>
      <c r="K248" s="4">
        <f t="shared" si="7"/>
        <v>3</v>
      </c>
      <c r="L248" s="4">
        <v>2</v>
      </c>
      <c r="M248" s="4">
        <v>3</v>
      </c>
      <c r="Q248">
        <v>47</v>
      </c>
    </row>
    <row r="249" spans="6:17">
      <c r="F249" s="12">
        <v>79</v>
      </c>
      <c r="G249" s="62" t="s">
        <v>312</v>
      </c>
      <c r="H249" s="7">
        <f t="shared" si="6"/>
        <v>47</v>
      </c>
      <c r="I249" s="50">
        <v>40970.339583333334</v>
      </c>
      <c r="J249" s="58" t="s">
        <v>165</v>
      </c>
      <c r="K249" s="4">
        <f t="shared" si="7"/>
        <v>4</v>
      </c>
      <c r="L249" s="4">
        <v>2</v>
      </c>
      <c r="M249" s="4">
        <v>4</v>
      </c>
      <c r="Q249">
        <v>47</v>
      </c>
    </row>
    <row r="250" spans="6:17">
      <c r="F250" s="12">
        <v>194</v>
      </c>
      <c r="G250" s="62" t="s">
        <v>312</v>
      </c>
      <c r="H250" s="7">
        <f t="shared" si="6"/>
        <v>47</v>
      </c>
      <c r="I250" s="50">
        <v>41046.047222222223</v>
      </c>
      <c r="J250" s="58" t="s">
        <v>1947</v>
      </c>
      <c r="K250" s="4">
        <f t="shared" si="7"/>
        <v>5</v>
      </c>
      <c r="L250" s="4">
        <v>3</v>
      </c>
      <c r="M250" s="4">
        <v>5</v>
      </c>
      <c r="Q250">
        <v>47</v>
      </c>
    </row>
    <row r="251" spans="6:17">
      <c r="F251" s="12">
        <v>8</v>
      </c>
      <c r="G251" s="63" t="s">
        <v>291</v>
      </c>
      <c r="H251" s="7">
        <f t="shared" si="6"/>
        <v>48</v>
      </c>
      <c r="I251" s="50">
        <v>40917.648611111108</v>
      </c>
      <c r="J251" s="58" t="s">
        <v>1941</v>
      </c>
      <c r="K251" s="4">
        <f t="shared" si="7"/>
        <v>1</v>
      </c>
      <c r="L251" s="4">
        <v>3</v>
      </c>
      <c r="M251" s="4">
        <v>1</v>
      </c>
      <c r="Q251">
        <v>48</v>
      </c>
    </row>
    <row r="252" spans="6:17">
      <c r="F252" s="12">
        <v>15</v>
      </c>
      <c r="G252" s="62" t="s">
        <v>291</v>
      </c>
      <c r="H252" s="7">
        <f t="shared" si="6"/>
        <v>48</v>
      </c>
      <c r="I252" s="50">
        <v>40924.65</v>
      </c>
      <c r="J252" s="58" t="s">
        <v>1526</v>
      </c>
      <c r="K252" s="4">
        <f t="shared" si="7"/>
        <v>2</v>
      </c>
      <c r="L252" s="4">
        <v>2</v>
      </c>
      <c r="M252" s="4">
        <v>2</v>
      </c>
      <c r="Q252">
        <v>48</v>
      </c>
    </row>
    <row r="253" spans="6:17">
      <c r="F253" s="12">
        <v>22</v>
      </c>
      <c r="G253" s="63" t="s">
        <v>291</v>
      </c>
      <c r="H253" s="7">
        <f t="shared" si="6"/>
        <v>48</v>
      </c>
      <c r="I253" s="50">
        <v>40931.65</v>
      </c>
      <c r="J253" s="58" t="s">
        <v>613</v>
      </c>
      <c r="K253" s="4">
        <f t="shared" si="7"/>
        <v>3</v>
      </c>
      <c r="L253" s="4">
        <v>2</v>
      </c>
      <c r="M253" s="4">
        <v>3</v>
      </c>
      <c r="Q253">
        <v>48</v>
      </c>
    </row>
    <row r="254" spans="6:17">
      <c r="F254" s="12">
        <v>27</v>
      </c>
      <c r="G254" s="62" t="s">
        <v>291</v>
      </c>
      <c r="H254" s="7">
        <f t="shared" si="6"/>
        <v>48</v>
      </c>
      <c r="I254" s="50">
        <v>40918.467361111114</v>
      </c>
      <c r="J254" s="58" t="s">
        <v>598</v>
      </c>
      <c r="K254" s="4">
        <f t="shared" si="7"/>
        <v>4</v>
      </c>
      <c r="L254" s="4">
        <v>4</v>
      </c>
      <c r="M254" s="4">
        <v>4</v>
      </c>
      <c r="Q254">
        <v>48</v>
      </c>
    </row>
    <row r="255" spans="6:17">
      <c r="F255" s="12">
        <v>50</v>
      </c>
      <c r="G255" s="63" t="s">
        <v>291</v>
      </c>
      <c r="H255" s="7">
        <f t="shared" si="6"/>
        <v>48</v>
      </c>
      <c r="I255" s="50">
        <v>40956.519444444442</v>
      </c>
      <c r="J255" s="58" t="s">
        <v>710</v>
      </c>
      <c r="K255" s="4">
        <f t="shared" si="7"/>
        <v>5</v>
      </c>
      <c r="L255" s="4">
        <v>2</v>
      </c>
      <c r="M255" s="4">
        <v>5</v>
      </c>
      <c r="Q255">
        <v>48</v>
      </c>
    </row>
    <row r="256" spans="6:17">
      <c r="F256" s="12">
        <v>69</v>
      </c>
      <c r="G256" s="62" t="s">
        <v>291</v>
      </c>
      <c r="H256" s="7">
        <f t="shared" si="6"/>
        <v>48</v>
      </c>
      <c r="I256" s="50">
        <v>40967.455555555556</v>
      </c>
      <c r="J256" s="58" t="s">
        <v>10</v>
      </c>
      <c r="K256" s="4">
        <f t="shared" si="7"/>
        <v>6</v>
      </c>
      <c r="L256" s="4">
        <v>2</v>
      </c>
      <c r="M256" s="4">
        <v>6</v>
      </c>
      <c r="Q256">
        <v>48</v>
      </c>
    </row>
    <row r="257" spans="6:17">
      <c r="F257" s="12">
        <v>118</v>
      </c>
      <c r="G257" s="63" t="s">
        <v>291</v>
      </c>
      <c r="H257" s="7">
        <f t="shared" si="6"/>
        <v>48</v>
      </c>
      <c r="I257" s="50">
        <v>41000.882638888892</v>
      </c>
      <c r="J257" s="58" t="s">
        <v>20</v>
      </c>
      <c r="K257" s="4">
        <f t="shared" si="7"/>
        <v>7</v>
      </c>
      <c r="L257" s="4">
        <v>2</v>
      </c>
      <c r="M257" s="4">
        <v>7</v>
      </c>
      <c r="Q257">
        <v>48</v>
      </c>
    </row>
    <row r="258" spans="6:17">
      <c r="F258" s="12">
        <v>120</v>
      </c>
      <c r="G258" s="62" t="s">
        <v>291</v>
      </c>
      <c r="H258" s="7">
        <f t="shared" ref="H258:H259" si="8">LOOKUP(G258,$N$2:$N$49,$O$2:$O$49)</f>
        <v>48</v>
      </c>
      <c r="I258" s="50">
        <v>41001.499305555553</v>
      </c>
      <c r="J258" s="58" t="s">
        <v>14</v>
      </c>
      <c r="K258" s="4">
        <f t="shared" si="7"/>
        <v>8</v>
      </c>
      <c r="L258" s="4">
        <v>2</v>
      </c>
      <c r="M258" s="4">
        <v>8</v>
      </c>
      <c r="Q258">
        <v>48</v>
      </c>
    </row>
    <row r="259" spans="6:17">
      <c r="F259" s="12">
        <v>156</v>
      </c>
      <c r="G259" s="63" t="s">
        <v>291</v>
      </c>
      <c r="H259" s="7">
        <f t="shared" si="8"/>
        <v>48</v>
      </c>
      <c r="I259" s="50">
        <v>41023.429861111108</v>
      </c>
      <c r="J259" s="58" t="s">
        <v>110</v>
      </c>
      <c r="K259" s="4">
        <f t="shared" si="7"/>
        <v>9</v>
      </c>
      <c r="L259" s="4">
        <v>2</v>
      </c>
      <c r="M259" s="4">
        <v>9</v>
      </c>
      <c r="Q259">
        <v>48</v>
      </c>
    </row>
    <row r="260" spans="6:17">
      <c r="G260" s="51"/>
      <c r="H260" s="7"/>
      <c r="I260" s="50"/>
      <c r="J260" s="11" t="s">
        <v>1940</v>
      </c>
      <c r="L260" s="16">
        <f>AVERAGE(L2:L259)</f>
        <v>4.4224806201550386</v>
      </c>
    </row>
    <row r="261" spans="6:17">
      <c r="G261" s="51"/>
      <c r="H261" s="7"/>
      <c r="I261" s="50"/>
      <c r="J261" s="58"/>
    </row>
    <row r="262" spans="6:17">
      <c r="G262" s="59"/>
      <c r="H262" s="7"/>
      <c r="I262" s="50"/>
      <c r="J262" s="58"/>
    </row>
    <row r="263" spans="6:17">
      <c r="G263" s="51"/>
      <c r="H263" s="7"/>
      <c r="I263" s="50"/>
      <c r="J263" s="58"/>
    </row>
    <row r="264" spans="6:17">
      <c r="G264" s="59"/>
      <c r="H264" s="7"/>
      <c r="I264" s="50"/>
      <c r="J264" s="58"/>
    </row>
    <row r="265" spans="6:17">
      <c r="G265" s="59"/>
      <c r="H265" s="7"/>
      <c r="I265" s="50"/>
      <c r="J265" s="58"/>
    </row>
    <row r="266" spans="6:17">
      <c r="G266" s="51"/>
      <c r="H266" s="7"/>
      <c r="I266" s="50"/>
      <c r="J266" s="58"/>
    </row>
    <row r="267" spans="6:17">
      <c r="G267" s="51"/>
      <c r="H267" s="7"/>
      <c r="I267" s="50"/>
      <c r="J267" s="58"/>
    </row>
    <row r="268" spans="6:17">
      <c r="G268" s="51"/>
      <c r="H268" s="7"/>
      <c r="I268" s="50"/>
      <c r="J268" s="58"/>
    </row>
    <row r="269" spans="6:17">
      <c r="G269" s="51"/>
      <c r="H269" s="7"/>
      <c r="I269" s="50"/>
      <c r="J269" s="58"/>
    </row>
    <row r="270" spans="6:17">
      <c r="G270" s="51"/>
      <c r="H270" s="7"/>
      <c r="I270" s="50"/>
      <c r="J270" s="58"/>
    </row>
    <row r="271" spans="6:17">
      <c r="G271" s="51"/>
      <c r="H271" s="7"/>
      <c r="I271" s="50"/>
      <c r="J271" s="58"/>
      <c r="L271" s="16"/>
    </row>
    <row r="272" spans="6:17">
      <c r="G272" s="59"/>
      <c r="H272" s="7"/>
      <c r="I272" s="50"/>
      <c r="J272" s="58"/>
    </row>
    <row r="273" spans="7:10">
      <c r="G273" s="51"/>
      <c r="H273" s="7"/>
      <c r="I273" s="50"/>
      <c r="J273" s="58"/>
    </row>
    <row r="274" spans="7:10">
      <c r="G274" s="51"/>
      <c r="H274" s="7"/>
      <c r="I274" s="50"/>
      <c r="J274" s="58"/>
    </row>
    <row r="275" spans="7:10">
      <c r="G275" s="51"/>
      <c r="H275" s="7"/>
      <c r="I275" s="50"/>
      <c r="J275" s="58"/>
    </row>
    <row r="276" spans="7:10">
      <c r="G276" s="51"/>
      <c r="H276" s="7"/>
      <c r="I276" s="50"/>
      <c r="J276" s="58"/>
    </row>
    <row r="277" spans="7:10">
      <c r="G277" s="59"/>
      <c r="H277" s="7"/>
      <c r="I277" s="50"/>
      <c r="J277" s="58"/>
    </row>
    <row r="278" spans="7:10">
      <c r="G278" s="59"/>
      <c r="H278" s="7"/>
      <c r="I278" s="50"/>
      <c r="J278" s="58"/>
    </row>
    <row r="279" spans="7:10">
      <c r="G279" s="51"/>
      <c r="H279" s="7"/>
      <c r="I279" s="50"/>
      <c r="J279" s="58"/>
    </row>
    <row r="280" spans="7:10">
      <c r="G280" s="51"/>
      <c r="H280" s="7"/>
      <c r="I280" s="50"/>
      <c r="J280" s="58"/>
    </row>
    <row r="281" spans="7:10">
      <c r="G281" s="51"/>
      <c r="H281" s="7"/>
      <c r="I281" s="50"/>
      <c r="J281" s="58"/>
    </row>
    <row r="282" spans="7:10">
      <c r="G282" s="59"/>
      <c r="H282" s="7"/>
      <c r="I282" s="50"/>
      <c r="J282" s="58"/>
    </row>
    <row r="283" spans="7:10">
      <c r="G283" s="51"/>
      <c r="H283" s="7"/>
      <c r="I283" s="50"/>
      <c r="J283" s="58"/>
    </row>
    <row r="284" spans="7:10">
      <c r="G284" s="51"/>
      <c r="H284" s="7"/>
      <c r="I284" s="50"/>
      <c r="J284" s="58"/>
    </row>
    <row r="285" spans="7:10">
      <c r="G285" s="51"/>
      <c r="H285" s="7"/>
      <c r="I285" s="50"/>
      <c r="J285" s="58"/>
    </row>
    <row r="286" spans="7:10">
      <c r="G286" s="51"/>
      <c r="H286" s="7"/>
      <c r="I286" s="50"/>
      <c r="J286" s="58"/>
    </row>
    <row r="287" spans="7:10">
      <c r="G287" s="59"/>
      <c r="H287" s="7"/>
      <c r="I287" s="50"/>
      <c r="J287" s="58"/>
    </row>
    <row r="288" spans="7:10">
      <c r="G288" s="51"/>
      <c r="H288" s="7"/>
      <c r="I288" s="50"/>
      <c r="J288" s="58"/>
    </row>
    <row r="289" spans="7:10">
      <c r="G289" s="51"/>
      <c r="H289" s="7"/>
      <c r="I289" s="50"/>
      <c r="J289" s="58"/>
    </row>
    <row r="290" spans="7:10">
      <c r="G290" s="59"/>
      <c r="H290" s="7"/>
      <c r="I290" s="50"/>
      <c r="J290" s="58"/>
    </row>
    <row r="291" spans="7:10">
      <c r="G291" s="51"/>
      <c r="H291" s="7"/>
      <c r="I291" s="50"/>
      <c r="J291" s="58"/>
    </row>
    <row r="292" spans="7:10">
      <c r="G292" s="51"/>
      <c r="H292" s="7"/>
      <c r="I292" s="50"/>
      <c r="J292" s="58"/>
    </row>
    <row r="293" spans="7:10">
      <c r="G293" s="51"/>
      <c r="H293" s="7"/>
      <c r="I293" s="50"/>
      <c r="J293" s="58"/>
    </row>
    <row r="294" spans="7:10">
      <c r="G294" s="51"/>
      <c r="H294" s="7"/>
      <c r="I294" s="50"/>
      <c r="J294" s="58"/>
    </row>
    <row r="295" spans="7:10">
      <c r="G295" s="59"/>
      <c r="H295" s="7"/>
      <c r="I295" s="50"/>
      <c r="J295" s="58"/>
    </row>
    <row r="296" spans="7:10">
      <c r="G296" s="59"/>
      <c r="H296" s="7"/>
      <c r="I296" s="50"/>
      <c r="J296" s="58"/>
    </row>
    <row r="297" spans="7:10">
      <c r="G297" s="59"/>
      <c r="H297" s="7"/>
      <c r="I297" s="50"/>
      <c r="J297" s="58"/>
    </row>
    <row r="298" spans="7:10">
      <c r="G298" s="59"/>
      <c r="H298" s="7"/>
      <c r="I298" s="50"/>
      <c r="J298" s="58"/>
    </row>
    <row r="299" spans="7:10">
      <c r="G299" s="59"/>
      <c r="H299" s="7"/>
      <c r="I299" s="50"/>
      <c r="J299" s="58"/>
    </row>
    <row r="300" spans="7:10">
      <c r="G300" s="59"/>
      <c r="H300" s="7"/>
      <c r="I300" s="50"/>
      <c r="J300" s="58"/>
    </row>
    <row r="301" spans="7:10">
      <c r="G301" s="59"/>
      <c r="H301" s="7"/>
      <c r="I301" s="50"/>
      <c r="J301" s="58"/>
    </row>
    <row r="302" spans="7:10">
      <c r="G302" s="59"/>
      <c r="H302" s="7"/>
      <c r="I302" s="50"/>
      <c r="J302" s="58"/>
    </row>
    <row r="303" spans="7:10">
      <c r="G303" s="51"/>
      <c r="H303" s="7"/>
      <c r="I303" s="50"/>
      <c r="J303" s="58"/>
    </row>
    <row r="304" spans="7:10">
      <c r="G304" s="51"/>
      <c r="H304" s="7"/>
      <c r="I304" s="50"/>
      <c r="J304" s="58"/>
    </row>
    <row r="305" spans="7:10">
      <c r="G305" s="51"/>
      <c r="H305" s="7"/>
      <c r="I305" s="50"/>
      <c r="J305" s="58"/>
    </row>
    <row r="306" spans="7:10">
      <c r="G306" s="59"/>
      <c r="H306" s="7"/>
      <c r="I306" s="50"/>
      <c r="J306" s="58"/>
    </row>
    <row r="307" spans="7:10">
      <c r="G307" s="59"/>
      <c r="H307" s="7"/>
      <c r="I307" s="50"/>
      <c r="J307" s="58"/>
    </row>
    <row r="308" spans="7:10">
      <c r="G308" s="59"/>
      <c r="H308" s="7"/>
      <c r="I308" s="50"/>
      <c r="J308" s="58"/>
    </row>
    <row r="309" spans="7:10">
      <c r="G309" s="59"/>
      <c r="H309" s="7"/>
      <c r="I309" s="50"/>
      <c r="J309" s="58"/>
    </row>
    <row r="310" spans="7:10">
      <c r="G310" s="59"/>
      <c r="H310" s="7"/>
      <c r="I310" s="50"/>
      <c r="J310" s="58"/>
    </row>
    <row r="311" spans="7:10">
      <c r="G311" s="51"/>
      <c r="H311" s="7"/>
      <c r="I311" s="50"/>
      <c r="J311" s="58"/>
    </row>
    <row r="312" spans="7:10">
      <c r="G312" s="59"/>
      <c r="H312" s="7"/>
      <c r="I312" s="50"/>
      <c r="J312" s="58"/>
    </row>
    <row r="313" spans="7:10">
      <c r="G313" s="51"/>
      <c r="H313" s="7"/>
      <c r="I313" s="50"/>
      <c r="J313" s="58"/>
    </row>
    <row r="314" spans="7:10">
      <c r="G314" s="59"/>
      <c r="H314" s="7"/>
      <c r="I314" s="50"/>
      <c r="J314" s="58"/>
    </row>
    <row r="315" spans="7:10">
      <c r="G315" s="59"/>
      <c r="H315" s="7"/>
      <c r="I315" s="50"/>
      <c r="J315" s="58"/>
    </row>
    <row r="316" spans="7:10">
      <c r="G316" s="51"/>
      <c r="H316" s="7"/>
      <c r="I316" s="50"/>
      <c r="J316" s="58"/>
    </row>
    <row r="317" spans="7:10">
      <c r="G317" s="51"/>
      <c r="H317" s="7"/>
      <c r="I317" s="50"/>
      <c r="J317" s="58"/>
    </row>
    <row r="318" spans="7:10">
      <c r="G318" s="51"/>
      <c r="H318" s="7"/>
      <c r="I318" s="50"/>
      <c r="J318" s="58"/>
    </row>
    <row r="319" spans="7:10">
      <c r="G319" s="59"/>
      <c r="H319" s="7"/>
      <c r="I319" s="50"/>
      <c r="J319" s="58"/>
    </row>
    <row r="320" spans="7:10">
      <c r="G320" s="51"/>
      <c r="H320" s="7"/>
      <c r="I320" s="50"/>
      <c r="J320" s="58"/>
    </row>
    <row r="321" spans="7:10">
      <c r="G321" s="59"/>
      <c r="H321" s="7"/>
      <c r="I321" s="50"/>
      <c r="J321" s="58"/>
    </row>
    <row r="322" spans="7:10">
      <c r="G322" s="59"/>
      <c r="H322" s="7"/>
      <c r="I322" s="50"/>
      <c r="J322" s="58"/>
    </row>
    <row r="323" spans="7:10">
      <c r="G323" s="59"/>
      <c r="H323" s="7"/>
      <c r="I323" s="50"/>
      <c r="J323" s="58"/>
    </row>
    <row r="324" spans="7:10">
      <c r="G324" s="51"/>
      <c r="H324" s="7"/>
      <c r="I324" s="50"/>
      <c r="J324" s="58"/>
    </row>
    <row r="325" spans="7:10">
      <c r="G325" s="51"/>
      <c r="H325" s="7"/>
      <c r="I325" s="50"/>
      <c r="J325" s="58"/>
    </row>
    <row r="326" spans="7:10">
      <c r="G326" s="51"/>
      <c r="H326" s="7"/>
      <c r="I326" s="50"/>
      <c r="J326" s="58"/>
    </row>
    <row r="327" spans="7:10">
      <c r="G327" s="59"/>
      <c r="H327" s="7"/>
      <c r="I327" s="50"/>
      <c r="J327" s="58"/>
    </row>
    <row r="328" spans="7:10">
      <c r="G328" s="51"/>
      <c r="H328" s="7"/>
      <c r="I328" s="50"/>
      <c r="J328" s="58"/>
    </row>
    <row r="329" spans="7:10">
      <c r="G329" s="59"/>
      <c r="H329" s="7"/>
      <c r="I329" s="50"/>
      <c r="J329" s="58"/>
    </row>
    <row r="330" spans="7:10">
      <c r="G330" s="59"/>
      <c r="H330" s="7"/>
      <c r="I330" s="50"/>
      <c r="J330" s="58"/>
    </row>
    <row r="331" spans="7:10">
      <c r="G331" s="51"/>
      <c r="H331" s="7"/>
      <c r="I331" s="50"/>
      <c r="J331" s="58"/>
    </row>
    <row r="332" spans="7:10">
      <c r="G332" s="59"/>
      <c r="H332" s="7"/>
      <c r="I332" s="50"/>
      <c r="J332" s="58"/>
    </row>
    <row r="333" spans="7:10">
      <c r="G333" s="51"/>
      <c r="H333" s="7"/>
      <c r="I333" s="50"/>
      <c r="J333" s="58"/>
    </row>
    <row r="334" spans="7:10">
      <c r="G334" s="59"/>
      <c r="H334" s="7"/>
      <c r="I334" s="50"/>
      <c r="J334" s="58"/>
    </row>
    <row r="335" spans="7:10">
      <c r="G335" s="51"/>
      <c r="H335" s="7"/>
      <c r="I335" s="50"/>
      <c r="J335" s="58"/>
    </row>
    <row r="336" spans="7:10">
      <c r="G336" s="59"/>
      <c r="H336" s="7"/>
      <c r="I336" s="50"/>
      <c r="J336" s="58"/>
    </row>
    <row r="337" spans="7:10">
      <c r="G337" s="59"/>
      <c r="H337" s="7"/>
      <c r="I337" s="50"/>
      <c r="J337" s="58"/>
    </row>
    <row r="338" spans="7:10">
      <c r="G338" s="59"/>
      <c r="H338" s="7"/>
      <c r="I338" s="50"/>
      <c r="J338" s="58"/>
    </row>
    <row r="339" spans="7:10">
      <c r="G339" s="59"/>
      <c r="H339" s="7"/>
      <c r="I339" s="50"/>
      <c r="J339" s="58"/>
    </row>
    <row r="340" spans="7:10">
      <c r="G340" s="59"/>
      <c r="H340" s="7"/>
      <c r="I340" s="50"/>
      <c r="J340" s="58"/>
    </row>
    <row r="341" spans="7:10">
      <c r="G341" s="59"/>
      <c r="H341" s="7"/>
      <c r="I341" s="50"/>
      <c r="J341" s="58"/>
    </row>
    <row r="342" spans="7:10">
      <c r="G342" s="51"/>
      <c r="H342" s="7"/>
      <c r="I342" s="50"/>
      <c r="J342" s="58"/>
    </row>
    <row r="343" spans="7:10">
      <c r="G343" s="51"/>
      <c r="H343" s="7"/>
      <c r="I343" s="50"/>
      <c r="J343" s="58"/>
    </row>
    <row r="344" spans="7:10">
      <c r="G344" s="59"/>
      <c r="H344" s="7"/>
      <c r="I344" s="50"/>
      <c r="J344" s="58"/>
    </row>
    <row r="345" spans="7:10">
      <c r="G345" s="59"/>
      <c r="H345" s="7"/>
      <c r="I345" s="50"/>
      <c r="J345" s="58"/>
    </row>
    <row r="346" spans="7:10">
      <c r="G346" s="51"/>
      <c r="H346" s="7"/>
      <c r="I346" s="50"/>
      <c r="J346" s="58"/>
    </row>
    <row r="347" spans="7:10">
      <c r="G347" s="59"/>
      <c r="H347" s="7"/>
      <c r="I347" s="50"/>
      <c r="J347" s="58"/>
    </row>
    <row r="348" spans="7:10">
      <c r="G348" s="59"/>
      <c r="H348" s="7"/>
      <c r="I348" s="50"/>
      <c r="J348" s="58"/>
    </row>
    <row r="349" spans="7:10">
      <c r="G349" s="59"/>
      <c r="H349" s="7"/>
      <c r="I349" s="50"/>
      <c r="J349" s="58"/>
    </row>
    <row r="350" spans="7:10">
      <c r="G350" s="59"/>
      <c r="H350" s="7"/>
      <c r="I350" s="50"/>
      <c r="J350" s="58"/>
    </row>
    <row r="351" spans="7:10">
      <c r="G351" s="51"/>
      <c r="H351" s="7"/>
      <c r="I351" s="50"/>
      <c r="J351" s="58"/>
    </row>
    <row r="352" spans="7:10">
      <c r="G352" s="59"/>
      <c r="H352" s="7"/>
      <c r="I352" s="50"/>
      <c r="J352" s="58"/>
    </row>
    <row r="353" spans="7:10">
      <c r="G353" s="51"/>
      <c r="H353" s="7"/>
      <c r="I353" s="50"/>
      <c r="J353" s="58"/>
    </row>
    <row r="354" spans="7:10">
      <c r="G354" s="51"/>
      <c r="H354" s="7"/>
      <c r="I354" s="50"/>
      <c r="J354" s="58"/>
    </row>
    <row r="355" spans="7:10">
      <c r="G355" s="51"/>
      <c r="H355" s="7"/>
      <c r="I355" s="50"/>
      <c r="J355" s="58"/>
    </row>
    <row r="356" spans="7:10">
      <c r="G356" s="51"/>
      <c r="H356" s="7"/>
      <c r="I356" s="50"/>
      <c r="J356" s="58"/>
    </row>
    <row r="357" spans="7:10">
      <c r="G357" s="59"/>
      <c r="H357" s="7"/>
      <c r="I357" s="50"/>
      <c r="J357" s="58"/>
    </row>
    <row r="358" spans="7:10">
      <c r="G358" s="51"/>
      <c r="H358" s="7"/>
      <c r="I358" s="50"/>
      <c r="J358" s="58"/>
    </row>
    <row r="359" spans="7:10">
      <c r="G359" s="51"/>
      <c r="H359" s="7"/>
      <c r="I359" s="50"/>
      <c r="J359" s="58"/>
    </row>
    <row r="360" spans="7:10">
      <c r="G360" s="59"/>
      <c r="H360" s="7"/>
      <c r="I360" s="50"/>
      <c r="J360" s="58"/>
    </row>
    <row r="361" spans="7:10">
      <c r="G361" s="59"/>
      <c r="H361" s="7"/>
      <c r="I361" s="50"/>
      <c r="J361" s="58"/>
    </row>
    <row r="362" spans="7:10">
      <c r="G362" s="59"/>
      <c r="H362" s="7"/>
      <c r="I362" s="50"/>
      <c r="J362" s="58"/>
    </row>
    <row r="363" spans="7:10">
      <c r="G363" s="51"/>
      <c r="H363" s="7"/>
      <c r="I363" s="50"/>
      <c r="J363" s="58"/>
    </row>
    <row r="364" spans="7:10">
      <c r="G364" s="59"/>
      <c r="H364" s="7"/>
      <c r="I364" s="50"/>
      <c r="J364" s="58"/>
    </row>
    <row r="365" spans="7:10">
      <c r="G365" s="51"/>
      <c r="H365" s="7"/>
      <c r="I365" s="50"/>
      <c r="J365" s="58"/>
    </row>
    <row r="366" spans="7:10">
      <c r="G366" s="59"/>
      <c r="H366" s="7"/>
      <c r="I366" s="50"/>
      <c r="J366" s="58"/>
    </row>
    <row r="367" spans="7:10">
      <c r="G367" s="59"/>
      <c r="H367" s="7"/>
      <c r="I367" s="50"/>
      <c r="J367" s="58"/>
    </row>
    <row r="368" spans="7:10">
      <c r="G368" s="51"/>
      <c r="H368" s="7"/>
      <c r="I368" s="50"/>
      <c r="J368" s="58"/>
    </row>
    <row r="369" spans="7:10">
      <c r="G369" s="59"/>
      <c r="H369" s="7"/>
      <c r="I369" s="50"/>
      <c r="J369" s="58"/>
    </row>
    <row r="370" spans="7:10">
      <c r="G370" s="51"/>
      <c r="H370" s="7"/>
      <c r="I370" s="50"/>
      <c r="J370" s="58"/>
    </row>
    <row r="371" spans="7:10">
      <c r="G371" s="59"/>
      <c r="H371" s="7"/>
      <c r="I371" s="50"/>
      <c r="J371" s="58"/>
    </row>
    <row r="372" spans="7:10">
      <c r="G372" s="51"/>
      <c r="H372" s="7"/>
      <c r="I372" s="50"/>
      <c r="J372" s="58"/>
    </row>
    <row r="373" spans="7:10">
      <c r="G373" s="51"/>
      <c r="H373" s="7"/>
      <c r="I373" s="50"/>
      <c r="J373" s="58"/>
    </row>
    <row r="374" spans="7:10">
      <c r="G374" s="59"/>
      <c r="H374" s="7"/>
      <c r="I374" s="50"/>
      <c r="J374" s="58"/>
    </row>
    <row r="375" spans="7:10">
      <c r="G375" s="51"/>
      <c r="H375" s="7"/>
      <c r="I375" s="50"/>
      <c r="J375" s="58"/>
    </row>
    <row r="376" spans="7:10">
      <c r="G376" s="59"/>
      <c r="H376" s="7"/>
      <c r="I376" s="50"/>
      <c r="J376" s="58"/>
    </row>
    <row r="377" spans="7:10">
      <c r="G377" s="59"/>
      <c r="H377" s="7"/>
      <c r="I377" s="50"/>
      <c r="J377" s="58"/>
    </row>
    <row r="378" spans="7:10">
      <c r="G378" s="59"/>
      <c r="H378" s="7"/>
      <c r="I378" s="50"/>
      <c r="J378" s="58"/>
    </row>
    <row r="379" spans="7:10">
      <c r="G379" s="51"/>
      <c r="H379" s="7"/>
      <c r="I379" s="50"/>
      <c r="J379" s="58"/>
    </row>
    <row r="380" spans="7:10">
      <c r="G380" s="51"/>
      <c r="H380" s="7"/>
      <c r="I380" s="50"/>
      <c r="J380" s="58"/>
    </row>
    <row r="381" spans="7:10">
      <c r="G381" s="59"/>
      <c r="H381" s="7"/>
      <c r="I381" s="50"/>
      <c r="J381" s="58"/>
    </row>
    <row r="382" spans="7:10">
      <c r="G382" s="51"/>
      <c r="H382" s="7"/>
      <c r="I382" s="50"/>
      <c r="J382" s="58"/>
    </row>
    <row r="383" spans="7:10">
      <c r="G383" s="51"/>
      <c r="H383" s="7"/>
      <c r="I383" s="50"/>
      <c r="J383" s="58"/>
    </row>
    <row r="384" spans="7:10">
      <c r="G384" s="59"/>
      <c r="H384" s="7"/>
      <c r="I384" s="50"/>
      <c r="J384" s="58"/>
    </row>
    <row r="385" spans="7:10">
      <c r="G385" s="51"/>
      <c r="H385" s="7"/>
      <c r="I385" s="50"/>
      <c r="J385" s="58"/>
    </row>
    <row r="386" spans="7:10">
      <c r="G386" s="3"/>
    </row>
    <row r="387" spans="7:10">
      <c r="G387"/>
    </row>
    <row r="388" spans="7:10">
      <c r="G388" s="3"/>
    </row>
    <row r="389" spans="7:10">
      <c r="G389" s="3"/>
    </row>
    <row r="390" spans="7:10">
      <c r="G390"/>
    </row>
    <row r="391" spans="7:10">
      <c r="G391" s="3"/>
    </row>
    <row r="392" spans="7:10">
      <c r="G392"/>
      <c r="H392"/>
      <c r="I392"/>
      <c r="J392"/>
    </row>
    <row r="393" spans="7:10">
      <c r="G393"/>
      <c r="H393"/>
      <c r="I393"/>
      <c r="J393"/>
    </row>
    <row r="394" spans="7:10">
      <c r="G394"/>
      <c r="H394"/>
      <c r="I394"/>
      <c r="J394"/>
    </row>
    <row r="395" spans="7:10">
      <c r="G395"/>
      <c r="H395"/>
      <c r="I395"/>
      <c r="J395"/>
    </row>
    <row r="396" spans="7:10">
      <c r="G396"/>
      <c r="H396"/>
      <c r="I396"/>
      <c r="J396"/>
    </row>
  </sheetData>
  <sortState ref="F2:M259">
    <sortCondition ref="H2:H259"/>
    <sortCondition ref="M2:M259"/>
  </sortState>
  <dataConsolidate/>
  <conditionalFormatting sqref="D2:D101">
    <cfRule type="duplicateValues" dxfId="183" priority="5"/>
  </conditionalFormatting>
  <conditionalFormatting sqref="D102:D201">
    <cfRule type="duplicateValues" dxfId="182" priority="4"/>
  </conditionalFormatting>
  <conditionalFormatting sqref="J387:J391 J260 S15:S92">
    <cfRule type="cellIs" dxfId="181" priority="3" operator="lessThan">
      <formula>0</formula>
    </cfRule>
  </conditionalFormatting>
  <conditionalFormatting sqref="S12">
    <cfRule type="duplicateValues" dxfId="180" priority="1"/>
  </conditionalFormatting>
  <conditionalFormatting sqref="J387:J391 J260">
    <cfRule type="duplicateValues" dxfId="179" priority="255"/>
  </conditionalFormatting>
  <conditionalFormatting sqref="S2:S11 S13:S92">
    <cfRule type="duplicateValues" dxfId="178" priority="257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P509"/>
  <sheetViews>
    <sheetView tabSelected="1" topLeftCell="M16" workbookViewId="0">
      <selection activeCell="V43" sqref="V43"/>
    </sheetView>
  </sheetViews>
  <sheetFormatPr baseColWidth="10" defaultRowHeight="15" x14ac:dyDescent="0"/>
  <cols>
    <col min="1" max="1" width="41.6640625" bestFit="1" customWidth="1"/>
    <col min="2" max="2" width="17.1640625" bestFit="1" customWidth="1"/>
    <col min="3" max="3" width="14.33203125" bestFit="1" customWidth="1"/>
    <col min="9" max="9" width="13" customWidth="1"/>
    <col min="10" max="10" width="16" customWidth="1"/>
    <col min="11" max="11" width="12.33203125" customWidth="1"/>
    <col min="12" max="12" width="20.6640625" customWidth="1"/>
    <col min="13" max="13" width="17" bestFit="1" customWidth="1"/>
    <col min="14" max="14" width="17.1640625" bestFit="1" customWidth="1"/>
  </cols>
  <sheetData>
    <row r="4" spans="1:11">
      <c r="A4" t="s">
        <v>3705</v>
      </c>
      <c r="B4" t="s">
        <v>333</v>
      </c>
      <c r="C4" t="s">
        <v>329</v>
      </c>
      <c r="D4" t="s">
        <v>3706</v>
      </c>
      <c r="E4" t="s">
        <v>3704</v>
      </c>
    </row>
    <row r="5" spans="1:11">
      <c r="A5" t="s">
        <v>1480</v>
      </c>
      <c r="B5" s="3">
        <v>39898.036435185182</v>
      </c>
      <c r="C5" s="4">
        <v>2</v>
      </c>
      <c r="D5" s="4">
        <v>2</v>
      </c>
      <c r="E5">
        <v>0</v>
      </c>
    </row>
    <row r="6" spans="1:11">
      <c r="A6" t="s">
        <v>1026</v>
      </c>
      <c r="B6" s="3">
        <v>39905.113761574074</v>
      </c>
      <c r="C6" s="4">
        <v>2</v>
      </c>
      <c r="D6" s="4">
        <v>2</v>
      </c>
      <c r="E6">
        <v>1</v>
      </c>
    </row>
    <row r="7" spans="1:11">
      <c r="A7" t="s">
        <v>1306</v>
      </c>
      <c r="B7" s="3">
        <v>39911.65797453704</v>
      </c>
      <c r="C7" s="4">
        <v>2</v>
      </c>
      <c r="D7" s="4">
        <v>2</v>
      </c>
      <c r="E7">
        <v>0</v>
      </c>
    </row>
    <row r="8" spans="1:11">
      <c r="A8" t="s">
        <v>1483</v>
      </c>
      <c r="B8" s="3">
        <v>39918.878067129626</v>
      </c>
      <c r="C8" s="4">
        <v>2</v>
      </c>
      <c r="D8" s="4">
        <v>2</v>
      </c>
      <c r="E8">
        <v>0</v>
      </c>
    </row>
    <row r="9" spans="1:11">
      <c r="A9" t="s">
        <v>1049</v>
      </c>
      <c r="B9" s="3">
        <v>39925.883125</v>
      </c>
      <c r="C9" s="4">
        <v>2</v>
      </c>
      <c r="D9" s="4">
        <v>2</v>
      </c>
      <c r="E9">
        <v>0</v>
      </c>
    </row>
    <row r="10" spans="1:11">
      <c r="A10" t="s">
        <v>1157</v>
      </c>
      <c r="B10" s="3">
        <v>39932.706689814811</v>
      </c>
      <c r="C10" s="4">
        <v>2</v>
      </c>
      <c r="D10" s="4">
        <v>2</v>
      </c>
      <c r="E10">
        <v>2</v>
      </c>
    </row>
    <row r="11" spans="1:11">
      <c r="A11" t="s">
        <v>742</v>
      </c>
      <c r="B11" s="3">
        <v>39940.06658564815</v>
      </c>
      <c r="C11" s="4">
        <v>2</v>
      </c>
      <c r="D11" s="4">
        <v>2</v>
      </c>
      <c r="E11">
        <v>0</v>
      </c>
    </row>
    <row r="12" spans="1:11">
      <c r="A12" t="s">
        <v>529</v>
      </c>
      <c r="B12" s="3">
        <v>39946.927361111113</v>
      </c>
      <c r="C12" s="4">
        <v>2</v>
      </c>
      <c r="D12" s="4">
        <v>2</v>
      </c>
      <c r="E12">
        <v>1</v>
      </c>
    </row>
    <row r="13" spans="1:11">
      <c r="A13" t="s">
        <v>1428</v>
      </c>
      <c r="B13" s="3">
        <v>40100.831192129626</v>
      </c>
      <c r="C13" s="4">
        <v>2</v>
      </c>
      <c r="D13" s="4">
        <v>2</v>
      </c>
      <c r="E13">
        <v>1</v>
      </c>
      <c r="J13" s="25" t="s">
        <v>1961</v>
      </c>
    </row>
    <row r="14" spans="1:11">
      <c r="A14" t="s">
        <v>944</v>
      </c>
      <c r="B14" s="3">
        <v>40212.765219907407</v>
      </c>
      <c r="C14" s="4">
        <v>2</v>
      </c>
      <c r="D14" s="4">
        <v>2</v>
      </c>
      <c r="E14">
        <v>0</v>
      </c>
      <c r="I14" s="25" t="s">
        <v>1870</v>
      </c>
      <c r="J14" t="s">
        <v>3707</v>
      </c>
      <c r="K14" t="s">
        <v>3708</v>
      </c>
    </row>
    <row r="15" spans="1:11">
      <c r="A15" t="s">
        <v>1181</v>
      </c>
      <c r="B15" s="3">
        <v>40282.033888888887</v>
      </c>
      <c r="C15" s="4">
        <v>2</v>
      </c>
      <c r="D15" s="4">
        <v>2</v>
      </c>
      <c r="E15">
        <v>0</v>
      </c>
      <c r="I15" s="26" t="s">
        <v>1882</v>
      </c>
      <c r="J15" s="4"/>
      <c r="K15" s="4"/>
    </row>
    <row r="16" spans="1:11">
      <c r="A16" t="s">
        <v>1368</v>
      </c>
      <c r="B16" s="3">
        <v>40303.846678240741</v>
      </c>
      <c r="C16" s="4">
        <v>2</v>
      </c>
      <c r="D16" s="4">
        <v>2</v>
      </c>
      <c r="E16">
        <v>0</v>
      </c>
      <c r="I16" s="31" t="s">
        <v>3726</v>
      </c>
      <c r="J16" s="4">
        <v>2</v>
      </c>
      <c r="K16" s="4">
        <v>0</v>
      </c>
    </row>
    <row r="17" spans="1:11">
      <c r="A17" s="1" t="s">
        <v>787</v>
      </c>
      <c r="B17" s="3">
        <v>40444.955520833333</v>
      </c>
      <c r="C17" s="4">
        <v>2</v>
      </c>
      <c r="D17" s="4">
        <v>2</v>
      </c>
      <c r="E17">
        <v>0</v>
      </c>
      <c r="I17" s="31" t="s">
        <v>3727</v>
      </c>
      <c r="J17" s="4">
        <v>10</v>
      </c>
      <c r="K17" s="4">
        <v>3</v>
      </c>
    </row>
    <row r="18" spans="1:11">
      <c r="A18" t="s">
        <v>876</v>
      </c>
      <c r="B18" s="3">
        <v>40499.962569444448</v>
      </c>
      <c r="C18" s="4">
        <v>2</v>
      </c>
      <c r="D18" s="4">
        <v>2</v>
      </c>
      <c r="E18">
        <v>0</v>
      </c>
      <c r="I18" s="31" t="s">
        <v>3728</v>
      </c>
      <c r="J18" s="4">
        <v>4</v>
      </c>
      <c r="K18" s="4">
        <v>1</v>
      </c>
    </row>
    <row r="19" spans="1:11">
      <c r="A19" t="s">
        <v>802</v>
      </c>
      <c r="B19" s="3">
        <v>40504.752476851849</v>
      </c>
      <c r="C19" s="4">
        <v>2</v>
      </c>
      <c r="D19" s="4">
        <v>2</v>
      </c>
      <c r="E19">
        <v>1</v>
      </c>
      <c r="I19" s="31" t="s">
        <v>3721</v>
      </c>
      <c r="J19" s="4">
        <v>2</v>
      </c>
      <c r="K19" s="4">
        <v>1</v>
      </c>
    </row>
    <row r="20" spans="1:11">
      <c r="A20" t="s">
        <v>1557</v>
      </c>
      <c r="B20" s="3">
        <v>40507.288275462961</v>
      </c>
      <c r="C20" s="4">
        <v>2</v>
      </c>
      <c r="D20" s="4">
        <v>2</v>
      </c>
      <c r="E20">
        <v>2</v>
      </c>
      <c r="I20" s="26" t="s">
        <v>1883</v>
      </c>
      <c r="J20" s="4"/>
      <c r="K20" s="4"/>
    </row>
    <row r="21" spans="1:11">
      <c r="A21" t="s">
        <v>1554</v>
      </c>
      <c r="B21" s="3">
        <v>40507.33699074074</v>
      </c>
      <c r="C21" s="4">
        <v>2</v>
      </c>
      <c r="D21" s="4">
        <v>2</v>
      </c>
      <c r="E21">
        <v>1</v>
      </c>
      <c r="I21" s="31" t="s">
        <v>3725</v>
      </c>
      <c r="J21" s="4">
        <v>2</v>
      </c>
      <c r="K21" s="4">
        <v>0</v>
      </c>
    </row>
    <row r="22" spans="1:11">
      <c r="A22" t="s">
        <v>1372</v>
      </c>
      <c r="B22" s="3">
        <v>40509.376701388886</v>
      </c>
      <c r="C22" s="4">
        <v>2</v>
      </c>
      <c r="D22" s="4">
        <v>2</v>
      </c>
      <c r="E22">
        <v>0</v>
      </c>
      <c r="I22" s="31" t="s">
        <v>3727</v>
      </c>
      <c r="J22" s="4">
        <v>2</v>
      </c>
      <c r="K22" s="4">
        <v>0</v>
      </c>
    </row>
    <row r="23" spans="1:11">
      <c r="A23" t="s">
        <v>386</v>
      </c>
      <c r="B23" s="3">
        <v>40514.933900462966</v>
      </c>
      <c r="C23" s="4">
        <v>2</v>
      </c>
      <c r="D23" s="4">
        <v>2</v>
      </c>
      <c r="E23">
        <v>2</v>
      </c>
      <c r="I23" s="31" t="s">
        <v>3728</v>
      </c>
      <c r="J23" s="4">
        <v>2</v>
      </c>
      <c r="K23" s="4">
        <v>0</v>
      </c>
    </row>
    <row r="24" spans="1:11">
      <c r="A24" t="s">
        <v>337</v>
      </c>
      <c r="B24" s="3">
        <v>40517.305925925924</v>
      </c>
      <c r="C24" s="4">
        <v>2</v>
      </c>
      <c r="D24" s="4">
        <v>2</v>
      </c>
      <c r="E24">
        <v>1</v>
      </c>
      <c r="I24" s="31" t="s">
        <v>3720</v>
      </c>
      <c r="J24" s="4">
        <v>2</v>
      </c>
      <c r="K24" s="4">
        <v>0</v>
      </c>
    </row>
    <row r="25" spans="1:11">
      <c r="A25" t="s">
        <v>1211</v>
      </c>
      <c r="B25" s="3">
        <v>40517.945347222223</v>
      </c>
      <c r="C25" s="4">
        <v>2</v>
      </c>
      <c r="D25" s="4">
        <v>2</v>
      </c>
      <c r="E25">
        <v>0</v>
      </c>
      <c r="I25" s="31" t="s">
        <v>3722</v>
      </c>
      <c r="J25" s="4">
        <v>10</v>
      </c>
      <c r="K25" s="4">
        <v>4</v>
      </c>
    </row>
    <row r="26" spans="1:11">
      <c r="A26" t="s">
        <v>404</v>
      </c>
      <c r="B26" s="3">
        <v>40518.891203703701</v>
      </c>
      <c r="C26" s="4">
        <v>2</v>
      </c>
      <c r="D26" s="4">
        <v>2</v>
      </c>
      <c r="E26">
        <v>1</v>
      </c>
      <c r="I26" s="31" t="s">
        <v>3723</v>
      </c>
      <c r="J26" s="4">
        <v>40</v>
      </c>
      <c r="K26" s="4">
        <v>7</v>
      </c>
    </row>
    <row r="27" spans="1:11">
      <c r="A27" t="s">
        <v>1341</v>
      </c>
      <c r="B27" s="3">
        <v>40519.638553240744</v>
      </c>
      <c r="C27" s="4">
        <v>2</v>
      </c>
      <c r="D27" s="4">
        <v>2</v>
      </c>
      <c r="E27">
        <v>0</v>
      </c>
      <c r="I27" s="26" t="s">
        <v>1884</v>
      </c>
      <c r="J27" s="4"/>
      <c r="K27" s="4"/>
    </row>
    <row r="28" spans="1:11">
      <c r="A28" t="s">
        <v>550</v>
      </c>
      <c r="B28" s="3">
        <v>40522.539201388892</v>
      </c>
      <c r="C28" s="4">
        <v>2</v>
      </c>
      <c r="D28" s="4">
        <v>2</v>
      </c>
      <c r="E28">
        <v>0</v>
      </c>
      <c r="I28" s="31" t="s">
        <v>3724</v>
      </c>
      <c r="J28" s="4">
        <v>42</v>
      </c>
      <c r="K28" s="4">
        <v>4</v>
      </c>
    </row>
    <row r="29" spans="1:11">
      <c r="A29" t="s">
        <v>1445</v>
      </c>
      <c r="B29" s="3">
        <v>40522.554756944446</v>
      </c>
      <c r="C29" s="4">
        <v>2</v>
      </c>
      <c r="D29" s="4">
        <v>2</v>
      </c>
      <c r="E29">
        <v>0</v>
      </c>
      <c r="I29" s="31" t="s">
        <v>3725</v>
      </c>
      <c r="J29" s="4">
        <v>78</v>
      </c>
      <c r="K29" s="4">
        <v>13</v>
      </c>
    </row>
    <row r="30" spans="1:11">
      <c r="A30" t="s">
        <v>860</v>
      </c>
      <c r="B30" s="3">
        <v>40523.921863425923</v>
      </c>
      <c r="C30" s="4">
        <v>2</v>
      </c>
      <c r="D30" s="4">
        <v>2</v>
      </c>
      <c r="E30">
        <v>1</v>
      </c>
      <c r="I30" s="31" t="s">
        <v>3726</v>
      </c>
      <c r="J30" s="4">
        <v>76</v>
      </c>
      <c r="K30" s="4">
        <v>18</v>
      </c>
    </row>
    <row r="31" spans="1:11">
      <c r="A31" t="s">
        <v>456</v>
      </c>
      <c r="B31" s="3">
        <v>40524.062430555554</v>
      </c>
      <c r="C31" s="4">
        <v>2</v>
      </c>
      <c r="D31" s="4">
        <v>2</v>
      </c>
      <c r="E31">
        <v>0</v>
      </c>
      <c r="I31" s="31" t="s">
        <v>3727</v>
      </c>
      <c r="J31" s="4">
        <v>60</v>
      </c>
      <c r="K31" s="4">
        <v>22</v>
      </c>
    </row>
    <row r="32" spans="1:11">
      <c r="A32" t="s">
        <v>1063</v>
      </c>
      <c r="B32" s="3">
        <v>40525.596828703703</v>
      </c>
      <c r="C32" s="4">
        <v>2</v>
      </c>
      <c r="D32" s="4">
        <v>2</v>
      </c>
      <c r="E32">
        <v>0</v>
      </c>
      <c r="I32" s="31" t="s">
        <v>3728</v>
      </c>
      <c r="J32" s="4">
        <v>74</v>
      </c>
      <c r="K32" s="4">
        <v>8</v>
      </c>
    </row>
    <row r="33" spans="1:16">
      <c r="A33" t="s">
        <v>600</v>
      </c>
      <c r="B33" s="3">
        <v>40527.879988425928</v>
      </c>
      <c r="C33" s="4">
        <v>2</v>
      </c>
      <c r="D33" s="4">
        <v>2</v>
      </c>
      <c r="E33">
        <v>0</v>
      </c>
      <c r="I33" s="31" t="s">
        <v>3729</v>
      </c>
      <c r="J33" s="4">
        <v>80</v>
      </c>
      <c r="K33" s="4">
        <v>18</v>
      </c>
    </row>
    <row r="34" spans="1:16">
      <c r="A34" t="s">
        <v>1142</v>
      </c>
      <c r="B34" s="3">
        <v>40528.863287037035</v>
      </c>
      <c r="C34" s="4">
        <v>2</v>
      </c>
      <c r="D34" s="4">
        <v>2</v>
      </c>
      <c r="E34">
        <v>0</v>
      </c>
      <c r="I34" s="31" t="s">
        <v>3742</v>
      </c>
      <c r="J34" s="4">
        <v>34</v>
      </c>
      <c r="K34" s="4">
        <v>6</v>
      </c>
    </row>
    <row r="35" spans="1:16">
      <c r="A35" t="s">
        <v>1193</v>
      </c>
      <c r="B35" s="3">
        <v>40530.061516203707</v>
      </c>
      <c r="C35" s="4">
        <v>2</v>
      </c>
      <c r="D35" s="4">
        <v>2</v>
      </c>
      <c r="E35">
        <v>0</v>
      </c>
      <c r="I35" s="31" t="s">
        <v>3743</v>
      </c>
      <c r="J35" s="4">
        <v>36</v>
      </c>
      <c r="K35" s="4">
        <v>4</v>
      </c>
    </row>
    <row r="36" spans="1:16">
      <c r="A36" t="s">
        <v>1294</v>
      </c>
      <c r="B36" s="3">
        <v>40535.823576388888</v>
      </c>
      <c r="C36" s="4">
        <v>2</v>
      </c>
      <c r="D36" s="4">
        <v>2</v>
      </c>
      <c r="E36">
        <v>1</v>
      </c>
      <c r="I36" s="31" t="s">
        <v>3720</v>
      </c>
      <c r="J36" s="4">
        <v>68</v>
      </c>
      <c r="K36" s="4">
        <v>7</v>
      </c>
    </row>
    <row r="37" spans="1:16">
      <c r="A37" t="s">
        <v>1560</v>
      </c>
      <c r="B37" s="3">
        <v>40536.920590277776</v>
      </c>
      <c r="C37" s="4">
        <v>2</v>
      </c>
      <c r="D37" s="4">
        <v>2</v>
      </c>
      <c r="E37">
        <v>1</v>
      </c>
      <c r="I37" s="31" t="s">
        <v>3721</v>
      </c>
      <c r="J37" s="4">
        <v>50</v>
      </c>
      <c r="K37" s="4">
        <v>10</v>
      </c>
    </row>
    <row r="38" spans="1:16">
      <c r="A38" t="s">
        <v>744</v>
      </c>
      <c r="B38" s="3">
        <v>40536.929976851854</v>
      </c>
      <c r="C38" s="4">
        <v>2</v>
      </c>
      <c r="D38" s="4">
        <v>2</v>
      </c>
      <c r="E38">
        <v>0</v>
      </c>
      <c r="I38" s="31" t="s">
        <v>3722</v>
      </c>
      <c r="J38" s="4">
        <v>36</v>
      </c>
      <c r="K38" s="4">
        <v>3</v>
      </c>
    </row>
    <row r="39" spans="1:16">
      <c r="A39" s="1" t="s">
        <v>344</v>
      </c>
      <c r="B39" s="3">
        <v>40536.930995370371</v>
      </c>
      <c r="C39" s="4">
        <v>2</v>
      </c>
      <c r="D39" s="4">
        <v>2</v>
      </c>
      <c r="E39">
        <v>0</v>
      </c>
      <c r="I39" s="31" t="s">
        <v>3723</v>
      </c>
      <c r="J39" s="4">
        <v>36</v>
      </c>
      <c r="K39" s="4">
        <v>6</v>
      </c>
      <c r="N39" s="32" t="s">
        <v>3709</v>
      </c>
      <c r="O39" s="29">
        <v>2</v>
      </c>
      <c r="P39" s="29">
        <v>0</v>
      </c>
    </row>
    <row r="40" spans="1:16">
      <c r="A40" t="s">
        <v>1297</v>
      </c>
      <c r="B40" s="3">
        <v>40538.434918981482</v>
      </c>
      <c r="C40" s="4">
        <v>2</v>
      </c>
      <c r="D40" s="4">
        <v>2</v>
      </c>
      <c r="E40">
        <v>0</v>
      </c>
      <c r="I40" s="26" t="s">
        <v>1885</v>
      </c>
      <c r="J40" s="4"/>
      <c r="K40" s="4"/>
      <c r="N40" s="32" t="s">
        <v>1919</v>
      </c>
      <c r="O40" s="29">
        <v>14</v>
      </c>
      <c r="P40" s="29">
        <v>4</v>
      </c>
    </row>
    <row r="41" spans="1:16">
      <c r="A41" t="s">
        <v>747</v>
      </c>
      <c r="B41" s="3">
        <v>40538.437731481485</v>
      </c>
      <c r="C41" s="4">
        <v>2</v>
      </c>
      <c r="D41" s="4">
        <v>2</v>
      </c>
      <c r="E41">
        <v>0</v>
      </c>
      <c r="I41" s="31" t="s">
        <v>3724</v>
      </c>
      <c r="J41" s="4">
        <v>40</v>
      </c>
      <c r="K41" s="4">
        <v>3</v>
      </c>
      <c r="N41" s="32" t="s">
        <v>1921</v>
      </c>
      <c r="O41" s="29">
        <v>14</v>
      </c>
      <c r="P41" s="29">
        <v>4</v>
      </c>
    </row>
    <row r="42" spans="1:16">
      <c r="A42" t="s">
        <v>847</v>
      </c>
      <c r="B42" s="3">
        <v>40540.993888888886</v>
      </c>
      <c r="C42" s="4">
        <v>2</v>
      </c>
      <c r="D42" s="4">
        <v>2</v>
      </c>
      <c r="E42">
        <v>0</v>
      </c>
      <c r="I42" s="31" t="s">
        <v>3725</v>
      </c>
      <c r="J42" s="4">
        <v>32</v>
      </c>
      <c r="K42" s="4">
        <v>5</v>
      </c>
      <c r="N42" s="32" t="s">
        <v>1920</v>
      </c>
      <c r="O42" s="29">
        <v>2</v>
      </c>
      <c r="P42" s="29">
        <v>1</v>
      </c>
    </row>
    <row r="43" spans="1:16">
      <c r="A43" t="s">
        <v>1456</v>
      </c>
      <c r="B43" s="3">
        <v>40544.072847222225</v>
      </c>
      <c r="C43" s="4">
        <v>2</v>
      </c>
      <c r="D43" s="4">
        <v>2</v>
      </c>
      <c r="E43">
        <v>1</v>
      </c>
      <c r="I43" s="31" t="s">
        <v>3726</v>
      </c>
      <c r="J43" s="4">
        <v>46</v>
      </c>
      <c r="K43" s="4">
        <v>10</v>
      </c>
      <c r="N43" s="32" t="s">
        <v>3710</v>
      </c>
      <c r="O43" s="29">
        <v>2</v>
      </c>
      <c r="P43" s="29">
        <v>0</v>
      </c>
    </row>
    <row r="44" spans="1:16">
      <c r="A44" t="s">
        <v>1018</v>
      </c>
      <c r="B44" s="3">
        <v>40549.546238425923</v>
      </c>
      <c r="C44" s="4">
        <v>2</v>
      </c>
      <c r="D44" s="4">
        <v>2</v>
      </c>
      <c r="E44">
        <v>0</v>
      </c>
      <c r="I44" s="31" t="s">
        <v>3727</v>
      </c>
      <c r="J44" s="4">
        <v>52</v>
      </c>
      <c r="K44" s="4">
        <v>5</v>
      </c>
      <c r="N44" s="32" t="s">
        <v>1919</v>
      </c>
      <c r="O44" s="29">
        <v>4</v>
      </c>
      <c r="P44" s="29">
        <v>0</v>
      </c>
    </row>
    <row r="45" spans="1:16">
      <c r="A45" t="s">
        <v>439</v>
      </c>
      <c r="B45" s="3">
        <v>40549.66642361111</v>
      </c>
      <c r="C45" s="4">
        <v>2</v>
      </c>
      <c r="D45" s="4">
        <v>2</v>
      </c>
      <c r="E45">
        <v>0</v>
      </c>
      <c r="I45" s="31" t="s">
        <v>3728</v>
      </c>
      <c r="J45" s="4">
        <v>58</v>
      </c>
      <c r="K45" s="4">
        <v>3</v>
      </c>
      <c r="N45" s="32" t="s">
        <v>1921</v>
      </c>
      <c r="O45" s="29">
        <v>2</v>
      </c>
      <c r="P45" s="29">
        <v>0</v>
      </c>
    </row>
    <row r="46" spans="1:16">
      <c r="A46" t="s">
        <v>1320</v>
      </c>
      <c r="B46" s="3">
        <v>40549.899421296293</v>
      </c>
      <c r="C46" s="4">
        <v>2</v>
      </c>
      <c r="D46" s="4">
        <v>2</v>
      </c>
      <c r="E46">
        <v>0</v>
      </c>
      <c r="I46" s="31" t="s">
        <v>3729</v>
      </c>
      <c r="J46" s="4">
        <v>36</v>
      </c>
      <c r="K46" s="4">
        <v>9</v>
      </c>
      <c r="N46" s="32" t="s">
        <v>1920</v>
      </c>
      <c r="O46" s="29">
        <v>50</v>
      </c>
      <c r="P46" s="29">
        <v>11</v>
      </c>
    </row>
    <row r="47" spans="1:16">
      <c r="A47" t="s">
        <v>1513</v>
      </c>
      <c r="B47" s="3">
        <v>40552.756388888891</v>
      </c>
      <c r="C47" s="4">
        <v>2</v>
      </c>
      <c r="D47" s="4">
        <v>2</v>
      </c>
      <c r="E47">
        <v>1</v>
      </c>
      <c r="I47" s="26" t="s">
        <v>1871</v>
      </c>
      <c r="J47" s="4">
        <v>1010</v>
      </c>
      <c r="K47" s="4">
        <v>170</v>
      </c>
      <c r="N47" s="32" t="s">
        <v>3711</v>
      </c>
      <c r="O47" s="29">
        <v>196</v>
      </c>
      <c r="P47" s="29">
        <v>35</v>
      </c>
    </row>
    <row r="48" spans="1:16">
      <c r="A48" t="s">
        <v>921</v>
      </c>
      <c r="B48" s="3">
        <v>40553.889745370368</v>
      </c>
      <c r="C48" s="4">
        <v>2</v>
      </c>
      <c r="D48" s="4">
        <v>2</v>
      </c>
      <c r="E48">
        <v>1</v>
      </c>
      <c r="N48" s="32" t="s">
        <v>1919</v>
      </c>
      <c r="O48" s="29">
        <v>214</v>
      </c>
      <c r="P48" s="29">
        <v>48</v>
      </c>
    </row>
    <row r="49" spans="1:16">
      <c r="A49" t="s">
        <v>1285</v>
      </c>
      <c r="B49" s="3">
        <v>40554.458240740743</v>
      </c>
      <c r="C49" s="4">
        <v>2</v>
      </c>
      <c r="D49" s="4">
        <v>2</v>
      </c>
      <c r="E49">
        <v>0</v>
      </c>
      <c r="N49" s="32" t="s">
        <v>1921</v>
      </c>
      <c r="O49" s="29">
        <v>138</v>
      </c>
      <c r="P49" s="29">
        <v>17</v>
      </c>
    </row>
    <row r="50" spans="1:16">
      <c r="A50" t="s">
        <v>1334</v>
      </c>
      <c r="B50" s="3">
        <v>40554.584340277775</v>
      </c>
      <c r="C50" s="4">
        <v>2</v>
      </c>
      <c r="D50" s="4">
        <v>2</v>
      </c>
      <c r="E50">
        <v>0</v>
      </c>
      <c r="N50" s="32" t="s">
        <v>1920</v>
      </c>
      <c r="O50" s="29">
        <v>122</v>
      </c>
      <c r="P50" s="29">
        <v>19</v>
      </c>
    </row>
    <row r="51" spans="1:16">
      <c r="A51" t="s">
        <v>1203</v>
      </c>
      <c r="B51" s="3">
        <v>40554.60297453704</v>
      </c>
      <c r="C51" s="4">
        <v>2</v>
      </c>
      <c r="D51" s="4">
        <v>2</v>
      </c>
      <c r="E51">
        <v>0</v>
      </c>
      <c r="N51" s="32" t="s">
        <v>3712</v>
      </c>
      <c r="O51" s="29">
        <v>118</v>
      </c>
      <c r="P51" s="29">
        <v>18</v>
      </c>
    </row>
    <row r="52" spans="1:16">
      <c r="A52" t="s">
        <v>1323</v>
      </c>
      <c r="B52" s="3">
        <v>40555.787164351852</v>
      </c>
      <c r="C52" s="4">
        <v>2</v>
      </c>
      <c r="D52" s="4">
        <v>2</v>
      </c>
      <c r="E52">
        <v>0</v>
      </c>
      <c r="N52" s="32" t="s">
        <v>1919</v>
      </c>
      <c r="O52" s="29">
        <v>146</v>
      </c>
      <c r="P52" s="29">
        <v>17</v>
      </c>
    </row>
    <row r="53" spans="1:16">
      <c r="A53" t="s">
        <v>1563</v>
      </c>
      <c r="B53" s="3">
        <v>40555.908032407409</v>
      </c>
      <c r="C53" s="4">
        <v>2</v>
      </c>
      <c r="D53" s="4">
        <v>2</v>
      </c>
      <c r="E53">
        <v>1</v>
      </c>
      <c r="N53" s="64"/>
      <c r="O53" s="65"/>
      <c r="P53" s="65"/>
    </row>
    <row r="54" spans="1:16">
      <c r="A54" t="s">
        <v>498</v>
      </c>
      <c r="B54" s="3">
        <v>40556.874988425923</v>
      </c>
      <c r="C54" s="4">
        <v>2</v>
      </c>
      <c r="D54" s="4">
        <v>2</v>
      </c>
      <c r="E54">
        <v>0</v>
      </c>
    </row>
    <row r="55" spans="1:16">
      <c r="A55" t="s">
        <v>683</v>
      </c>
      <c r="B55" s="3">
        <v>40556.875520833331</v>
      </c>
      <c r="C55" s="4">
        <v>2</v>
      </c>
      <c r="D55" s="4">
        <v>2</v>
      </c>
      <c r="E55">
        <v>0</v>
      </c>
    </row>
    <row r="56" spans="1:16">
      <c r="A56" t="s">
        <v>1464</v>
      </c>
      <c r="B56" s="3">
        <v>40558.887719907405</v>
      </c>
      <c r="C56" s="4">
        <v>2</v>
      </c>
      <c r="D56" s="4">
        <v>2</v>
      </c>
      <c r="E56">
        <v>0</v>
      </c>
    </row>
    <row r="57" spans="1:16">
      <c r="A57" t="s">
        <v>503</v>
      </c>
      <c r="B57" s="3">
        <v>40564.619722222225</v>
      </c>
      <c r="C57" s="4">
        <v>2</v>
      </c>
      <c r="D57" s="4">
        <v>2</v>
      </c>
      <c r="E57">
        <v>0</v>
      </c>
    </row>
    <row r="58" spans="1:16">
      <c r="A58" t="s">
        <v>501</v>
      </c>
      <c r="B58" s="3">
        <v>40564.982905092591</v>
      </c>
      <c r="C58" s="4">
        <v>2</v>
      </c>
      <c r="D58" s="4">
        <v>2</v>
      </c>
      <c r="E58">
        <v>0</v>
      </c>
    </row>
    <row r="59" spans="1:16">
      <c r="A59" t="s">
        <v>408</v>
      </c>
      <c r="B59" s="3">
        <v>40573.577893518515</v>
      </c>
      <c r="C59" s="4">
        <v>2</v>
      </c>
      <c r="D59" s="4">
        <v>2</v>
      </c>
      <c r="E59">
        <v>0</v>
      </c>
    </row>
    <row r="60" spans="1:16">
      <c r="A60" t="s">
        <v>478</v>
      </c>
      <c r="B60" s="3">
        <v>40574.42083333333</v>
      </c>
      <c r="C60" s="4">
        <v>2</v>
      </c>
      <c r="D60" s="4">
        <v>2</v>
      </c>
      <c r="E60">
        <v>0</v>
      </c>
    </row>
    <row r="61" spans="1:16">
      <c r="A61" t="s">
        <v>693</v>
      </c>
      <c r="B61" s="3">
        <v>40574.54105324074</v>
      </c>
      <c r="C61" s="4">
        <v>2</v>
      </c>
      <c r="D61" s="4">
        <v>2</v>
      </c>
      <c r="E61">
        <v>0</v>
      </c>
    </row>
    <row r="62" spans="1:16">
      <c r="A62" t="s">
        <v>614</v>
      </c>
      <c r="B62" s="3">
        <v>40574.80190972222</v>
      </c>
      <c r="C62" s="4">
        <v>2</v>
      </c>
      <c r="D62" s="4">
        <v>2</v>
      </c>
      <c r="E62">
        <v>0</v>
      </c>
    </row>
    <row r="63" spans="1:16">
      <c r="A63" t="s">
        <v>1337</v>
      </c>
      <c r="B63" s="3">
        <v>40574.87431712963</v>
      </c>
      <c r="C63" s="4">
        <v>2</v>
      </c>
      <c r="D63" s="4">
        <v>2</v>
      </c>
      <c r="E63">
        <v>0</v>
      </c>
    </row>
    <row r="64" spans="1:16">
      <c r="A64" t="s">
        <v>603</v>
      </c>
      <c r="B64" s="3">
        <v>40575.479837962965</v>
      </c>
      <c r="C64" s="4">
        <v>2</v>
      </c>
      <c r="D64" s="4">
        <v>2</v>
      </c>
      <c r="E64">
        <v>0</v>
      </c>
    </row>
    <row r="65" spans="1:16">
      <c r="A65" s="1" t="s">
        <v>617</v>
      </c>
      <c r="B65" s="3">
        <v>40576.508020833331</v>
      </c>
      <c r="C65" s="4">
        <v>2</v>
      </c>
      <c r="D65" s="4">
        <v>2</v>
      </c>
      <c r="E65">
        <v>0</v>
      </c>
    </row>
    <row r="66" spans="1:16">
      <c r="A66" t="s">
        <v>1326</v>
      </c>
      <c r="B66" s="3">
        <v>40578.446875000001</v>
      </c>
      <c r="C66" s="4">
        <v>2</v>
      </c>
      <c r="D66" s="4">
        <v>2</v>
      </c>
      <c r="E66">
        <v>0</v>
      </c>
    </row>
    <row r="67" spans="1:16">
      <c r="A67" t="s">
        <v>1196</v>
      </c>
      <c r="B67" s="3">
        <v>40578.490266203706</v>
      </c>
      <c r="C67" s="4">
        <v>2</v>
      </c>
      <c r="D67" s="4">
        <v>2</v>
      </c>
      <c r="E67">
        <v>0</v>
      </c>
    </row>
    <row r="68" spans="1:16">
      <c r="A68" t="s">
        <v>1531</v>
      </c>
      <c r="B68" s="3">
        <v>40578.534942129627</v>
      </c>
      <c r="C68" s="4">
        <v>2</v>
      </c>
      <c r="D68" s="4">
        <v>2</v>
      </c>
      <c r="E68">
        <v>1</v>
      </c>
    </row>
    <row r="69" spans="1:16">
      <c r="A69" t="s">
        <v>1100</v>
      </c>
      <c r="B69" s="3">
        <v>40578.772372685184</v>
      </c>
      <c r="C69" s="4">
        <v>2</v>
      </c>
      <c r="D69" s="4">
        <v>2</v>
      </c>
      <c r="E69">
        <v>0</v>
      </c>
    </row>
    <row r="70" spans="1:16">
      <c r="A70" t="s">
        <v>750</v>
      </c>
      <c r="B70" s="3">
        <v>40578.840300925927</v>
      </c>
      <c r="C70" s="4">
        <v>2</v>
      </c>
      <c r="D70" s="4">
        <v>2</v>
      </c>
      <c r="E70">
        <v>0</v>
      </c>
    </row>
    <row r="71" spans="1:16">
      <c r="A71" t="s">
        <v>1389</v>
      </c>
      <c r="B71" s="3">
        <v>40578.857048611113</v>
      </c>
      <c r="C71" s="4">
        <v>2</v>
      </c>
      <c r="D71" s="4">
        <v>2</v>
      </c>
      <c r="E71">
        <v>1</v>
      </c>
    </row>
    <row r="72" spans="1:16">
      <c r="A72" t="s">
        <v>1088</v>
      </c>
      <c r="B72" s="3">
        <v>40578.894456018519</v>
      </c>
      <c r="C72" s="4">
        <v>2</v>
      </c>
      <c r="D72" s="4">
        <v>2</v>
      </c>
      <c r="E72">
        <v>0</v>
      </c>
    </row>
    <row r="73" spans="1:16">
      <c r="A73" t="s">
        <v>899</v>
      </c>
      <c r="B73" s="3">
        <v>40578.900289351855</v>
      </c>
      <c r="C73" s="4">
        <v>2</v>
      </c>
      <c r="D73" s="4">
        <v>2</v>
      </c>
      <c r="E73">
        <v>0</v>
      </c>
    </row>
    <row r="74" spans="1:16">
      <c r="A74" t="s">
        <v>412</v>
      </c>
      <c r="B74" s="3">
        <v>40578.940578703703</v>
      </c>
      <c r="C74" s="4">
        <v>2</v>
      </c>
      <c r="D74" s="4">
        <v>2</v>
      </c>
      <c r="E74">
        <v>1</v>
      </c>
    </row>
    <row r="75" spans="1:16">
      <c r="A75" t="s">
        <v>756</v>
      </c>
      <c r="B75" s="3">
        <v>40578.940578703703</v>
      </c>
      <c r="C75" s="4">
        <v>2</v>
      </c>
      <c r="D75" s="4">
        <v>2</v>
      </c>
      <c r="E75">
        <v>0</v>
      </c>
    </row>
    <row r="76" spans="1:16">
      <c r="A76" t="s">
        <v>347</v>
      </c>
      <c r="B76" s="3">
        <v>40580.870856481481</v>
      </c>
      <c r="C76" s="4">
        <v>2</v>
      </c>
      <c r="D76" s="4">
        <v>2</v>
      </c>
      <c r="E76">
        <v>1</v>
      </c>
    </row>
    <row r="77" spans="1:16">
      <c r="A77" t="s">
        <v>1362</v>
      </c>
      <c r="B77" s="3">
        <v>40581.434525462966</v>
      </c>
      <c r="C77" s="4">
        <v>2</v>
      </c>
      <c r="D77" s="4">
        <v>2</v>
      </c>
      <c r="E77">
        <v>1</v>
      </c>
      <c r="N77" s="68" t="s">
        <v>3744</v>
      </c>
      <c r="O77" s="29">
        <v>2</v>
      </c>
      <c r="P77" s="29">
        <v>0</v>
      </c>
    </row>
    <row r="78" spans="1:16">
      <c r="A78" t="s">
        <v>1069</v>
      </c>
      <c r="B78" s="3">
        <v>40582.067893518521</v>
      </c>
      <c r="C78" s="4">
        <v>2</v>
      </c>
      <c r="D78" s="4">
        <v>2</v>
      </c>
      <c r="E78">
        <v>0</v>
      </c>
      <c r="N78" s="68" t="s">
        <v>3727</v>
      </c>
      <c r="O78" s="29">
        <v>10</v>
      </c>
      <c r="P78" s="29">
        <v>3</v>
      </c>
    </row>
    <row r="79" spans="1:16">
      <c r="A79" t="s">
        <v>791</v>
      </c>
      <c r="B79" s="3">
        <v>40582.484560185185</v>
      </c>
      <c r="C79" s="4">
        <v>2</v>
      </c>
      <c r="D79" s="4">
        <v>2</v>
      </c>
      <c r="E79">
        <v>0</v>
      </c>
      <c r="N79" s="68" t="s">
        <v>3728</v>
      </c>
      <c r="O79" s="29">
        <v>4</v>
      </c>
      <c r="P79" s="29">
        <v>1</v>
      </c>
    </row>
    <row r="80" spans="1:16">
      <c r="A80" t="s">
        <v>446</v>
      </c>
      <c r="B80" s="3">
        <v>40582.486828703702</v>
      </c>
      <c r="C80" s="4">
        <v>2</v>
      </c>
      <c r="D80" s="4">
        <v>2</v>
      </c>
      <c r="E80">
        <v>0</v>
      </c>
      <c r="N80" s="68" t="s">
        <v>3729</v>
      </c>
      <c r="O80" s="29">
        <v>2</v>
      </c>
      <c r="P80" s="29">
        <v>1</v>
      </c>
    </row>
    <row r="81" spans="1:16">
      <c r="A81" t="s">
        <v>1073</v>
      </c>
      <c r="B81" s="3">
        <v>40582.490474537037</v>
      </c>
      <c r="C81" s="4">
        <v>2</v>
      </c>
      <c r="D81" s="4">
        <v>2</v>
      </c>
      <c r="E81">
        <v>0</v>
      </c>
      <c r="N81" s="68" t="s">
        <v>3742</v>
      </c>
      <c r="O81" s="65">
        <v>0</v>
      </c>
      <c r="P81" s="65">
        <v>0</v>
      </c>
    </row>
    <row r="82" spans="1:16">
      <c r="A82" t="s">
        <v>935</v>
      </c>
      <c r="B82" s="3">
        <v>40582.490648148145</v>
      </c>
      <c r="C82" s="4">
        <v>2</v>
      </c>
      <c r="D82" s="4">
        <v>2</v>
      </c>
      <c r="E82">
        <v>0</v>
      </c>
      <c r="N82" s="68" t="s">
        <v>3743</v>
      </c>
      <c r="O82" s="71">
        <v>0</v>
      </c>
      <c r="P82" s="71">
        <v>0</v>
      </c>
    </row>
    <row r="83" spans="1:16">
      <c r="A83" t="s">
        <v>1021</v>
      </c>
      <c r="B83" s="3">
        <v>40582.491643518515</v>
      </c>
      <c r="C83" s="4">
        <v>2</v>
      </c>
      <c r="D83" s="4">
        <v>2</v>
      </c>
      <c r="E83">
        <v>0</v>
      </c>
      <c r="N83" s="68" t="s">
        <v>3720</v>
      </c>
      <c r="O83" s="71">
        <v>0</v>
      </c>
      <c r="P83" s="71">
        <v>0</v>
      </c>
    </row>
    <row r="84" spans="1:16">
      <c r="A84" t="s">
        <v>429</v>
      </c>
      <c r="B84" s="3">
        <v>40582.496620370373</v>
      </c>
      <c r="C84" s="4">
        <v>2</v>
      </c>
      <c r="D84" s="4">
        <v>2</v>
      </c>
      <c r="E84">
        <v>0</v>
      </c>
      <c r="N84" s="69" t="s">
        <v>3721</v>
      </c>
      <c r="O84" s="29">
        <v>2</v>
      </c>
      <c r="P84" s="29">
        <v>1</v>
      </c>
    </row>
    <row r="85" spans="1:16">
      <c r="A85" t="s">
        <v>562</v>
      </c>
      <c r="B85" s="3">
        <v>40584.00576388889</v>
      </c>
      <c r="C85" s="4">
        <v>2</v>
      </c>
      <c r="D85" s="4">
        <v>2</v>
      </c>
      <c r="E85">
        <v>1</v>
      </c>
      <c r="N85" s="69" t="s">
        <v>3745</v>
      </c>
      <c r="O85" s="71">
        <v>0</v>
      </c>
      <c r="P85" s="71">
        <v>0</v>
      </c>
    </row>
    <row r="86" spans="1:16">
      <c r="A86" t="s">
        <v>1102</v>
      </c>
      <c r="B86" s="3">
        <v>40584.00576388889</v>
      </c>
      <c r="C86" s="4">
        <v>2</v>
      </c>
      <c r="D86" s="4">
        <v>2</v>
      </c>
      <c r="E86">
        <v>1</v>
      </c>
      <c r="N86" s="69" t="s">
        <v>3723</v>
      </c>
      <c r="O86" s="71">
        <v>0</v>
      </c>
      <c r="P86" s="71">
        <v>0</v>
      </c>
    </row>
    <row r="87" spans="1:16">
      <c r="A87" s="1" t="s">
        <v>1009</v>
      </c>
      <c r="B87" s="3">
        <v>40585.620891203704</v>
      </c>
      <c r="C87" s="4">
        <v>2</v>
      </c>
      <c r="D87" s="4">
        <v>2</v>
      </c>
      <c r="E87">
        <v>0</v>
      </c>
      <c r="N87" s="70" t="s">
        <v>3746</v>
      </c>
      <c r="O87" s="71">
        <v>0</v>
      </c>
      <c r="P87" s="71">
        <v>0</v>
      </c>
    </row>
    <row r="88" spans="1:16">
      <c r="A88" t="s">
        <v>1503</v>
      </c>
      <c r="B88" s="3">
        <v>40585.86314814815</v>
      </c>
      <c r="C88" s="4">
        <v>2</v>
      </c>
      <c r="D88" s="4">
        <v>2</v>
      </c>
      <c r="E88">
        <v>1</v>
      </c>
      <c r="N88" s="68" t="s">
        <v>3725</v>
      </c>
      <c r="O88" s="29">
        <v>2</v>
      </c>
      <c r="P88" s="29">
        <v>0</v>
      </c>
    </row>
    <row r="89" spans="1:16">
      <c r="A89" t="s">
        <v>372</v>
      </c>
      <c r="B89" s="3">
        <v>40585.871168981481</v>
      </c>
      <c r="C89" s="4">
        <v>2</v>
      </c>
      <c r="D89" s="4">
        <v>2</v>
      </c>
      <c r="E89">
        <v>1</v>
      </c>
      <c r="N89" s="69" t="s">
        <v>3726</v>
      </c>
      <c r="O89" s="71">
        <v>0</v>
      </c>
      <c r="P89" s="71">
        <v>0</v>
      </c>
    </row>
    <row r="90" spans="1:16">
      <c r="A90" t="s">
        <v>1486</v>
      </c>
      <c r="B90" s="3">
        <v>40585.928356481483</v>
      </c>
      <c r="C90" s="4">
        <v>2</v>
      </c>
      <c r="D90" s="4">
        <v>2</v>
      </c>
      <c r="E90">
        <v>0</v>
      </c>
      <c r="N90" s="68" t="s">
        <v>3727</v>
      </c>
      <c r="O90" s="29">
        <v>2</v>
      </c>
      <c r="P90" s="29">
        <v>0</v>
      </c>
    </row>
    <row r="91" spans="1:16">
      <c r="A91" t="s">
        <v>1542</v>
      </c>
      <c r="B91" s="3">
        <v>40586.333414351851</v>
      </c>
      <c r="C91" s="4">
        <v>2</v>
      </c>
      <c r="D91" s="4">
        <v>2</v>
      </c>
      <c r="E91">
        <v>0</v>
      </c>
      <c r="N91" s="68" t="s">
        <v>3728</v>
      </c>
      <c r="O91" s="29">
        <v>2</v>
      </c>
      <c r="P91" s="29">
        <v>0</v>
      </c>
    </row>
    <row r="92" spans="1:16">
      <c r="A92" t="s">
        <v>631</v>
      </c>
      <c r="B92" s="3">
        <v>40586.423437500001</v>
      </c>
      <c r="C92" s="4">
        <v>2</v>
      </c>
      <c r="D92" s="4">
        <v>2</v>
      </c>
      <c r="E92">
        <v>1</v>
      </c>
      <c r="N92" s="69" t="s">
        <v>3729</v>
      </c>
      <c r="O92" s="71">
        <v>0</v>
      </c>
      <c r="P92" s="71">
        <v>0</v>
      </c>
    </row>
    <row r="93" spans="1:16">
      <c r="A93" t="s">
        <v>1516</v>
      </c>
      <c r="B93" s="3">
        <v>40586.426030092596</v>
      </c>
      <c r="C93" s="4">
        <v>2</v>
      </c>
      <c r="D93" s="4">
        <v>2</v>
      </c>
      <c r="E93">
        <v>1</v>
      </c>
      <c r="N93" s="69" t="s">
        <v>3742</v>
      </c>
      <c r="O93" s="71">
        <v>0</v>
      </c>
      <c r="P93" s="71">
        <v>0</v>
      </c>
    </row>
    <row r="94" spans="1:16">
      <c r="A94" t="s">
        <v>1240</v>
      </c>
      <c r="B94" s="3">
        <v>40586.813622685186</v>
      </c>
      <c r="C94" s="4">
        <v>2</v>
      </c>
      <c r="D94" s="4">
        <v>2</v>
      </c>
      <c r="E94">
        <v>1</v>
      </c>
      <c r="N94" s="69" t="s">
        <v>3743</v>
      </c>
      <c r="O94" s="71">
        <v>0</v>
      </c>
      <c r="P94">
        <v>0</v>
      </c>
    </row>
    <row r="95" spans="1:16">
      <c r="A95" t="s">
        <v>912</v>
      </c>
      <c r="B95" s="3">
        <v>40588.43273148148</v>
      </c>
      <c r="C95" s="4">
        <v>2</v>
      </c>
      <c r="D95" s="4">
        <v>2</v>
      </c>
      <c r="E95">
        <v>0</v>
      </c>
      <c r="N95" s="68" t="s">
        <v>3720</v>
      </c>
      <c r="O95" s="29">
        <v>2</v>
      </c>
      <c r="P95" s="29">
        <v>0</v>
      </c>
    </row>
    <row r="96" spans="1:16">
      <c r="A96" t="s">
        <v>1436</v>
      </c>
      <c r="B96" s="3">
        <v>40589.69363425926</v>
      </c>
      <c r="C96" s="4">
        <v>2</v>
      </c>
      <c r="D96" s="4">
        <v>2</v>
      </c>
      <c r="E96">
        <v>0</v>
      </c>
      <c r="N96" s="69" t="s">
        <v>3721</v>
      </c>
      <c r="O96" s="71">
        <v>0</v>
      </c>
      <c r="P96" s="71">
        <v>0</v>
      </c>
    </row>
    <row r="97" spans="1:16">
      <c r="A97" t="s">
        <v>482</v>
      </c>
      <c r="B97" s="3">
        <v>40593.72011574074</v>
      </c>
      <c r="C97" s="4">
        <v>2</v>
      </c>
      <c r="D97" s="4">
        <v>2</v>
      </c>
      <c r="E97">
        <v>0</v>
      </c>
      <c r="N97" s="68" t="s">
        <v>3722</v>
      </c>
      <c r="O97" s="29">
        <v>10</v>
      </c>
      <c r="P97" s="29">
        <v>4</v>
      </c>
    </row>
    <row r="98" spans="1:16">
      <c r="A98" t="s">
        <v>686</v>
      </c>
      <c r="B98" s="3">
        <v>40594.941018518519</v>
      </c>
      <c r="C98" s="4">
        <v>2</v>
      </c>
      <c r="D98" s="4">
        <v>2</v>
      </c>
      <c r="E98">
        <v>0</v>
      </c>
      <c r="N98" s="68" t="s">
        <v>3723</v>
      </c>
      <c r="O98" s="29">
        <v>40</v>
      </c>
      <c r="P98" s="29">
        <v>7</v>
      </c>
    </row>
    <row r="99" spans="1:16">
      <c r="A99" t="s">
        <v>967</v>
      </c>
      <c r="B99" s="3">
        <v>40594.943298611113</v>
      </c>
      <c r="C99" s="4">
        <v>2</v>
      </c>
      <c r="D99" s="4">
        <v>2</v>
      </c>
      <c r="E99">
        <v>0</v>
      </c>
      <c r="N99" s="68" t="s">
        <v>3747</v>
      </c>
      <c r="O99" s="29">
        <v>42</v>
      </c>
      <c r="P99" s="29">
        <v>4</v>
      </c>
    </row>
    <row r="100" spans="1:16">
      <c r="A100" t="s">
        <v>1243</v>
      </c>
      <c r="B100" s="3">
        <v>40598.861550925925</v>
      </c>
      <c r="C100" s="4">
        <v>2</v>
      </c>
      <c r="D100" s="4">
        <v>2</v>
      </c>
      <c r="E100">
        <v>0</v>
      </c>
      <c r="N100" s="68" t="s">
        <v>3725</v>
      </c>
      <c r="O100" s="29">
        <v>78</v>
      </c>
      <c r="P100" s="29">
        <v>13</v>
      </c>
    </row>
    <row r="101" spans="1:16">
      <c r="A101" t="s">
        <v>415</v>
      </c>
      <c r="B101" s="3">
        <v>40598.864374999997</v>
      </c>
      <c r="C101" s="4">
        <v>2</v>
      </c>
      <c r="D101" s="4">
        <v>2</v>
      </c>
      <c r="E101">
        <v>0</v>
      </c>
      <c r="N101" s="68" t="s">
        <v>3726</v>
      </c>
      <c r="O101" s="29">
        <v>76</v>
      </c>
      <c r="P101" s="29">
        <v>18</v>
      </c>
    </row>
    <row r="102" spans="1:16">
      <c r="A102" t="s">
        <v>1160</v>
      </c>
      <c r="B102" s="3">
        <v>40601.825011574074</v>
      </c>
      <c r="C102" s="4">
        <v>2</v>
      </c>
      <c r="D102" s="4">
        <v>2</v>
      </c>
      <c r="E102">
        <v>1</v>
      </c>
      <c r="N102" s="68" t="s">
        <v>3727</v>
      </c>
      <c r="O102" s="29">
        <v>60</v>
      </c>
      <c r="P102" s="29">
        <v>22</v>
      </c>
    </row>
    <row r="103" spans="1:16">
      <c r="A103" t="s">
        <v>924</v>
      </c>
      <c r="B103" s="3">
        <v>40609.036909722221</v>
      </c>
      <c r="C103" s="4">
        <v>2</v>
      </c>
      <c r="D103" s="4">
        <v>2</v>
      </c>
      <c r="E103">
        <v>0</v>
      </c>
      <c r="N103" s="68" t="s">
        <v>3728</v>
      </c>
      <c r="O103" s="29">
        <v>74</v>
      </c>
      <c r="P103" s="29">
        <v>8</v>
      </c>
    </row>
    <row r="104" spans="1:16">
      <c r="A104" t="s">
        <v>449</v>
      </c>
      <c r="B104" s="3">
        <v>40612.937280092592</v>
      </c>
      <c r="C104" s="4">
        <v>2</v>
      </c>
      <c r="D104" s="4">
        <v>2</v>
      </c>
      <c r="E104">
        <v>0</v>
      </c>
      <c r="N104" s="68" t="s">
        <v>3729</v>
      </c>
      <c r="O104" s="29">
        <v>80</v>
      </c>
      <c r="P104" s="29">
        <v>18</v>
      </c>
    </row>
    <row r="105" spans="1:16">
      <c r="A105" t="s">
        <v>566</v>
      </c>
      <c r="B105" s="3">
        <v>40613.493715277778</v>
      </c>
      <c r="C105" s="4">
        <v>2</v>
      </c>
      <c r="D105" s="4">
        <v>2</v>
      </c>
      <c r="E105">
        <v>0</v>
      </c>
      <c r="N105" s="68" t="s">
        <v>3742</v>
      </c>
      <c r="O105" s="29">
        <v>34</v>
      </c>
      <c r="P105" s="29">
        <v>6</v>
      </c>
    </row>
    <row r="106" spans="1:16">
      <c r="A106" t="s">
        <v>1236</v>
      </c>
      <c r="B106" s="3">
        <v>40615.874016203707</v>
      </c>
      <c r="C106" s="4">
        <v>2</v>
      </c>
      <c r="D106" s="4">
        <v>2</v>
      </c>
      <c r="E106">
        <v>1</v>
      </c>
      <c r="N106" s="68" t="s">
        <v>3743</v>
      </c>
      <c r="O106" s="29">
        <v>36</v>
      </c>
      <c r="P106" s="29">
        <v>4</v>
      </c>
    </row>
    <row r="107" spans="1:16">
      <c r="A107" t="s">
        <v>915</v>
      </c>
      <c r="B107" s="3">
        <v>40615.912546296298</v>
      </c>
      <c r="C107" s="4">
        <v>2</v>
      </c>
      <c r="D107" s="4">
        <v>2</v>
      </c>
      <c r="E107">
        <v>0</v>
      </c>
      <c r="N107" s="68" t="s">
        <v>3720</v>
      </c>
      <c r="O107" s="29">
        <v>68</v>
      </c>
      <c r="P107" s="29">
        <v>7</v>
      </c>
    </row>
    <row r="108" spans="1:16">
      <c r="A108" t="s">
        <v>739</v>
      </c>
      <c r="B108" s="3">
        <v>40616.559849537036</v>
      </c>
      <c r="C108" s="4">
        <v>2</v>
      </c>
      <c r="D108" s="4">
        <v>2</v>
      </c>
      <c r="E108">
        <v>0</v>
      </c>
      <c r="N108" s="68" t="s">
        <v>3721</v>
      </c>
      <c r="O108" s="29">
        <v>50</v>
      </c>
      <c r="P108" s="29">
        <v>10</v>
      </c>
    </row>
    <row r="109" spans="1:16">
      <c r="A109" t="s">
        <v>641</v>
      </c>
      <c r="B109" s="3">
        <v>40616.653958333336</v>
      </c>
      <c r="C109" s="4">
        <v>2</v>
      </c>
      <c r="D109" s="4">
        <v>2</v>
      </c>
      <c r="E109">
        <v>0</v>
      </c>
      <c r="N109" s="68" t="s">
        <v>3722</v>
      </c>
      <c r="O109" s="29">
        <v>36</v>
      </c>
      <c r="P109" s="29">
        <v>3</v>
      </c>
    </row>
    <row r="110" spans="1:16">
      <c r="A110" t="s">
        <v>932</v>
      </c>
      <c r="B110" s="3">
        <v>40616.756944444445</v>
      </c>
      <c r="C110" s="4">
        <v>2</v>
      </c>
      <c r="D110" s="4">
        <v>2</v>
      </c>
      <c r="E110">
        <v>0</v>
      </c>
      <c r="N110" s="68" t="s">
        <v>3723</v>
      </c>
      <c r="O110" s="29">
        <v>36</v>
      </c>
      <c r="P110" s="29">
        <v>6</v>
      </c>
    </row>
    <row r="111" spans="1:16">
      <c r="A111" t="s">
        <v>796</v>
      </c>
      <c r="B111" s="3">
        <v>40616.810729166667</v>
      </c>
      <c r="C111" s="4">
        <v>2</v>
      </c>
      <c r="D111" s="4">
        <v>2</v>
      </c>
      <c r="E111">
        <v>0</v>
      </c>
      <c r="N111" s="68" t="s">
        <v>3748</v>
      </c>
      <c r="O111" s="29">
        <v>40</v>
      </c>
      <c r="P111" s="29">
        <v>3</v>
      </c>
    </row>
    <row r="112" spans="1:16">
      <c r="A112" t="s">
        <v>760</v>
      </c>
      <c r="B112" s="3">
        <v>40616.892974537041</v>
      </c>
      <c r="C112" s="4">
        <v>2</v>
      </c>
      <c r="D112" s="4">
        <v>2</v>
      </c>
      <c r="E112">
        <v>0</v>
      </c>
      <c r="N112" s="68" t="s">
        <v>3725</v>
      </c>
      <c r="O112" s="29">
        <v>32</v>
      </c>
      <c r="P112" s="29">
        <v>5</v>
      </c>
    </row>
    <row r="113" spans="1:16">
      <c r="A113" t="s">
        <v>1253</v>
      </c>
      <c r="B113" s="3">
        <v>40619.935567129629</v>
      </c>
      <c r="C113" s="4">
        <v>2</v>
      </c>
      <c r="D113" s="4">
        <v>2</v>
      </c>
      <c r="E113">
        <v>1</v>
      </c>
      <c r="N113" s="68" t="s">
        <v>3726</v>
      </c>
      <c r="O113" s="29">
        <v>46</v>
      </c>
      <c r="P113" s="29">
        <v>10</v>
      </c>
    </row>
    <row r="114" spans="1:16">
      <c r="A114" t="s">
        <v>1317</v>
      </c>
      <c r="B114" s="3">
        <v>40619.964745370373</v>
      </c>
      <c r="C114" s="4">
        <v>2</v>
      </c>
      <c r="D114" s="4">
        <v>2</v>
      </c>
      <c r="E114">
        <v>0</v>
      </c>
      <c r="N114" s="68" t="s">
        <v>3727</v>
      </c>
      <c r="O114" s="29">
        <v>52</v>
      </c>
      <c r="P114" s="29">
        <v>5</v>
      </c>
    </row>
    <row r="115" spans="1:16">
      <c r="A115" t="s">
        <v>368</v>
      </c>
      <c r="B115" s="3">
        <v>40619.991238425922</v>
      </c>
      <c r="C115" s="4">
        <v>2</v>
      </c>
      <c r="D115" s="4">
        <v>2</v>
      </c>
      <c r="E115">
        <v>1</v>
      </c>
      <c r="N115" s="68" t="s">
        <v>3728</v>
      </c>
      <c r="O115" s="29">
        <v>58</v>
      </c>
      <c r="P115" s="29">
        <v>3</v>
      </c>
    </row>
    <row r="116" spans="1:16">
      <c r="A116" t="s">
        <v>728</v>
      </c>
      <c r="B116" s="3">
        <v>40620.717986111114</v>
      </c>
      <c r="C116" s="4">
        <v>2</v>
      </c>
      <c r="D116" s="4">
        <v>2</v>
      </c>
      <c r="E116">
        <v>0</v>
      </c>
      <c r="N116" s="68" t="s">
        <v>3729</v>
      </c>
      <c r="O116" s="29">
        <v>36</v>
      </c>
      <c r="P116" s="29">
        <v>9</v>
      </c>
    </row>
    <row r="117" spans="1:16">
      <c r="A117" t="s">
        <v>1170</v>
      </c>
      <c r="B117" s="3">
        <v>40620.840648148151</v>
      </c>
      <c r="C117" s="4">
        <v>2</v>
      </c>
      <c r="D117" s="4">
        <v>2</v>
      </c>
      <c r="E117">
        <v>1</v>
      </c>
    </row>
    <row r="118" spans="1:16">
      <c r="A118" t="s">
        <v>678</v>
      </c>
      <c r="B118" s="3">
        <v>40620.929236111115</v>
      </c>
      <c r="C118" s="4">
        <v>2</v>
      </c>
      <c r="D118" s="4">
        <v>2</v>
      </c>
      <c r="E118">
        <v>0</v>
      </c>
    </row>
    <row r="119" spans="1:16">
      <c r="A119" t="s">
        <v>633</v>
      </c>
      <c r="B119" s="3">
        <v>40621.581678240742</v>
      </c>
      <c r="C119" s="4">
        <v>2</v>
      </c>
      <c r="D119" s="4">
        <v>2</v>
      </c>
      <c r="E119">
        <v>0</v>
      </c>
    </row>
    <row r="120" spans="1:16">
      <c r="A120" t="s">
        <v>1134</v>
      </c>
      <c r="B120" s="3">
        <v>40623.580347222225</v>
      </c>
      <c r="C120" s="4">
        <v>2</v>
      </c>
      <c r="D120" s="4">
        <v>2</v>
      </c>
      <c r="E120">
        <v>1</v>
      </c>
    </row>
    <row r="121" spans="1:16">
      <c r="A121" t="s">
        <v>516</v>
      </c>
      <c r="B121" s="3">
        <v>40624.712766203702</v>
      </c>
      <c r="C121" s="4">
        <v>2</v>
      </c>
      <c r="D121" s="4">
        <v>2</v>
      </c>
      <c r="E121">
        <v>1</v>
      </c>
    </row>
    <row r="122" spans="1:16">
      <c r="A122" t="s">
        <v>510</v>
      </c>
      <c r="B122" s="3">
        <v>40626.98846064815</v>
      </c>
      <c r="C122" s="4">
        <v>2</v>
      </c>
      <c r="D122" s="4">
        <v>2</v>
      </c>
      <c r="E122">
        <v>1</v>
      </c>
    </row>
    <row r="123" spans="1:16">
      <c r="A123" t="s">
        <v>606</v>
      </c>
      <c r="B123" s="3">
        <v>40629.906400462962</v>
      </c>
      <c r="C123" s="4">
        <v>2</v>
      </c>
      <c r="D123" s="4">
        <v>2</v>
      </c>
      <c r="E123">
        <v>1</v>
      </c>
    </row>
    <row r="124" spans="1:16">
      <c r="A124" t="s">
        <v>1309</v>
      </c>
      <c r="B124" s="3">
        <v>40629.981099537035</v>
      </c>
      <c r="C124" s="4">
        <v>2</v>
      </c>
      <c r="D124" s="4">
        <v>2</v>
      </c>
      <c r="E124">
        <v>0</v>
      </c>
    </row>
    <row r="125" spans="1:16">
      <c r="A125" t="s">
        <v>1383</v>
      </c>
      <c r="B125" s="3">
        <v>40630.592453703706</v>
      </c>
      <c r="C125" s="4">
        <v>2</v>
      </c>
      <c r="D125" s="4">
        <v>2</v>
      </c>
      <c r="E125">
        <v>0</v>
      </c>
    </row>
    <row r="126" spans="1:16">
      <c r="A126" t="s">
        <v>669</v>
      </c>
      <c r="B126" s="3">
        <v>40630.606134259258</v>
      </c>
      <c r="C126" s="4">
        <v>2</v>
      </c>
      <c r="D126" s="4">
        <v>2</v>
      </c>
      <c r="E126">
        <v>1</v>
      </c>
    </row>
    <row r="127" spans="1:16">
      <c r="A127" t="s">
        <v>1185</v>
      </c>
      <c r="B127" s="3">
        <v>40631.432581018518</v>
      </c>
      <c r="C127" s="4">
        <v>2</v>
      </c>
      <c r="D127" s="4">
        <v>2</v>
      </c>
      <c r="E127">
        <v>0</v>
      </c>
    </row>
    <row r="128" spans="1:16">
      <c r="A128" t="s">
        <v>1238</v>
      </c>
      <c r="B128" s="3">
        <v>40632.41678240741</v>
      </c>
      <c r="C128" s="4">
        <v>2</v>
      </c>
      <c r="D128" s="4">
        <v>2</v>
      </c>
      <c r="E128">
        <v>0</v>
      </c>
    </row>
    <row r="129" spans="1:5">
      <c r="A129" t="s">
        <v>569</v>
      </c>
      <c r="B129" s="3">
        <v>40632.423449074071</v>
      </c>
      <c r="C129" s="4">
        <v>2</v>
      </c>
      <c r="D129" s="4">
        <v>2</v>
      </c>
      <c r="E129">
        <v>1</v>
      </c>
    </row>
    <row r="130" spans="1:5">
      <c r="A130" t="s">
        <v>475</v>
      </c>
      <c r="B130" s="3">
        <v>40632.606296296297</v>
      </c>
      <c r="C130" s="4">
        <v>2</v>
      </c>
      <c r="D130" s="4">
        <v>2</v>
      </c>
      <c r="E130">
        <v>0</v>
      </c>
    </row>
    <row r="131" spans="1:5">
      <c r="A131" t="s">
        <v>1453</v>
      </c>
      <c r="B131" s="3">
        <v>40632.723993055559</v>
      </c>
      <c r="C131" s="4">
        <v>2</v>
      </c>
      <c r="D131" s="4">
        <v>2</v>
      </c>
      <c r="E131">
        <v>1</v>
      </c>
    </row>
    <row r="132" spans="1:5">
      <c r="A132" t="s">
        <v>1056</v>
      </c>
      <c r="B132" s="3">
        <v>40632.724247685182</v>
      </c>
      <c r="C132" s="4">
        <v>2</v>
      </c>
      <c r="D132" s="4">
        <v>2</v>
      </c>
      <c r="E132">
        <v>1</v>
      </c>
    </row>
    <row r="133" spans="1:5">
      <c r="A133" t="s">
        <v>675</v>
      </c>
      <c r="B133" s="3">
        <v>40633.414953703701</v>
      </c>
      <c r="C133" s="4">
        <v>2</v>
      </c>
      <c r="D133" s="4">
        <v>2</v>
      </c>
      <c r="E133">
        <v>1</v>
      </c>
    </row>
    <row r="134" spans="1:5">
      <c r="A134" t="s">
        <v>664</v>
      </c>
      <c r="B134" s="3">
        <v>40633.416678240741</v>
      </c>
      <c r="C134" s="4">
        <v>2</v>
      </c>
      <c r="D134" s="4">
        <v>2</v>
      </c>
      <c r="E134">
        <v>1</v>
      </c>
    </row>
    <row r="135" spans="1:5">
      <c r="A135" t="s">
        <v>1459</v>
      </c>
      <c r="B135" s="3">
        <v>40633.691030092596</v>
      </c>
      <c r="C135" s="4">
        <v>2</v>
      </c>
      <c r="D135" s="4">
        <v>2</v>
      </c>
      <c r="E135">
        <v>1</v>
      </c>
    </row>
    <row r="136" spans="1:5">
      <c r="A136" t="s">
        <v>1332</v>
      </c>
      <c r="B136" s="3">
        <v>40633.790567129632</v>
      </c>
      <c r="C136" s="4">
        <v>2</v>
      </c>
      <c r="D136" s="4">
        <v>2</v>
      </c>
      <c r="E136">
        <v>0</v>
      </c>
    </row>
    <row r="137" spans="1:5">
      <c r="A137" t="s">
        <v>584</v>
      </c>
      <c r="B137" s="3">
        <v>40633.791666666664</v>
      </c>
      <c r="C137" s="4">
        <v>2</v>
      </c>
      <c r="D137" s="4">
        <v>2</v>
      </c>
      <c r="E137">
        <v>1</v>
      </c>
    </row>
    <row r="138" spans="1:5">
      <c r="A138" t="s">
        <v>1154</v>
      </c>
      <c r="B138" s="3">
        <v>40633.793113425927</v>
      </c>
      <c r="C138" s="4">
        <v>2</v>
      </c>
      <c r="D138" s="4">
        <v>2</v>
      </c>
      <c r="E138">
        <v>1</v>
      </c>
    </row>
    <row r="139" spans="1:5">
      <c r="A139" t="s">
        <v>711</v>
      </c>
      <c r="B139" s="3">
        <v>40633.951550925929</v>
      </c>
      <c r="C139" s="4">
        <v>2</v>
      </c>
      <c r="D139" s="4">
        <v>2</v>
      </c>
      <c r="E139">
        <v>0</v>
      </c>
    </row>
    <row r="140" spans="1:5">
      <c r="A140" t="s">
        <v>1423</v>
      </c>
      <c r="B140" s="3">
        <v>40633.951550925929</v>
      </c>
      <c r="C140" s="4">
        <v>2</v>
      </c>
      <c r="D140" s="4">
        <v>2</v>
      </c>
      <c r="E140">
        <v>1</v>
      </c>
    </row>
    <row r="141" spans="1:5">
      <c r="A141" t="s">
        <v>578</v>
      </c>
      <c r="B141" s="3">
        <v>40634.634675925925</v>
      </c>
      <c r="C141" s="4">
        <v>2</v>
      </c>
      <c r="D141" s="4">
        <v>2</v>
      </c>
      <c r="E141">
        <v>1</v>
      </c>
    </row>
    <row r="142" spans="1:5">
      <c r="A142" t="s">
        <v>1107</v>
      </c>
      <c r="B142" s="3">
        <v>40635.272743055553</v>
      </c>
      <c r="C142" s="4">
        <v>2</v>
      </c>
      <c r="D142" s="4">
        <v>2</v>
      </c>
      <c r="E142">
        <v>1</v>
      </c>
    </row>
    <row r="143" spans="1:5">
      <c r="A143" t="s">
        <v>432</v>
      </c>
      <c r="B143" s="3">
        <v>40635.34306712963</v>
      </c>
      <c r="C143" s="4">
        <v>2</v>
      </c>
      <c r="D143" s="4">
        <v>2</v>
      </c>
      <c r="E143">
        <v>0</v>
      </c>
    </row>
    <row r="144" spans="1:5">
      <c r="A144" t="s">
        <v>1000</v>
      </c>
      <c r="B144" s="3">
        <v>40637.410833333335</v>
      </c>
      <c r="C144" s="4">
        <v>2</v>
      </c>
      <c r="D144" s="4">
        <v>2</v>
      </c>
      <c r="E144">
        <v>0</v>
      </c>
    </row>
    <row r="145" spans="1:5">
      <c r="A145" t="s">
        <v>1178</v>
      </c>
      <c r="B145" s="3">
        <v>40644.391863425924</v>
      </c>
      <c r="C145" s="4">
        <v>2</v>
      </c>
      <c r="D145" s="4">
        <v>2</v>
      </c>
      <c r="E145">
        <v>0</v>
      </c>
    </row>
    <row r="146" spans="1:5">
      <c r="A146" t="s">
        <v>1042</v>
      </c>
      <c r="B146" s="3">
        <v>40646.385740740741</v>
      </c>
      <c r="C146" s="4">
        <v>2</v>
      </c>
      <c r="D146" s="4">
        <v>2</v>
      </c>
      <c r="E146">
        <v>1</v>
      </c>
    </row>
    <row r="147" spans="1:5">
      <c r="A147" t="s">
        <v>1163</v>
      </c>
      <c r="B147" s="3">
        <v>40648.841087962966</v>
      </c>
      <c r="C147" s="4">
        <v>2</v>
      </c>
      <c r="D147" s="4">
        <v>2</v>
      </c>
      <c r="E147">
        <v>1</v>
      </c>
    </row>
    <row r="148" spans="1:5">
      <c r="A148" t="s">
        <v>1131</v>
      </c>
      <c r="B148" s="3">
        <v>40648.916319444441</v>
      </c>
      <c r="C148" s="4">
        <v>2</v>
      </c>
      <c r="D148" s="4">
        <v>2</v>
      </c>
      <c r="E148">
        <v>1</v>
      </c>
    </row>
    <row r="149" spans="1:5">
      <c r="A149" t="s">
        <v>1151</v>
      </c>
      <c r="B149" s="3">
        <v>40648.935798611114</v>
      </c>
      <c r="C149" s="4">
        <v>2</v>
      </c>
      <c r="D149" s="4">
        <v>2</v>
      </c>
      <c r="E149">
        <v>0</v>
      </c>
    </row>
    <row r="150" spans="1:5">
      <c r="A150" t="s">
        <v>1061</v>
      </c>
      <c r="B150" s="3">
        <v>40648.95753472222</v>
      </c>
      <c r="C150" s="4">
        <v>2</v>
      </c>
      <c r="D150" s="4">
        <v>2</v>
      </c>
      <c r="E150">
        <v>1</v>
      </c>
    </row>
    <row r="151" spans="1:5">
      <c r="A151" t="s">
        <v>537</v>
      </c>
      <c r="B151" s="3">
        <v>40651.553437499999</v>
      </c>
      <c r="C151" s="4">
        <v>2</v>
      </c>
      <c r="D151" s="4">
        <v>2</v>
      </c>
      <c r="E151">
        <v>1</v>
      </c>
    </row>
    <row r="152" spans="1:5">
      <c r="A152" t="s">
        <v>1477</v>
      </c>
      <c r="B152" s="3">
        <v>40651.559212962966</v>
      </c>
      <c r="C152" s="4">
        <v>2</v>
      </c>
      <c r="D152" s="4">
        <v>2</v>
      </c>
      <c r="E152">
        <v>1</v>
      </c>
    </row>
    <row r="153" spans="1:5">
      <c r="A153" t="s">
        <v>1023</v>
      </c>
      <c r="B153" s="3">
        <v>40651.561539351853</v>
      </c>
      <c r="C153" s="4">
        <v>2</v>
      </c>
      <c r="D153" s="4">
        <v>2</v>
      </c>
      <c r="E153">
        <v>0</v>
      </c>
    </row>
    <row r="154" spans="1:5">
      <c r="A154" t="s">
        <v>793</v>
      </c>
      <c r="B154" s="3">
        <v>40651.562523148146</v>
      </c>
      <c r="C154" s="4">
        <v>2</v>
      </c>
      <c r="D154" s="4">
        <v>2</v>
      </c>
      <c r="E154">
        <v>1</v>
      </c>
    </row>
    <row r="155" spans="1:5">
      <c r="A155" t="s">
        <v>594</v>
      </c>
      <c r="B155" s="3">
        <v>40651.909675925926</v>
      </c>
      <c r="C155" s="4">
        <v>2</v>
      </c>
      <c r="D155" s="4">
        <v>2</v>
      </c>
      <c r="E155">
        <v>0</v>
      </c>
    </row>
    <row r="156" spans="1:5">
      <c r="A156" t="s">
        <v>1091</v>
      </c>
      <c r="B156" s="3">
        <v>40651.918217592596</v>
      </c>
      <c r="C156" s="4">
        <v>2</v>
      </c>
      <c r="D156" s="4">
        <v>2</v>
      </c>
      <c r="E156">
        <v>1</v>
      </c>
    </row>
    <row r="157" spans="1:5">
      <c r="A157" t="s">
        <v>1128</v>
      </c>
      <c r="B157" s="3">
        <v>40651.94122685185</v>
      </c>
      <c r="C157" s="4">
        <v>2</v>
      </c>
      <c r="D157" s="4">
        <v>2</v>
      </c>
      <c r="E157">
        <v>2</v>
      </c>
    </row>
    <row r="158" spans="1:5">
      <c r="A158" t="s">
        <v>753</v>
      </c>
      <c r="B158" s="3">
        <v>40652.485671296294</v>
      </c>
      <c r="C158" s="4">
        <v>2</v>
      </c>
      <c r="D158" s="4">
        <v>2</v>
      </c>
      <c r="E158">
        <v>1</v>
      </c>
    </row>
    <row r="159" spans="1:5">
      <c r="A159" s="1" t="s">
        <v>805</v>
      </c>
      <c r="B159" s="3">
        <v>40653.323194444441</v>
      </c>
      <c r="C159" s="4">
        <v>2</v>
      </c>
      <c r="D159" s="4">
        <v>2</v>
      </c>
      <c r="E159">
        <v>0</v>
      </c>
    </row>
    <row r="160" spans="1:5">
      <c r="A160" t="s">
        <v>1494</v>
      </c>
      <c r="B160" s="3">
        <v>40654.639826388891</v>
      </c>
      <c r="C160" s="4">
        <v>2</v>
      </c>
      <c r="D160" s="4">
        <v>2</v>
      </c>
      <c r="E160">
        <v>1</v>
      </c>
    </row>
    <row r="161" spans="1:5">
      <c r="A161" t="s">
        <v>1058</v>
      </c>
      <c r="B161" s="3">
        <v>40655.539456018516</v>
      </c>
      <c r="C161" s="4">
        <v>2</v>
      </c>
      <c r="D161" s="4">
        <v>2</v>
      </c>
      <c r="E161">
        <v>1</v>
      </c>
    </row>
    <row r="162" spans="1:5">
      <c r="A162" t="s">
        <v>1104</v>
      </c>
      <c r="B162" s="3">
        <v>40655.811886574076</v>
      </c>
      <c r="C162" s="4">
        <v>2</v>
      </c>
      <c r="D162" s="4">
        <v>2</v>
      </c>
      <c r="E162">
        <v>1</v>
      </c>
    </row>
    <row r="163" spans="1:5">
      <c r="A163" t="s">
        <v>853</v>
      </c>
      <c r="B163" s="3">
        <v>40658.514502314814</v>
      </c>
      <c r="C163" s="4">
        <v>2</v>
      </c>
      <c r="D163" s="4">
        <v>2</v>
      </c>
      <c r="E163">
        <v>2</v>
      </c>
    </row>
    <row r="164" spans="1:5">
      <c r="A164" t="s">
        <v>1471</v>
      </c>
      <c r="B164" s="3">
        <v>40658.968773148146</v>
      </c>
      <c r="C164" s="4">
        <v>2</v>
      </c>
      <c r="D164" s="4">
        <v>2</v>
      </c>
      <c r="E164">
        <v>1</v>
      </c>
    </row>
    <row r="165" spans="1:5">
      <c r="A165" t="s">
        <v>1053</v>
      </c>
      <c r="B165" s="3">
        <v>40661.752569444441</v>
      </c>
      <c r="C165" s="4">
        <v>2</v>
      </c>
      <c r="D165" s="4">
        <v>2</v>
      </c>
      <c r="E165">
        <v>1</v>
      </c>
    </row>
    <row r="166" spans="1:5">
      <c r="A166" t="s">
        <v>485</v>
      </c>
      <c r="B166" s="3">
        <v>40661.900243055556</v>
      </c>
      <c r="C166" s="4">
        <v>2</v>
      </c>
      <c r="D166" s="4">
        <v>2</v>
      </c>
      <c r="E166">
        <v>0</v>
      </c>
    </row>
    <row r="167" spans="1:5">
      <c r="A167" t="s">
        <v>973</v>
      </c>
      <c r="B167" s="3">
        <v>40661.934548611112</v>
      </c>
      <c r="C167" s="4">
        <v>2</v>
      </c>
      <c r="D167" s="4">
        <v>2</v>
      </c>
      <c r="E167">
        <v>0</v>
      </c>
    </row>
    <row r="168" spans="1:5">
      <c r="A168" t="s">
        <v>650</v>
      </c>
      <c r="B168" s="3">
        <v>40661.941874999997</v>
      </c>
      <c r="C168" s="4">
        <v>2</v>
      </c>
      <c r="D168" s="4">
        <v>2</v>
      </c>
      <c r="E168">
        <v>0</v>
      </c>
    </row>
    <row r="169" spans="1:5">
      <c r="A169" t="s">
        <v>970</v>
      </c>
      <c r="B169" s="3">
        <v>40662.050324074073</v>
      </c>
      <c r="C169" s="4">
        <v>2</v>
      </c>
      <c r="D169" s="4">
        <v>2</v>
      </c>
      <c r="E169">
        <v>2</v>
      </c>
    </row>
    <row r="170" spans="1:5">
      <c r="A170" t="s">
        <v>1148</v>
      </c>
      <c r="B170" s="3">
        <v>40662.427361111113</v>
      </c>
      <c r="C170" s="4">
        <v>2</v>
      </c>
      <c r="D170" s="4">
        <v>2</v>
      </c>
      <c r="E170">
        <v>0</v>
      </c>
    </row>
    <row r="171" spans="1:5">
      <c r="A171" t="s">
        <v>1288</v>
      </c>
      <c r="B171" s="3">
        <v>40664.63554398148</v>
      </c>
      <c r="C171" s="4">
        <v>2</v>
      </c>
      <c r="D171" s="4">
        <v>2</v>
      </c>
      <c r="E171">
        <v>0</v>
      </c>
    </row>
    <row r="172" spans="1:5">
      <c r="A172" t="s">
        <v>1176</v>
      </c>
      <c r="B172" s="3">
        <v>40664.665127314816</v>
      </c>
      <c r="C172" s="4">
        <v>2</v>
      </c>
      <c r="D172" s="4">
        <v>2</v>
      </c>
      <c r="E172">
        <v>0</v>
      </c>
    </row>
    <row r="173" spans="1:5">
      <c r="A173" t="s">
        <v>560</v>
      </c>
      <c r="B173" s="3">
        <v>40665.70380787037</v>
      </c>
      <c r="C173" s="4">
        <v>2</v>
      </c>
      <c r="D173" s="4">
        <v>2</v>
      </c>
      <c r="E173">
        <v>0</v>
      </c>
    </row>
    <row r="174" spans="1:5">
      <c r="A174" t="s">
        <v>951</v>
      </c>
      <c r="B174" s="3">
        <v>40666.702002314814</v>
      </c>
      <c r="C174" s="4">
        <v>2</v>
      </c>
      <c r="D174" s="4">
        <v>2</v>
      </c>
      <c r="E174">
        <v>0</v>
      </c>
    </row>
    <row r="175" spans="1:5">
      <c r="A175" t="s">
        <v>1356</v>
      </c>
      <c r="B175" s="3">
        <v>40666.706134259257</v>
      </c>
      <c r="C175" s="4">
        <v>2</v>
      </c>
      <c r="D175" s="4">
        <v>2</v>
      </c>
      <c r="E175">
        <v>0</v>
      </c>
    </row>
    <row r="176" spans="1:5">
      <c r="A176" t="s">
        <v>1450</v>
      </c>
      <c r="B176" s="3">
        <v>40666.717800925922</v>
      </c>
      <c r="C176" s="4">
        <v>2</v>
      </c>
      <c r="D176" s="4">
        <v>2</v>
      </c>
      <c r="E176">
        <v>1</v>
      </c>
    </row>
    <row r="177" spans="1:5">
      <c r="A177" t="s">
        <v>1380</v>
      </c>
      <c r="B177" s="3">
        <v>40668.248437499999</v>
      </c>
      <c r="C177" s="4">
        <v>2</v>
      </c>
      <c r="D177" s="4">
        <v>2</v>
      </c>
      <c r="E177">
        <v>0</v>
      </c>
    </row>
    <row r="178" spans="1:5">
      <c r="A178" t="s">
        <v>1365</v>
      </c>
      <c r="B178" s="3">
        <v>40668.411736111113</v>
      </c>
      <c r="C178" s="4">
        <v>2</v>
      </c>
      <c r="D178" s="4">
        <v>2</v>
      </c>
      <c r="E178">
        <v>0</v>
      </c>
    </row>
    <row r="179" spans="1:5">
      <c r="A179" t="s">
        <v>778</v>
      </c>
      <c r="B179" s="3">
        <v>40668.809988425928</v>
      </c>
      <c r="C179" s="4">
        <v>2</v>
      </c>
      <c r="D179" s="4">
        <v>2</v>
      </c>
      <c r="E179">
        <v>0</v>
      </c>
    </row>
    <row r="180" spans="1:5">
      <c r="A180" t="s">
        <v>901</v>
      </c>
      <c r="B180" s="3">
        <v>40670.363796296297</v>
      </c>
      <c r="C180" s="4">
        <v>2</v>
      </c>
      <c r="D180" s="4">
        <v>2</v>
      </c>
      <c r="E180">
        <v>0</v>
      </c>
    </row>
    <row r="181" spans="1:5">
      <c r="A181" t="s">
        <v>1416</v>
      </c>
      <c r="B181" s="3">
        <v>40672.698553240742</v>
      </c>
      <c r="C181" s="4">
        <v>2</v>
      </c>
      <c r="D181" s="4">
        <v>2</v>
      </c>
      <c r="E181">
        <v>1</v>
      </c>
    </row>
    <row r="182" spans="1:5">
      <c r="A182" t="s">
        <v>672</v>
      </c>
      <c r="B182" s="3">
        <v>40673.445381944446</v>
      </c>
      <c r="C182" s="4">
        <v>2</v>
      </c>
      <c r="D182" s="4">
        <v>2</v>
      </c>
      <c r="E182">
        <v>0</v>
      </c>
    </row>
    <row r="183" spans="1:5">
      <c r="A183" t="s">
        <v>435</v>
      </c>
      <c r="B183" s="3">
        <v>40673.486018518517</v>
      </c>
      <c r="C183" s="4">
        <v>2</v>
      </c>
      <c r="D183" s="4">
        <v>2</v>
      </c>
      <c r="E183">
        <v>0</v>
      </c>
    </row>
    <row r="184" spans="1:5">
      <c r="A184" t="s">
        <v>470</v>
      </c>
      <c r="B184" s="3">
        <v>40673.77412037037</v>
      </c>
      <c r="C184" s="4">
        <v>2</v>
      </c>
      <c r="D184" s="4">
        <v>2</v>
      </c>
      <c r="E184">
        <v>0</v>
      </c>
    </row>
    <row r="185" spans="1:5">
      <c r="A185" t="s">
        <v>1119</v>
      </c>
      <c r="B185" s="3">
        <v>40675.417928240742</v>
      </c>
      <c r="C185" s="4">
        <v>2</v>
      </c>
      <c r="D185" s="4">
        <v>2</v>
      </c>
      <c r="E185">
        <v>0</v>
      </c>
    </row>
    <row r="186" spans="1:5">
      <c r="A186" t="s">
        <v>1376</v>
      </c>
      <c r="B186" s="3">
        <v>40676.600868055553</v>
      </c>
      <c r="C186" s="4">
        <v>2</v>
      </c>
      <c r="D186" s="4">
        <v>2</v>
      </c>
      <c r="E186">
        <v>0</v>
      </c>
    </row>
    <row r="187" spans="1:5">
      <c r="A187" t="s">
        <v>1172</v>
      </c>
      <c r="B187" s="3">
        <v>40676.62903935185</v>
      </c>
      <c r="C187" s="4">
        <v>2</v>
      </c>
      <c r="D187" s="4">
        <v>2</v>
      </c>
      <c r="E187">
        <v>1</v>
      </c>
    </row>
    <row r="188" spans="1:5">
      <c r="A188" t="s">
        <v>1263</v>
      </c>
      <c r="B188" s="3">
        <v>40679.414722222224</v>
      </c>
      <c r="C188" s="4">
        <v>2</v>
      </c>
      <c r="D188" s="4">
        <v>2</v>
      </c>
      <c r="E188">
        <v>0</v>
      </c>
    </row>
    <row r="189" spans="1:5">
      <c r="A189" t="s">
        <v>927</v>
      </c>
      <c r="B189" s="3">
        <v>40679.624884259261</v>
      </c>
      <c r="C189" s="4">
        <v>2</v>
      </c>
      <c r="D189" s="4">
        <v>2</v>
      </c>
      <c r="E189">
        <v>0</v>
      </c>
    </row>
    <row r="190" spans="1:5">
      <c r="A190" t="s">
        <v>1433</v>
      </c>
      <c r="B190" s="3">
        <v>40679.646574074075</v>
      </c>
      <c r="C190" s="4">
        <v>2</v>
      </c>
      <c r="D190" s="4">
        <v>2</v>
      </c>
      <c r="E190">
        <v>1</v>
      </c>
    </row>
    <row r="191" spans="1:5">
      <c r="A191" t="s">
        <v>1276</v>
      </c>
      <c r="B191" s="3">
        <v>40681.764039351852</v>
      </c>
      <c r="C191" s="4">
        <v>2</v>
      </c>
      <c r="D191" s="4">
        <v>2</v>
      </c>
      <c r="E191">
        <v>0</v>
      </c>
    </row>
    <row r="192" spans="1:5">
      <c r="A192" t="s">
        <v>1081</v>
      </c>
      <c r="B192" s="3">
        <v>40682.430451388886</v>
      </c>
      <c r="C192" s="4">
        <v>2</v>
      </c>
      <c r="D192" s="4">
        <v>2</v>
      </c>
      <c r="E192">
        <v>0</v>
      </c>
    </row>
    <row r="193" spans="1:5">
      <c r="A193" t="s">
        <v>473</v>
      </c>
      <c r="B193" s="3">
        <v>40682.70412037037</v>
      </c>
      <c r="C193" s="4">
        <v>2</v>
      </c>
      <c r="D193" s="4">
        <v>2</v>
      </c>
      <c r="E193">
        <v>0</v>
      </c>
    </row>
    <row r="194" spans="1:5">
      <c r="A194" t="s">
        <v>1467</v>
      </c>
      <c r="B194" s="3">
        <v>40682.712372685186</v>
      </c>
      <c r="C194" s="4">
        <v>2</v>
      </c>
      <c r="D194" s="4">
        <v>2</v>
      </c>
      <c r="E194">
        <v>0</v>
      </c>
    </row>
    <row r="195" spans="1:5">
      <c r="A195" s="1" t="s">
        <v>452</v>
      </c>
      <c r="B195" s="3">
        <v>40683.388124999998</v>
      </c>
      <c r="C195" s="4">
        <v>2</v>
      </c>
      <c r="D195" s="4">
        <v>2</v>
      </c>
      <c r="E195">
        <v>0</v>
      </c>
    </row>
    <row r="196" spans="1:5">
      <c r="A196" t="s">
        <v>992</v>
      </c>
      <c r="B196" s="3">
        <v>40685.921053240738</v>
      </c>
      <c r="C196" s="4">
        <v>2</v>
      </c>
      <c r="D196" s="4">
        <v>2</v>
      </c>
      <c r="E196">
        <v>0</v>
      </c>
    </row>
    <row r="197" spans="1:5">
      <c r="A197" t="s">
        <v>1329</v>
      </c>
      <c r="B197" s="3">
        <v>40685.980069444442</v>
      </c>
      <c r="C197" s="4">
        <v>2</v>
      </c>
      <c r="D197" s="4">
        <v>2</v>
      </c>
      <c r="E197">
        <v>1</v>
      </c>
    </row>
    <row r="198" spans="1:5">
      <c r="A198" t="s">
        <v>1206</v>
      </c>
      <c r="B198" s="3">
        <v>40686.401203703703</v>
      </c>
      <c r="C198" s="4">
        <v>2</v>
      </c>
      <c r="D198" s="4">
        <v>2</v>
      </c>
      <c r="E198">
        <v>0</v>
      </c>
    </row>
    <row r="199" spans="1:5">
      <c r="A199" t="s">
        <v>1446</v>
      </c>
      <c r="B199" s="3">
        <v>40686.47278935185</v>
      </c>
      <c r="C199" s="4">
        <v>2</v>
      </c>
      <c r="D199" s="4">
        <v>2</v>
      </c>
      <c r="E199">
        <v>1</v>
      </c>
    </row>
    <row r="200" spans="1:5">
      <c r="A200" t="s">
        <v>1227</v>
      </c>
      <c r="B200" s="3">
        <v>40687.451493055552</v>
      </c>
      <c r="C200" s="4">
        <v>2</v>
      </c>
      <c r="D200" s="4">
        <v>2</v>
      </c>
      <c r="E200">
        <v>0</v>
      </c>
    </row>
    <row r="201" spans="1:5">
      <c r="A201" t="s">
        <v>690</v>
      </c>
      <c r="B201" s="3">
        <v>40691.668310185189</v>
      </c>
      <c r="C201" s="4">
        <v>2</v>
      </c>
      <c r="D201" s="4">
        <v>2</v>
      </c>
      <c r="E201">
        <v>0</v>
      </c>
    </row>
    <row r="202" spans="1:5">
      <c r="A202" t="s">
        <v>580</v>
      </c>
      <c r="B202" s="3">
        <v>40691.739444444444</v>
      </c>
      <c r="C202" s="4">
        <v>2</v>
      </c>
      <c r="D202" s="4">
        <v>2</v>
      </c>
      <c r="E202">
        <v>0</v>
      </c>
    </row>
    <row r="203" spans="1:5">
      <c r="A203" t="s">
        <v>893</v>
      </c>
      <c r="B203" s="3">
        <v>40694.203912037039</v>
      </c>
      <c r="C203" s="4">
        <v>2</v>
      </c>
      <c r="D203" s="4">
        <v>2</v>
      </c>
      <c r="E203">
        <v>0</v>
      </c>
    </row>
    <row r="204" spans="1:5">
      <c r="A204" t="s">
        <v>1230</v>
      </c>
      <c r="B204" s="3">
        <v>40694.225011574075</v>
      </c>
      <c r="C204" s="4">
        <v>2</v>
      </c>
      <c r="D204" s="4">
        <v>2</v>
      </c>
      <c r="E204">
        <v>1</v>
      </c>
    </row>
    <row r="205" spans="1:5">
      <c r="A205" t="s">
        <v>719</v>
      </c>
      <c r="B205" s="3">
        <v>40694.240520833337</v>
      </c>
      <c r="C205" s="4">
        <v>2</v>
      </c>
      <c r="D205" s="4">
        <v>2</v>
      </c>
      <c r="E205">
        <v>1</v>
      </c>
    </row>
    <row r="206" spans="1:5">
      <c r="A206" t="s">
        <v>1036</v>
      </c>
      <c r="B206" s="3">
        <v>40694.421041666668</v>
      </c>
      <c r="C206" s="4">
        <v>2</v>
      </c>
      <c r="D206" s="4">
        <v>2</v>
      </c>
      <c r="E206">
        <v>0</v>
      </c>
    </row>
    <row r="207" spans="1:5">
      <c r="A207" t="s">
        <v>1353</v>
      </c>
      <c r="B207" s="3">
        <v>40694.632210648146</v>
      </c>
      <c r="C207" s="4">
        <v>2</v>
      </c>
      <c r="D207" s="4">
        <v>2</v>
      </c>
      <c r="E207">
        <v>0</v>
      </c>
    </row>
    <row r="208" spans="1:5">
      <c r="A208" t="s">
        <v>383</v>
      </c>
      <c r="B208" s="3">
        <v>40695.972395833334</v>
      </c>
      <c r="C208" s="4">
        <v>2</v>
      </c>
      <c r="D208" s="4">
        <v>2</v>
      </c>
      <c r="E208">
        <v>1</v>
      </c>
    </row>
    <row r="209" spans="1:5">
      <c r="A209" t="s">
        <v>463</v>
      </c>
      <c r="B209" s="3">
        <v>40696.686469907407</v>
      </c>
      <c r="C209" s="4">
        <v>2</v>
      </c>
      <c r="D209" s="4">
        <v>2</v>
      </c>
      <c r="E209">
        <v>0</v>
      </c>
    </row>
    <row r="210" spans="1:5">
      <c r="A210" t="s">
        <v>1409</v>
      </c>
      <c r="B210" s="3">
        <v>40696.686469907407</v>
      </c>
      <c r="C210" s="4">
        <v>2</v>
      </c>
      <c r="D210" s="4">
        <v>2</v>
      </c>
      <c r="E210">
        <v>1</v>
      </c>
    </row>
    <row r="211" spans="1:5">
      <c r="A211" t="s">
        <v>700</v>
      </c>
      <c r="B211" s="3">
        <v>40696.952337962961</v>
      </c>
      <c r="C211" s="4">
        <v>2</v>
      </c>
      <c r="D211" s="4">
        <v>2</v>
      </c>
      <c r="E211">
        <v>0</v>
      </c>
    </row>
    <row r="212" spans="1:5">
      <c r="A212" t="s">
        <v>1012</v>
      </c>
      <c r="B212" s="3">
        <v>40697.648645833331</v>
      </c>
      <c r="C212" s="4">
        <v>2</v>
      </c>
      <c r="D212" s="4">
        <v>2</v>
      </c>
      <c r="E212">
        <v>0</v>
      </c>
    </row>
    <row r="213" spans="1:5">
      <c r="A213" t="s">
        <v>1085</v>
      </c>
      <c r="B213" s="3">
        <v>40698.13212962963</v>
      </c>
      <c r="C213" s="4">
        <v>2</v>
      </c>
      <c r="D213" s="4">
        <v>2</v>
      </c>
      <c r="E213">
        <v>0</v>
      </c>
    </row>
    <row r="214" spans="1:5">
      <c r="A214" t="s">
        <v>896</v>
      </c>
      <c r="B214" s="3">
        <v>40698.44259259259</v>
      </c>
      <c r="C214" s="4">
        <v>2</v>
      </c>
      <c r="D214" s="4">
        <v>2</v>
      </c>
      <c r="E214">
        <v>0</v>
      </c>
    </row>
    <row r="215" spans="1:5">
      <c r="A215" t="s">
        <v>890</v>
      </c>
      <c r="B215" s="3">
        <v>40698.475648148145</v>
      </c>
      <c r="C215" s="4">
        <v>2</v>
      </c>
      <c r="D215" s="4">
        <v>2</v>
      </c>
      <c r="E215">
        <v>0</v>
      </c>
    </row>
    <row r="216" spans="1:5">
      <c r="A216" t="s">
        <v>886</v>
      </c>
      <c r="B216" s="3">
        <v>40699.677581018521</v>
      </c>
      <c r="C216" s="4">
        <v>2</v>
      </c>
      <c r="D216" s="4">
        <v>2</v>
      </c>
      <c r="E216">
        <v>0</v>
      </c>
    </row>
    <row r="217" spans="1:5">
      <c r="A217" t="s">
        <v>964</v>
      </c>
      <c r="B217" s="3">
        <v>40700.010196759256</v>
      </c>
      <c r="C217" s="4">
        <v>2</v>
      </c>
      <c r="D217" s="4">
        <v>2</v>
      </c>
      <c r="E217">
        <v>1</v>
      </c>
    </row>
    <row r="218" spans="1:5">
      <c r="A218" t="s">
        <v>393</v>
      </c>
      <c r="B218" s="3">
        <v>40700.932523148149</v>
      </c>
      <c r="C218" s="4">
        <v>2</v>
      </c>
      <c r="D218" s="4">
        <v>2</v>
      </c>
      <c r="E218">
        <v>2</v>
      </c>
    </row>
    <row r="219" spans="1:5">
      <c r="A219" t="s">
        <v>919</v>
      </c>
      <c r="B219" s="3">
        <v>40701.379791666666</v>
      </c>
      <c r="C219" s="4">
        <v>2</v>
      </c>
      <c r="D219" s="4">
        <v>2</v>
      </c>
      <c r="E219">
        <v>1</v>
      </c>
    </row>
    <row r="220" spans="1:5">
      <c r="A220" t="s">
        <v>422</v>
      </c>
      <c r="B220" s="3">
        <v>40701.436886574076</v>
      </c>
      <c r="C220" s="4">
        <v>2</v>
      </c>
      <c r="D220" s="4">
        <v>2</v>
      </c>
      <c r="E220">
        <v>1</v>
      </c>
    </row>
    <row r="221" spans="1:5">
      <c r="A221" t="s">
        <v>1261</v>
      </c>
      <c r="B221" s="3">
        <v>40701.623217592591</v>
      </c>
      <c r="C221" s="4">
        <v>2</v>
      </c>
      <c r="D221" s="4">
        <v>2</v>
      </c>
      <c r="E221">
        <v>0</v>
      </c>
    </row>
    <row r="222" spans="1:5">
      <c r="A222" t="s">
        <v>547</v>
      </c>
      <c r="B222" s="3">
        <v>40701.719953703701</v>
      </c>
      <c r="C222" s="4">
        <v>2</v>
      </c>
      <c r="D222" s="4">
        <v>2</v>
      </c>
      <c r="E222">
        <v>1</v>
      </c>
    </row>
    <row r="223" spans="1:5">
      <c r="A223" t="s">
        <v>1269</v>
      </c>
      <c r="B223" s="3">
        <v>40701.719953703701</v>
      </c>
      <c r="C223" s="4">
        <v>2</v>
      </c>
      <c r="D223" s="4">
        <v>2</v>
      </c>
      <c r="E223">
        <v>1</v>
      </c>
    </row>
    <row r="224" spans="1:5">
      <c r="A224" t="s">
        <v>1410</v>
      </c>
      <c r="B224" s="3">
        <v>40702.462013888886</v>
      </c>
      <c r="C224" s="4">
        <v>2</v>
      </c>
      <c r="D224" s="4">
        <v>2</v>
      </c>
      <c r="E224">
        <v>1</v>
      </c>
    </row>
    <row r="225" spans="1:5">
      <c r="A225" t="s">
        <v>1344</v>
      </c>
      <c r="B225" s="3">
        <v>40706.922083333331</v>
      </c>
      <c r="C225" s="4">
        <v>2</v>
      </c>
      <c r="D225" s="4">
        <v>2</v>
      </c>
      <c r="E225">
        <v>0</v>
      </c>
    </row>
    <row r="226" spans="1:5">
      <c r="A226" t="s">
        <v>947</v>
      </c>
      <c r="B226" s="3">
        <v>40707.271458333336</v>
      </c>
      <c r="C226" s="4">
        <v>2</v>
      </c>
      <c r="D226" s="4">
        <v>2</v>
      </c>
      <c r="E226">
        <v>0</v>
      </c>
    </row>
    <row r="227" spans="1:5">
      <c r="A227" t="s">
        <v>644</v>
      </c>
      <c r="B227" s="3">
        <v>40707.390694444446</v>
      </c>
      <c r="C227" s="4">
        <v>2</v>
      </c>
      <c r="D227" s="4">
        <v>2</v>
      </c>
      <c r="E227">
        <v>1</v>
      </c>
    </row>
    <row r="228" spans="1:5">
      <c r="A228" t="s">
        <v>1497</v>
      </c>
      <c r="B228" s="3">
        <v>40707.935057870367</v>
      </c>
      <c r="C228" s="4">
        <v>2</v>
      </c>
      <c r="D228" s="4">
        <v>2</v>
      </c>
      <c r="E228">
        <v>0</v>
      </c>
    </row>
    <row r="229" spans="1:5">
      <c r="A229" t="s">
        <v>1511</v>
      </c>
      <c r="B229" s="3">
        <v>40708.062604166669</v>
      </c>
      <c r="C229" s="4">
        <v>2</v>
      </c>
      <c r="D229" s="4">
        <v>2</v>
      </c>
      <c r="E229">
        <v>1</v>
      </c>
    </row>
    <row r="230" spans="1:5">
      <c r="A230" t="s">
        <v>1029</v>
      </c>
      <c r="B230" s="3">
        <v>40708.528703703705</v>
      </c>
      <c r="C230" s="4">
        <v>2</v>
      </c>
      <c r="D230" s="4">
        <v>2</v>
      </c>
      <c r="E230">
        <v>0</v>
      </c>
    </row>
    <row r="231" spans="1:5">
      <c r="A231" t="s">
        <v>1303</v>
      </c>
      <c r="B231" s="3">
        <v>40708.73978009259</v>
      </c>
      <c r="C231" s="4">
        <v>2</v>
      </c>
      <c r="D231" s="4">
        <v>2</v>
      </c>
      <c r="E231">
        <v>0</v>
      </c>
    </row>
    <row r="232" spans="1:5">
      <c r="A232" t="s">
        <v>1078</v>
      </c>
      <c r="B232" s="3">
        <v>40711.008900462963</v>
      </c>
      <c r="C232" s="4">
        <v>2</v>
      </c>
      <c r="D232" s="4">
        <v>2</v>
      </c>
      <c r="E232">
        <v>0</v>
      </c>
    </row>
    <row r="233" spans="1:5">
      <c r="A233" t="s">
        <v>1190</v>
      </c>
      <c r="B233" s="3">
        <v>40711.575810185182</v>
      </c>
      <c r="C233" s="4">
        <v>2</v>
      </c>
      <c r="D233" s="4">
        <v>2</v>
      </c>
      <c r="E233">
        <v>1</v>
      </c>
    </row>
    <row r="234" spans="1:5">
      <c r="A234" t="s">
        <v>1003</v>
      </c>
      <c r="B234" s="3">
        <v>40711.911956018521</v>
      </c>
      <c r="C234" s="4">
        <v>2</v>
      </c>
      <c r="D234" s="4">
        <v>2</v>
      </c>
      <c r="E234">
        <v>1</v>
      </c>
    </row>
    <row r="235" spans="1:5">
      <c r="A235" t="s">
        <v>1312</v>
      </c>
      <c r="B235" s="3">
        <v>40711.972175925926</v>
      </c>
      <c r="C235" s="4">
        <v>2</v>
      </c>
      <c r="D235" s="4">
        <v>2</v>
      </c>
      <c r="E235">
        <v>0</v>
      </c>
    </row>
    <row r="236" spans="1:5">
      <c r="A236" t="s">
        <v>808</v>
      </c>
      <c r="B236" s="3">
        <v>40712.394745370373</v>
      </c>
      <c r="C236" s="4">
        <v>2</v>
      </c>
      <c r="D236" s="4">
        <v>2</v>
      </c>
      <c r="E236">
        <v>0</v>
      </c>
    </row>
    <row r="237" spans="1:5">
      <c r="A237" t="s">
        <v>1315</v>
      </c>
      <c r="B237" s="3">
        <v>40713.964016203703</v>
      </c>
      <c r="C237" s="4">
        <v>2</v>
      </c>
      <c r="D237" s="4">
        <v>2</v>
      </c>
      <c r="E237">
        <v>0</v>
      </c>
    </row>
    <row r="238" spans="1:5">
      <c r="A238" t="s">
        <v>799</v>
      </c>
      <c r="B238" s="3">
        <v>40714.46402777778</v>
      </c>
      <c r="C238" s="4">
        <v>2</v>
      </c>
      <c r="D238" s="4">
        <v>2</v>
      </c>
      <c r="E238">
        <v>0</v>
      </c>
    </row>
    <row r="239" spans="1:5">
      <c r="A239" t="s">
        <v>730</v>
      </c>
      <c r="B239" s="3">
        <v>40714.74690972222</v>
      </c>
      <c r="C239" s="4">
        <v>2</v>
      </c>
      <c r="D239" s="4">
        <v>2</v>
      </c>
      <c r="E239">
        <v>0</v>
      </c>
    </row>
    <row r="240" spans="1:5">
      <c r="A240" t="s">
        <v>380</v>
      </c>
      <c r="B240" s="3">
        <v>40715.065335648149</v>
      </c>
      <c r="C240" s="4">
        <v>2</v>
      </c>
      <c r="D240" s="4">
        <v>2</v>
      </c>
      <c r="E240">
        <v>1</v>
      </c>
    </row>
    <row r="241" spans="1:5">
      <c r="A241" t="s">
        <v>1256</v>
      </c>
      <c r="B241" s="3">
        <v>40715.608356481483</v>
      </c>
      <c r="C241" s="4">
        <v>2</v>
      </c>
      <c r="D241" s="4">
        <v>2</v>
      </c>
      <c r="E241">
        <v>1</v>
      </c>
    </row>
    <row r="242" spans="1:5">
      <c r="A242" t="s">
        <v>540</v>
      </c>
      <c r="B242" s="3">
        <v>40715.68204861111</v>
      </c>
      <c r="C242" s="4">
        <v>2</v>
      </c>
      <c r="D242" s="4">
        <v>2</v>
      </c>
      <c r="E242">
        <v>0</v>
      </c>
    </row>
    <row r="243" spans="1:5">
      <c r="A243" t="s">
        <v>402</v>
      </c>
      <c r="B243" s="3">
        <v>40715.710081018522</v>
      </c>
      <c r="C243" s="4">
        <v>2</v>
      </c>
      <c r="D243" s="4">
        <v>2</v>
      </c>
      <c r="E243">
        <v>0</v>
      </c>
    </row>
    <row r="244" spans="1:5">
      <c r="A244" t="s">
        <v>938</v>
      </c>
      <c r="B244" s="3">
        <v>40717.465046296296</v>
      </c>
      <c r="C244" s="4">
        <v>2</v>
      </c>
      <c r="D244" s="4">
        <v>2</v>
      </c>
      <c r="E244">
        <v>0</v>
      </c>
    </row>
    <row r="245" spans="1:5">
      <c r="A245" t="s">
        <v>811</v>
      </c>
      <c r="B245" s="3">
        <v>40718.919259259259</v>
      </c>
      <c r="C245" s="4">
        <v>2</v>
      </c>
      <c r="D245" s="4">
        <v>2</v>
      </c>
      <c r="E245">
        <v>1</v>
      </c>
    </row>
    <row r="246" spans="1:5">
      <c r="A246" t="s">
        <v>856</v>
      </c>
      <c r="B246" s="3">
        <v>40721.417511574073</v>
      </c>
      <c r="C246" s="4">
        <v>2</v>
      </c>
      <c r="D246" s="4">
        <v>2</v>
      </c>
      <c r="E246">
        <v>1</v>
      </c>
    </row>
    <row r="247" spans="1:5">
      <c r="A247" t="s">
        <v>997</v>
      </c>
      <c r="B247" s="3">
        <v>40723.671377314815</v>
      </c>
      <c r="C247" s="4">
        <v>2</v>
      </c>
      <c r="D247" s="4">
        <v>2</v>
      </c>
      <c r="E247">
        <v>0</v>
      </c>
    </row>
    <row r="248" spans="1:5">
      <c r="A248" t="s">
        <v>1246</v>
      </c>
      <c r="B248" s="3">
        <v>40726.535034722219</v>
      </c>
      <c r="C248" s="4">
        <v>2</v>
      </c>
      <c r="D248" s="4">
        <v>2</v>
      </c>
      <c r="E248">
        <v>0</v>
      </c>
    </row>
    <row r="249" spans="1:5">
      <c r="A249" t="s">
        <v>359</v>
      </c>
      <c r="B249" s="3">
        <v>40728.555694444447</v>
      </c>
      <c r="C249" s="4">
        <v>2</v>
      </c>
      <c r="D249" s="4">
        <v>2</v>
      </c>
      <c r="E249">
        <v>1</v>
      </c>
    </row>
    <row r="250" spans="1:5">
      <c r="A250" s="1" t="s">
        <v>703</v>
      </c>
      <c r="B250" s="3">
        <v>40729.389236111114</v>
      </c>
      <c r="C250" s="4">
        <v>2</v>
      </c>
      <c r="D250" s="4">
        <v>2</v>
      </c>
      <c r="E250">
        <v>0</v>
      </c>
    </row>
    <row r="251" spans="1:5">
      <c r="A251" t="s">
        <v>724</v>
      </c>
      <c r="B251" s="3">
        <v>40729.441365740742</v>
      </c>
      <c r="C251" s="4">
        <v>2</v>
      </c>
      <c r="D251" s="4">
        <v>2</v>
      </c>
      <c r="E251">
        <v>0</v>
      </c>
    </row>
    <row r="252" spans="1:5">
      <c r="A252" t="s">
        <v>1519</v>
      </c>
      <c r="B252" s="3">
        <v>40729.492534722223</v>
      </c>
      <c r="C252" s="4">
        <v>2</v>
      </c>
      <c r="D252" s="4">
        <v>2</v>
      </c>
      <c r="E252">
        <v>0</v>
      </c>
    </row>
    <row r="253" spans="1:5">
      <c r="A253" t="s">
        <v>957</v>
      </c>
      <c r="B253" s="3">
        <v>40729.518090277779</v>
      </c>
      <c r="C253" s="4">
        <v>2</v>
      </c>
      <c r="D253" s="4">
        <v>2</v>
      </c>
      <c r="E253">
        <v>0</v>
      </c>
    </row>
    <row r="254" spans="1:5">
      <c r="A254" t="s">
        <v>880</v>
      </c>
      <c r="B254" s="3">
        <v>40729.793842592589</v>
      </c>
      <c r="C254" s="4">
        <v>2</v>
      </c>
      <c r="D254" s="4">
        <v>2</v>
      </c>
      <c r="E254">
        <v>1</v>
      </c>
    </row>
    <row r="255" spans="1:5">
      <c r="A255" t="s">
        <v>1377</v>
      </c>
      <c r="B255" s="3">
        <v>40732.913495370369</v>
      </c>
      <c r="C255" s="4">
        <v>2</v>
      </c>
      <c r="D255" s="4">
        <v>2</v>
      </c>
      <c r="E255">
        <v>1</v>
      </c>
    </row>
    <row r="256" spans="1:5">
      <c r="A256" t="s">
        <v>909</v>
      </c>
      <c r="B256" s="3">
        <v>40736.017476851855</v>
      </c>
      <c r="C256" s="4">
        <v>2</v>
      </c>
      <c r="D256" s="4">
        <v>2</v>
      </c>
      <c r="E256">
        <v>0</v>
      </c>
    </row>
    <row r="257" spans="1:5">
      <c r="A257" t="s">
        <v>873</v>
      </c>
      <c r="B257" s="3">
        <v>40741.504999999997</v>
      </c>
      <c r="C257" s="4">
        <v>2</v>
      </c>
      <c r="D257" s="4">
        <v>2</v>
      </c>
      <c r="E257">
        <v>0</v>
      </c>
    </row>
    <row r="258" spans="1:5">
      <c r="A258" t="s">
        <v>1359</v>
      </c>
      <c r="B258" s="3">
        <v>40742.039513888885</v>
      </c>
      <c r="C258" s="4">
        <v>2</v>
      </c>
      <c r="D258" s="4">
        <v>2</v>
      </c>
      <c r="E258">
        <v>0</v>
      </c>
    </row>
    <row r="259" spans="1:5">
      <c r="A259" t="s">
        <v>557</v>
      </c>
      <c r="B259" s="3">
        <v>40748.018553240741</v>
      </c>
      <c r="C259" s="4">
        <v>2</v>
      </c>
      <c r="D259" s="4">
        <v>2</v>
      </c>
      <c r="E259">
        <v>1</v>
      </c>
    </row>
    <row r="260" spans="1:5">
      <c r="A260" t="s">
        <v>1522</v>
      </c>
      <c r="B260" s="3">
        <v>40749.539479166669</v>
      </c>
      <c r="C260" s="4">
        <v>2</v>
      </c>
      <c r="D260" s="4">
        <v>2</v>
      </c>
      <c r="E260">
        <v>1</v>
      </c>
    </row>
    <row r="261" spans="1:5">
      <c r="A261" t="s">
        <v>1113</v>
      </c>
      <c r="B261" s="3">
        <v>40749.582939814813</v>
      </c>
      <c r="C261" s="4">
        <v>2</v>
      </c>
      <c r="D261" s="4">
        <v>2</v>
      </c>
      <c r="E261">
        <v>0</v>
      </c>
    </row>
    <row r="262" spans="1:5">
      <c r="A262" t="s">
        <v>734</v>
      </c>
      <c r="B262" s="3">
        <v>40749.761701388888</v>
      </c>
      <c r="C262" s="4">
        <v>2</v>
      </c>
      <c r="D262" s="4">
        <v>2</v>
      </c>
      <c r="E262">
        <v>1</v>
      </c>
    </row>
    <row r="263" spans="1:5">
      <c r="A263" t="s">
        <v>883</v>
      </c>
      <c r="B263" s="3">
        <v>40751.93509259259</v>
      </c>
      <c r="C263" s="4">
        <v>2</v>
      </c>
      <c r="D263" s="4">
        <v>2</v>
      </c>
      <c r="E263">
        <v>0</v>
      </c>
    </row>
    <row r="264" spans="1:5">
      <c r="A264" t="s">
        <v>1500</v>
      </c>
      <c r="B264" s="3">
        <v>40753.997835648152</v>
      </c>
      <c r="C264" s="4">
        <v>2</v>
      </c>
      <c r="D264" s="4">
        <v>2</v>
      </c>
      <c r="E264">
        <v>0</v>
      </c>
    </row>
    <row r="265" spans="1:5">
      <c r="A265" t="s">
        <v>1406</v>
      </c>
      <c r="B265" s="3">
        <v>40756.817372685182</v>
      </c>
      <c r="C265" s="4">
        <v>2</v>
      </c>
      <c r="D265" s="4">
        <v>2</v>
      </c>
      <c r="E265">
        <v>0</v>
      </c>
    </row>
    <row r="266" spans="1:5">
      <c r="A266" t="s">
        <v>716</v>
      </c>
      <c r="B266" s="3">
        <v>40756.82885416667</v>
      </c>
      <c r="C266" s="4">
        <v>2</v>
      </c>
      <c r="D266" s="4">
        <v>2</v>
      </c>
      <c r="E266">
        <v>0</v>
      </c>
    </row>
    <row r="267" spans="1:5">
      <c r="A267" t="s">
        <v>647</v>
      </c>
      <c r="B267" s="3">
        <v>40758.264201388891</v>
      </c>
      <c r="C267" s="4">
        <v>2</v>
      </c>
      <c r="D267" s="4">
        <v>2</v>
      </c>
      <c r="E267">
        <v>0</v>
      </c>
    </row>
    <row r="268" spans="1:5">
      <c r="A268" t="s">
        <v>1266</v>
      </c>
      <c r="B268" s="3">
        <v>40763.455682870372</v>
      </c>
      <c r="C268" s="4">
        <v>2</v>
      </c>
      <c r="D268" s="4">
        <v>2</v>
      </c>
      <c r="E268">
        <v>0</v>
      </c>
    </row>
    <row r="269" spans="1:5">
      <c r="A269" t="s">
        <v>1279</v>
      </c>
      <c r="B269" s="3">
        <v>40763.612500000003</v>
      </c>
      <c r="C269" s="4">
        <v>2</v>
      </c>
      <c r="D269" s="4">
        <v>2</v>
      </c>
      <c r="E269">
        <v>1</v>
      </c>
    </row>
    <row r="270" spans="1:5">
      <c r="A270" t="s">
        <v>906</v>
      </c>
      <c r="B270" s="3">
        <v>40764.640104166669</v>
      </c>
      <c r="C270" s="4">
        <v>2</v>
      </c>
      <c r="D270" s="4">
        <v>2</v>
      </c>
      <c r="E270">
        <v>0</v>
      </c>
    </row>
    <row r="271" spans="1:5">
      <c r="A271" t="s">
        <v>1122</v>
      </c>
      <c r="B271" s="3">
        <v>40768.869560185187</v>
      </c>
      <c r="C271" s="4">
        <v>2</v>
      </c>
      <c r="D271" s="4">
        <v>2</v>
      </c>
      <c r="E271">
        <v>0</v>
      </c>
    </row>
    <row r="272" spans="1:5">
      <c r="A272" t="s">
        <v>1528</v>
      </c>
      <c r="B272" s="3">
        <v>40770.896192129629</v>
      </c>
      <c r="C272" s="4">
        <v>2</v>
      </c>
      <c r="D272" s="4">
        <v>2</v>
      </c>
      <c r="E272">
        <v>0</v>
      </c>
    </row>
    <row r="273" spans="1:5">
      <c r="A273" t="s">
        <v>1225</v>
      </c>
      <c r="B273" s="3">
        <v>40772.860972222225</v>
      </c>
      <c r="C273" s="4">
        <v>2</v>
      </c>
      <c r="D273" s="4">
        <v>2</v>
      </c>
      <c r="E273">
        <v>0</v>
      </c>
    </row>
    <row r="274" spans="1:5">
      <c r="A274" t="s">
        <v>636</v>
      </c>
      <c r="B274" s="3">
        <v>40774.436284722222</v>
      </c>
      <c r="C274" s="4">
        <v>2</v>
      </c>
      <c r="D274" s="4">
        <v>2</v>
      </c>
      <c r="E274">
        <v>0</v>
      </c>
    </row>
    <row r="275" spans="1:5">
      <c r="A275" t="s">
        <v>1566</v>
      </c>
      <c r="B275" s="3">
        <v>40779.39199074074</v>
      </c>
      <c r="C275" s="4">
        <v>2</v>
      </c>
      <c r="D275" s="4">
        <v>2</v>
      </c>
      <c r="E275">
        <v>2</v>
      </c>
    </row>
    <row r="276" spans="1:5">
      <c r="A276" t="s">
        <v>575</v>
      </c>
      <c r="B276" s="3">
        <v>40779.428680555553</v>
      </c>
      <c r="C276" s="4">
        <v>2</v>
      </c>
      <c r="D276" s="4">
        <v>2</v>
      </c>
      <c r="E276">
        <v>0</v>
      </c>
    </row>
    <row r="277" spans="1:5">
      <c r="A277" t="s">
        <v>1033</v>
      </c>
      <c r="B277" s="3">
        <v>40782.015740740739</v>
      </c>
      <c r="C277" s="4">
        <v>2</v>
      </c>
      <c r="D277" s="4">
        <v>2</v>
      </c>
      <c r="E277">
        <v>0</v>
      </c>
    </row>
    <row r="278" spans="1:5">
      <c r="A278" t="s">
        <v>1413</v>
      </c>
      <c r="B278" s="3">
        <v>40784.438368055555</v>
      </c>
      <c r="C278" s="4">
        <v>2</v>
      </c>
      <c r="D278" s="4">
        <v>2</v>
      </c>
      <c r="E278">
        <v>0</v>
      </c>
    </row>
    <row r="279" spans="1:5">
      <c r="A279" t="s">
        <v>713</v>
      </c>
      <c r="B279" s="3">
        <v>40784.438391203701</v>
      </c>
      <c r="C279" s="4">
        <v>2</v>
      </c>
      <c r="D279" s="4">
        <v>2</v>
      </c>
      <c r="E279">
        <v>0</v>
      </c>
    </row>
    <row r="280" spans="1:5">
      <c r="A280" t="s">
        <v>870</v>
      </c>
      <c r="B280" s="3">
        <v>40784.493680555555</v>
      </c>
      <c r="C280" s="4">
        <v>2</v>
      </c>
      <c r="D280" s="4">
        <v>2</v>
      </c>
      <c r="E280">
        <v>1</v>
      </c>
    </row>
    <row r="281" spans="1:5">
      <c r="A281" t="s">
        <v>961</v>
      </c>
      <c r="B281" s="3">
        <v>40784.654236111113</v>
      </c>
      <c r="C281" s="4">
        <v>2</v>
      </c>
      <c r="D281" s="4">
        <v>2</v>
      </c>
      <c r="E281">
        <v>0</v>
      </c>
    </row>
    <row r="282" spans="1:5">
      <c r="A282" t="s">
        <v>1347</v>
      </c>
      <c r="B282" s="3">
        <v>40786.834803240738</v>
      </c>
      <c r="C282" s="4">
        <v>2</v>
      </c>
      <c r="D282" s="4">
        <v>2</v>
      </c>
      <c r="E282">
        <v>0</v>
      </c>
    </row>
    <row r="283" spans="1:5">
      <c r="A283" t="s">
        <v>1419</v>
      </c>
      <c r="B283" s="3">
        <v>40791.370671296296</v>
      </c>
      <c r="C283" s="4">
        <v>2</v>
      </c>
      <c r="D283" s="4">
        <v>2</v>
      </c>
      <c r="E283">
        <v>0</v>
      </c>
    </row>
    <row r="284" spans="1:5">
      <c r="A284" t="s">
        <v>903</v>
      </c>
      <c r="B284" s="3">
        <v>40791.925011574072</v>
      </c>
      <c r="C284" s="4">
        <v>2</v>
      </c>
      <c r="D284" s="4">
        <v>2</v>
      </c>
      <c r="E284">
        <v>0</v>
      </c>
    </row>
    <row r="285" spans="1:5">
      <c r="A285" t="s">
        <v>426</v>
      </c>
      <c r="B285" s="3">
        <v>40792.022164351853</v>
      </c>
      <c r="C285" s="4">
        <v>2</v>
      </c>
      <c r="D285" s="4">
        <v>2</v>
      </c>
      <c r="E285">
        <v>0</v>
      </c>
    </row>
    <row r="286" spans="1:5">
      <c r="A286" t="s">
        <v>954</v>
      </c>
      <c r="B286" s="3">
        <v>40792.566412037035</v>
      </c>
      <c r="C286" s="4">
        <v>2</v>
      </c>
      <c r="D286" s="4">
        <v>2</v>
      </c>
      <c r="E286">
        <v>0</v>
      </c>
    </row>
    <row r="287" spans="1:5">
      <c r="A287" t="s">
        <v>982</v>
      </c>
      <c r="B287" s="3">
        <v>40792.850046296298</v>
      </c>
      <c r="C287" s="4">
        <v>2</v>
      </c>
      <c r="D287" s="4">
        <v>2</v>
      </c>
      <c r="E287">
        <v>0</v>
      </c>
    </row>
    <row r="288" spans="1:5">
      <c r="A288" t="s">
        <v>1209</v>
      </c>
      <c r="B288" s="3">
        <v>40792.967766203707</v>
      </c>
      <c r="C288" s="4">
        <v>2</v>
      </c>
      <c r="D288" s="4">
        <v>2</v>
      </c>
      <c r="E288">
        <v>0</v>
      </c>
    </row>
    <row r="289" spans="1:5">
      <c r="A289" t="s">
        <v>460</v>
      </c>
      <c r="B289" s="3">
        <v>40793.058969907404</v>
      </c>
      <c r="C289" s="4">
        <v>2</v>
      </c>
      <c r="D289" s="4">
        <v>2</v>
      </c>
      <c r="E289">
        <v>0</v>
      </c>
    </row>
    <row r="290" spans="1:5">
      <c r="A290" t="s">
        <v>399</v>
      </c>
      <c r="B290" s="3">
        <v>40794.742708333331</v>
      </c>
      <c r="C290" s="4">
        <v>2</v>
      </c>
      <c r="D290" s="4">
        <v>2</v>
      </c>
      <c r="E290">
        <v>1</v>
      </c>
    </row>
    <row r="291" spans="1:5">
      <c r="A291" t="s">
        <v>1545</v>
      </c>
      <c r="B291" s="3">
        <v>40797.675104166665</v>
      </c>
      <c r="C291" s="4">
        <v>2</v>
      </c>
      <c r="D291" s="4">
        <v>2</v>
      </c>
      <c r="E291">
        <v>1</v>
      </c>
    </row>
    <row r="292" spans="1:5">
      <c r="A292" t="s">
        <v>554</v>
      </c>
      <c r="B292" s="3">
        <v>40797.823379629626</v>
      </c>
      <c r="C292" s="4">
        <v>2</v>
      </c>
      <c r="D292" s="4">
        <v>2</v>
      </c>
      <c r="E292">
        <v>0</v>
      </c>
    </row>
    <row r="293" spans="1:5">
      <c r="A293" t="s">
        <v>1015</v>
      </c>
      <c r="B293" s="3">
        <v>40801.327928240738</v>
      </c>
      <c r="C293" s="4">
        <v>2</v>
      </c>
      <c r="D293" s="4">
        <v>2</v>
      </c>
      <c r="E293">
        <v>0</v>
      </c>
    </row>
    <row r="294" spans="1:5">
      <c r="A294" t="s">
        <v>1489</v>
      </c>
      <c r="B294" s="3">
        <v>40806.044537037036</v>
      </c>
      <c r="C294" s="4">
        <v>2</v>
      </c>
      <c r="D294" s="4">
        <v>2</v>
      </c>
      <c r="E294">
        <v>1</v>
      </c>
    </row>
    <row r="295" spans="1:5">
      <c r="A295" t="s">
        <v>591</v>
      </c>
      <c r="B295" s="3">
        <v>40806.108773148146</v>
      </c>
      <c r="C295" s="4">
        <v>2</v>
      </c>
      <c r="D295" s="4">
        <v>2</v>
      </c>
      <c r="E295">
        <v>0</v>
      </c>
    </row>
    <row r="296" spans="1:5">
      <c r="A296" t="s">
        <v>775</v>
      </c>
      <c r="B296" s="3">
        <v>40807.654166666667</v>
      </c>
      <c r="C296" s="4">
        <v>2</v>
      </c>
      <c r="D296" s="4">
        <v>2</v>
      </c>
      <c r="E296">
        <v>1</v>
      </c>
    </row>
    <row r="297" spans="1:5">
      <c r="A297" t="s">
        <v>1273</v>
      </c>
      <c r="B297" s="3">
        <v>40808.614560185182</v>
      </c>
      <c r="C297" s="4">
        <v>2</v>
      </c>
      <c r="D297" s="4">
        <v>2</v>
      </c>
      <c r="E297">
        <v>0</v>
      </c>
    </row>
    <row r="298" spans="1:5">
      <c r="A298" t="s">
        <v>837</v>
      </c>
      <c r="B298" s="3">
        <v>40808.816863425927</v>
      </c>
      <c r="C298" s="4">
        <v>2</v>
      </c>
      <c r="D298" s="4">
        <v>2</v>
      </c>
      <c r="E298">
        <v>0</v>
      </c>
    </row>
    <row r="299" spans="1:5">
      <c r="A299" s="1" t="s">
        <v>844</v>
      </c>
      <c r="B299" s="3">
        <v>40809.499386574076</v>
      </c>
      <c r="C299" s="4">
        <v>2</v>
      </c>
      <c r="D299" s="4">
        <v>2</v>
      </c>
      <c r="E299">
        <v>0</v>
      </c>
    </row>
    <row r="300" spans="1:5">
      <c r="A300" t="s">
        <v>1282</v>
      </c>
      <c r="B300" s="3">
        <v>40809.650543981479</v>
      </c>
      <c r="C300" s="4">
        <v>2</v>
      </c>
      <c r="D300" s="4">
        <v>2</v>
      </c>
      <c r="E300">
        <v>0</v>
      </c>
    </row>
    <row r="301" spans="1:5">
      <c r="A301" t="s">
        <v>1539</v>
      </c>
      <c r="B301" s="3">
        <v>40809.921388888892</v>
      </c>
      <c r="C301" s="4">
        <v>2</v>
      </c>
      <c r="D301" s="4">
        <v>2</v>
      </c>
      <c r="E301">
        <v>0</v>
      </c>
    </row>
    <row r="302" spans="1:5">
      <c r="A302" t="s">
        <v>661</v>
      </c>
      <c r="B302" s="3">
        <v>40809.983622685184</v>
      </c>
      <c r="C302" s="4">
        <v>2</v>
      </c>
      <c r="D302" s="4">
        <v>2</v>
      </c>
      <c r="E302">
        <v>0</v>
      </c>
    </row>
    <row r="303" spans="1:5">
      <c r="A303" t="s">
        <v>1350</v>
      </c>
      <c r="B303" s="3">
        <v>40812.389594907407</v>
      </c>
      <c r="C303" s="4">
        <v>2</v>
      </c>
      <c r="D303" s="4">
        <v>2</v>
      </c>
      <c r="E303">
        <v>0</v>
      </c>
    </row>
    <row r="304" spans="1:5">
      <c r="A304" t="s">
        <v>1116</v>
      </c>
      <c r="B304" s="3">
        <v>40812.461006944446</v>
      </c>
      <c r="C304" s="4">
        <v>2</v>
      </c>
      <c r="D304" s="4">
        <v>2</v>
      </c>
      <c r="E304">
        <v>0</v>
      </c>
    </row>
    <row r="305" spans="1:5">
      <c r="A305" t="s">
        <v>1166</v>
      </c>
      <c r="B305" s="3">
        <v>40812.681296296294</v>
      </c>
      <c r="C305" s="4">
        <v>2</v>
      </c>
      <c r="D305" s="4">
        <v>2</v>
      </c>
      <c r="E305">
        <v>1</v>
      </c>
    </row>
    <row r="306" spans="1:5">
      <c r="A306" t="s">
        <v>341</v>
      </c>
      <c r="B306" s="3">
        <v>40812.903668981482</v>
      </c>
      <c r="C306" s="4">
        <v>2</v>
      </c>
      <c r="D306" s="4">
        <v>2</v>
      </c>
      <c r="E306">
        <v>0</v>
      </c>
    </row>
    <row r="307" spans="1:5">
      <c r="A307" t="s">
        <v>1425</v>
      </c>
      <c r="B307" s="3">
        <v>40813.474594907406</v>
      </c>
      <c r="C307" s="4">
        <v>2</v>
      </c>
      <c r="D307" s="4">
        <v>2</v>
      </c>
      <c r="E307">
        <v>1</v>
      </c>
    </row>
    <row r="308" spans="1:5">
      <c r="A308" t="s">
        <v>1066</v>
      </c>
      <c r="B308" s="3">
        <v>40814.639189814814</v>
      </c>
      <c r="C308" s="4">
        <v>2</v>
      </c>
      <c r="D308" s="4">
        <v>2</v>
      </c>
      <c r="E308">
        <v>0</v>
      </c>
    </row>
    <row r="309" spans="1:5">
      <c r="A309" t="s">
        <v>1199</v>
      </c>
      <c r="B309" s="3">
        <v>40814.726620370369</v>
      </c>
      <c r="C309" s="4">
        <v>2</v>
      </c>
      <c r="D309" s="4">
        <v>2</v>
      </c>
      <c r="E309">
        <v>0</v>
      </c>
    </row>
    <row r="310" spans="1:5">
      <c r="A310" t="s">
        <v>492</v>
      </c>
      <c r="B310" s="3">
        <v>40814.876134259262</v>
      </c>
      <c r="C310" s="4">
        <v>2</v>
      </c>
      <c r="D310" s="4">
        <v>2</v>
      </c>
      <c r="E310">
        <v>0</v>
      </c>
    </row>
    <row r="311" spans="1:5">
      <c r="A311" t="s">
        <v>1126</v>
      </c>
      <c r="B311" s="3">
        <v>40815.022060185183</v>
      </c>
      <c r="C311" s="4">
        <v>2</v>
      </c>
      <c r="D311" s="4">
        <v>2</v>
      </c>
      <c r="E311">
        <v>0</v>
      </c>
    </row>
    <row r="312" spans="1:5">
      <c r="A312" t="s">
        <v>1096</v>
      </c>
      <c r="B312" s="3">
        <v>40815.23337962963</v>
      </c>
      <c r="C312" s="4">
        <v>2</v>
      </c>
      <c r="D312" s="4">
        <v>2</v>
      </c>
      <c r="E312">
        <v>0</v>
      </c>
    </row>
    <row r="313" spans="1:5">
      <c r="A313" t="s">
        <v>784</v>
      </c>
      <c r="B313" s="3">
        <v>40816.391724537039</v>
      </c>
      <c r="C313" s="4">
        <v>2</v>
      </c>
      <c r="D313" s="4">
        <v>2</v>
      </c>
      <c r="E313">
        <v>0</v>
      </c>
    </row>
    <row r="314" spans="1:5">
      <c r="A314" t="s">
        <v>767</v>
      </c>
      <c r="B314" s="3">
        <v>40816.426701388889</v>
      </c>
      <c r="C314" s="4">
        <v>2</v>
      </c>
      <c r="D314" s="4">
        <v>2</v>
      </c>
      <c r="E314">
        <v>0</v>
      </c>
    </row>
    <row r="315" spans="1:5">
      <c r="A315" t="s">
        <v>995</v>
      </c>
      <c r="B315" s="3">
        <v>40816.449270833335</v>
      </c>
      <c r="C315" s="4">
        <v>2</v>
      </c>
      <c r="D315" s="4">
        <v>2</v>
      </c>
      <c r="E315">
        <v>1</v>
      </c>
    </row>
    <row r="316" spans="1:5">
      <c r="A316" t="s">
        <v>720</v>
      </c>
      <c r="B316" s="3">
        <v>40816.517650462964</v>
      </c>
      <c r="C316" s="4">
        <v>2</v>
      </c>
      <c r="D316" s="4">
        <v>2</v>
      </c>
      <c r="E316">
        <v>0</v>
      </c>
    </row>
    <row r="317" spans="1:5">
      <c r="A317" t="s">
        <v>507</v>
      </c>
      <c r="B317" s="3">
        <v>40817.868773148148</v>
      </c>
      <c r="C317" s="4">
        <v>2</v>
      </c>
      <c r="D317" s="4">
        <v>2</v>
      </c>
      <c r="E317">
        <v>0</v>
      </c>
    </row>
    <row r="318" spans="1:5">
      <c r="A318" t="s">
        <v>866</v>
      </c>
      <c r="B318" s="3">
        <v>40818.913854166669</v>
      </c>
      <c r="C318" s="4">
        <v>2</v>
      </c>
      <c r="D318" s="4">
        <v>2</v>
      </c>
      <c r="E318">
        <v>1</v>
      </c>
    </row>
    <row r="319" spans="1:5">
      <c r="A319" t="s">
        <v>1272</v>
      </c>
      <c r="B319" s="3">
        <v>40821.502962962964</v>
      </c>
      <c r="C319" s="4">
        <v>2</v>
      </c>
      <c r="D319" s="4">
        <v>2</v>
      </c>
      <c r="E319">
        <v>0</v>
      </c>
    </row>
    <row r="320" spans="1:5">
      <c r="A320" t="s">
        <v>519</v>
      </c>
      <c r="B320" s="3">
        <v>40821.579155092593</v>
      </c>
      <c r="C320" s="4">
        <v>2</v>
      </c>
      <c r="D320" s="4">
        <v>2</v>
      </c>
      <c r="E320">
        <v>0</v>
      </c>
    </row>
    <row r="321" spans="1:5">
      <c r="A321" t="s">
        <v>1233</v>
      </c>
      <c r="B321" s="3">
        <v>40823.590208333335</v>
      </c>
      <c r="C321" s="4">
        <v>2</v>
      </c>
      <c r="D321" s="4">
        <v>2</v>
      </c>
      <c r="E321">
        <v>1</v>
      </c>
    </row>
    <row r="322" spans="1:5">
      <c r="A322" t="s">
        <v>396</v>
      </c>
      <c r="B322" s="3">
        <v>40826.270995370367</v>
      </c>
      <c r="C322" s="4">
        <v>2</v>
      </c>
      <c r="D322" s="4">
        <v>2</v>
      </c>
      <c r="E322">
        <v>2</v>
      </c>
    </row>
    <row r="323" spans="1:5">
      <c r="A323" t="s">
        <v>1507</v>
      </c>
      <c r="B323" s="3">
        <v>40827.883310185185</v>
      </c>
      <c r="C323" s="4">
        <v>2</v>
      </c>
      <c r="D323" s="4">
        <v>2</v>
      </c>
      <c r="E323">
        <v>0</v>
      </c>
    </row>
    <row r="324" spans="1:5">
      <c r="A324" t="s">
        <v>572</v>
      </c>
      <c r="B324" s="3">
        <v>40828.461111111108</v>
      </c>
      <c r="C324" s="4">
        <v>2</v>
      </c>
      <c r="D324" s="4">
        <v>2</v>
      </c>
      <c r="E324">
        <v>0</v>
      </c>
    </row>
    <row r="325" spans="1:5">
      <c r="A325" t="s">
        <v>1474</v>
      </c>
      <c r="B325" s="3">
        <v>40829.069675925923</v>
      </c>
      <c r="C325" s="4">
        <v>2</v>
      </c>
      <c r="D325" s="4">
        <v>2</v>
      </c>
      <c r="E325">
        <v>1</v>
      </c>
    </row>
    <row r="326" spans="1:5">
      <c r="A326" t="s">
        <v>495</v>
      </c>
      <c r="B326" s="3">
        <v>40829.071168981478</v>
      </c>
      <c r="C326" s="4">
        <v>2</v>
      </c>
      <c r="D326" s="4">
        <v>2</v>
      </c>
      <c r="E326">
        <v>0</v>
      </c>
    </row>
    <row r="327" spans="1:5">
      <c r="A327" t="s">
        <v>1569</v>
      </c>
      <c r="B327" s="3">
        <v>40832.972951388889</v>
      </c>
      <c r="C327" s="4">
        <v>2</v>
      </c>
      <c r="D327" s="4">
        <v>2</v>
      </c>
      <c r="E327">
        <v>1</v>
      </c>
    </row>
    <row r="328" spans="1:5">
      <c r="A328" t="s">
        <v>638</v>
      </c>
      <c r="B328" s="3">
        <v>40835.692615740743</v>
      </c>
      <c r="C328" s="4">
        <v>2</v>
      </c>
      <c r="D328" s="4">
        <v>2</v>
      </c>
      <c r="E328">
        <v>0</v>
      </c>
    </row>
    <row r="329" spans="1:5">
      <c r="A329" t="s">
        <v>608</v>
      </c>
      <c r="B329" s="3">
        <v>40836.435740740744</v>
      </c>
      <c r="C329" s="4">
        <v>2</v>
      </c>
      <c r="D329" s="4">
        <v>2</v>
      </c>
      <c r="E329">
        <v>0</v>
      </c>
    </row>
    <row r="330" spans="1:5">
      <c r="A330" t="s">
        <v>1551</v>
      </c>
      <c r="B330" s="3">
        <v>40836.698564814818</v>
      </c>
      <c r="C330" s="4">
        <v>2</v>
      </c>
      <c r="D330" s="4">
        <v>2</v>
      </c>
      <c r="E330">
        <v>2</v>
      </c>
    </row>
    <row r="331" spans="1:5">
      <c r="A331" t="s">
        <v>620</v>
      </c>
      <c r="B331" s="3">
        <v>40836.909618055557</v>
      </c>
      <c r="C331" s="4">
        <v>2</v>
      </c>
      <c r="D331" s="4">
        <v>2</v>
      </c>
      <c r="E331">
        <v>0</v>
      </c>
    </row>
    <row r="332" spans="1:5">
      <c r="A332" t="s">
        <v>626</v>
      </c>
      <c r="B332" s="3">
        <v>40837.480173611111</v>
      </c>
      <c r="C332" s="4">
        <v>2</v>
      </c>
      <c r="D332" s="4">
        <v>2</v>
      </c>
      <c r="E332">
        <v>0</v>
      </c>
    </row>
    <row r="333" spans="1:5">
      <c r="A333" t="s">
        <v>772</v>
      </c>
      <c r="B333" s="3">
        <v>40839.946168981478</v>
      </c>
      <c r="C333" s="4">
        <v>2</v>
      </c>
      <c r="D333" s="4">
        <v>2</v>
      </c>
      <c r="E333">
        <v>0</v>
      </c>
    </row>
    <row r="334" spans="1:5">
      <c r="A334" t="s">
        <v>522</v>
      </c>
      <c r="B334" s="3">
        <v>40840.33421296296</v>
      </c>
      <c r="C334" s="4">
        <v>2</v>
      </c>
      <c r="D334" s="4">
        <v>2</v>
      </c>
      <c r="E334">
        <v>0</v>
      </c>
    </row>
    <row r="335" spans="1:5">
      <c r="A335" t="s">
        <v>680</v>
      </c>
      <c r="B335" s="3">
        <v>40840.943518518521</v>
      </c>
      <c r="C335" s="4">
        <v>2</v>
      </c>
      <c r="D335" s="4">
        <v>2</v>
      </c>
      <c r="E335">
        <v>0</v>
      </c>
    </row>
    <row r="336" spans="1:5">
      <c r="A336" t="s">
        <v>544</v>
      </c>
      <c r="B336" s="3">
        <v>40841.594814814816</v>
      </c>
      <c r="C336" s="4">
        <v>2</v>
      </c>
      <c r="D336" s="4">
        <v>2</v>
      </c>
      <c r="E336">
        <v>0</v>
      </c>
    </row>
    <row r="337" spans="1:5">
      <c r="A337" t="s">
        <v>1439</v>
      </c>
      <c r="B337" s="3">
        <v>40842.98878472222</v>
      </c>
      <c r="C337" s="4">
        <v>2</v>
      </c>
      <c r="D337" s="4">
        <v>2</v>
      </c>
      <c r="E337">
        <v>1</v>
      </c>
    </row>
    <row r="338" spans="1:5">
      <c r="A338" t="s">
        <v>697</v>
      </c>
      <c r="B338" s="3">
        <v>40844.959861111114</v>
      </c>
      <c r="C338" s="4">
        <v>2</v>
      </c>
      <c r="D338" s="4">
        <v>2</v>
      </c>
      <c r="E338">
        <v>0</v>
      </c>
    </row>
    <row r="339" spans="1:5">
      <c r="A339" t="s">
        <v>351</v>
      </c>
      <c r="B339" s="3">
        <v>40845.619953703703</v>
      </c>
      <c r="C339" s="4">
        <v>2</v>
      </c>
      <c r="D339" s="4">
        <v>2</v>
      </c>
      <c r="E339">
        <v>1</v>
      </c>
    </row>
    <row r="340" spans="1:5">
      <c r="A340" t="s">
        <v>985</v>
      </c>
      <c r="B340" s="3">
        <v>40846.495497685188</v>
      </c>
      <c r="C340" s="4">
        <v>2</v>
      </c>
      <c r="D340" s="4">
        <v>2</v>
      </c>
      <c r="E340">
        <v>0</v>
      </c>
    </row>
    <row r="341" spans="1:5">
      <c r="A341" t="s">
        <v>1291</v>
      </c>
      <c r="B341" s="3">
        <v>40847.397650462961</v>
      </c>
      <c r="C341" s="4">
        <v>2</v>
      </c>
      <c r="D341" s="4">
        <v>2</v>
      </c>
      <c r="E341">
        <v>0</v>
      </c>
    </row>
    <row r="342" spans="1:5">
      <c r="A342" t="s">
        <v>841</v>
      </c>
      <c r="B342" s="3">
        <v>40854.60633101852</v>
      </c>
      <c r="C342" s="4">
        <v>2</v>
      </c>
      <c r="D342" s="4">
        <v>2</v>
      </c>
      <c r="E342">
        <v>0</v>
      </c>
    </row>
    <row r="343" spans="1:5">
      <c r="A343" t="s">
        <v>1258</v>
      </c>
      <c r="B343" s="3">
        <v>40854.645856481482</v>
      </c>
      <c r="C343" s="4">
        <v>2</v>
      </c>
      <c r="D343" s="4">
        <v>2</v>
      </c>
      <c r="E343">
        <v>0</v>
      </c>
    </row>
    <row r="344" spans="1:5">
      <c r="A344" t="s">
        <v>820</v>
      </c>
      <c r="B344" s="3">
        <v>40856.546215277776</v>
      </c>
      <c r="C344" s="4">
        <v>2</v>
      </c>
      <c r="D344" s="4">
        <v>2</v>
      </c>
      <c r="E344">
        <v>0</v>
      </c>
    </row>
    <row r="345" spans="1:5">
      <c r="A345" t="s">
        <v>823</v>
      </c>
      <c r="B345" s="3">
        <v>40857.546215219911</v>
      </c>
      <c r="C345" s="4">
        <v>2</v>
      </c>
      <c r="D345" s="4">
        <v>2</v>
      </c>
      <c r="E345">
        <v>0</v>
      </c>
    </row>
    <row r="346" spans="1:5">
      <c r="A346" t="s">
        <v>97</v>
      </c>
      <c r="B346" s="3">
        <v>40858.546215219911</v>
      </c>
      <c r="C346" s="4">
        <v>2</v>
      </c>
      <c r="D346" s="4">
        <v>2</v>
      </c>
      <c r="E346">
        <v>1</v>
      </c>
    </row>
    <row r="347" spans="1:5">
      <c r="A347" t="s">
        <v>826</v>
      </c>
      <c r="B347" s="3">
        <v>40859.546215219911</v>
      </c>
      <c r="C347" s="4">
        <v>2</v>
      </c>
      <c r="D347" s="4">
        <v>2</v>
      </c>
      <c r="E347">
        <v>0</v>
      </c>
    </row>
    <row r="348" spans="1:5">
      <c r="A348" t="s">
        <v>657</v>
      </c>
      <c r="B348" s="3">
        <v>40859.727800925924</v>
      </c>
      <c r="C348" s="4">
        <v>2</v>
      </c>
      <c r="D348" s="4">
        <v>2</v>
      </c>
      <c r="E348">
        <v>0</v>
      </c>
    </row>
    <row r="349" spans="1:5">
      <c r="A349" t="s">
        <v>829</v>
      </c>
      <c r="B349" s="3">
        <v>40860.546215219911</v>
      </c>
      <c r="C349" s="4">
        <v>2</v>
      </c>
      <c r="D349" s="4">
        <v>2</v>
      </c>
      <c r="E349">
        <v>0</v>
      </c>
    </row>
    <row r="350" spans="1:5">
      <c r="A350" s="1" t="s">
        <v>832</v>
      </c>
      <c r="B350" s="3">
        <v>40861.546215219911</v>
      </c>
      <c r="C350" s="4">
        <v>2</v>
      </c>
      <c r="D350" s="4">
        <v>2</v>
      </c>
      <c r="E350">
        <v>0</v>
      </c>
    </row>
    <row r="351" spans="1:5">
      <c r="A351" t="s">
        <v>1188</v>
      </c>
      <c r="B351" s="3">
        <v>40861.742268518516</v>
      </c>
      <c r="C351" s="4">
        <v>2</v>
      </c>
      <c r="D351" s="4">
        <v>2</v>
      </c>
      <c r="E351">
        <v>0</v>
      </c>
    </row>
    <row r="352" spans="1:5">
      <c r="A352" t="s">
        <v>835</v>
      </c>
      <c r="B352" s="3">
        <v>40862.546215219911</v>
      </c>
      <c r="C352" s="4">
        <v>2</v>
      </c>
      <c r="D352" s="4">
        <v>2</v>
      </c>
      <c r="E352">
        <v>0</v>
      </c>
    </row>
    <row r="353" spans="1:5">
      <c r="A353" t="s">
        <v>1461</v>
      </c>
      <c r="B353" s="3">
        <v>40864.925023148149</v>
      </c>
      <c r="C353" s="4">
        <v>2</v>
      </c>
      <c r="D353" s="4">
        <v>2</v>
      </c>
      <c r="E353">
        <v>0</v>
      </c>
    </row>
    <row r="354" spans="1:5">
      <c r="A354" t="s">
        <v>979</v>
      </c>
      <c r="B354" s="3">
        <v>40865.647106481483</v>
      </c>
      <c r="C354" s="4">
        <v>2</v>
      </c>
      <c r="D354" s="4">
        <v>2</v>
      </c>
      <c r="E354">
        <v>0</v>
      </c>
    </row>
    <row r="355" spans="1:5">
      <c r="A355" t="s">
        <v>1110</v>
      </c>
      <c r="B355" s="3">
        <v>40870.666180555556</v>
      </c>
      <c r="C355" s="4">
        <v>2</v>
      </c>
      <c r="D355" s="4">
        <v>2</v>
      </c>
      <c r="E355">
        <v>0</v>
      </c>
    </row>
    <row r="356" spans="1:5">
      <c r="A356" t="s">
        <v>1045</v>
      </c>
      <c r="B356" s="3">
        <v>40872.481238425928</v>
      </c>
      <c r="C356" s="4">
        <v>2</v>
      </c>
      <c r="D356" s="4">
        <v>2</v>
      </c>
      <c r="E356">
        <v>1</v>
      </c>
    </row>
    <row r="357" spans="1:5">
      <c r="A357" t="s">
        <v>1093</v>
      </c>
      <c r="B357" s="3">
        <v>40874.806076388886</v>
      </c>
      <c r="C357" s="4">
        <v>2</v>
      </c>
      <c r="D357" s="4">
        <v>2</v>
      </c>
      <c r="E357">
        <v>0</v>
      </c>
    </row>
    <row r="358" spans="1:5">
      <c r="A358" t="s">
        <v>1214</v>
      </c>
      <c r="B358" s="3">
        <v>40874.90320601852</v>
      </c>
      <c r="C358" s="4">
        <v>2</v>
      </c>
      <c r="D358" s="4">
        <v>2</v>
      </c>
      <c r="E358">
        <v>0</v>
      </c>
    </row>
    <row r="359" spans="1:5">
      <c r="A359" t="s">
        <v>365</v>
      </c>
      <c r="B359" s="3">
        <v>40875.709282407406</v>
      </c>
      <c r="C359" s="4">
        <v>2</v>
      </c>
      <c r="D359" s="4">
        <v>2</v>
      </c>
      <c r="E359">
        <v>1</v>
      </c>
    </row>
    <row r="360" spans="1:5">
      <c r="A360" t="s">
        <v>376</v>
      </c>
      <c r="B360" s="3">
        <v>40880.813460648147</v>
      </c>
      <c r="C360" s="4">
        <v>2</v>
      </c>
      <c r="D360" s="4">
        <v>2</v>
      </c>
      <c r="E360">
        <v>1</v>
      </c>
    </row>
    <row r="361" spans="1:5">
      <c r="A361" s="1" t="s">
        <v>1223</v>
      </c>
      <c r="B361" s="3">
        <v>40881.081689814811</v>
      </c>
      <c r="C361" s="4">
        <v>2</v>
      </c>
      <c r="D361" s="4">
        <v>2</v>
      </c>
      <c r="E361">
        <v>0</v>
      </c>
    </row>
    <row r="362" spans="1:5">
      <c r="A362" t="s">
        <v>929</v>
      </c>
      <c r="B362" s="3">
        <v>40882.434282407405</v>
      </c>
      <c r="C362" s="4">
        <v>2</v>
      </c>
      <c r="D362" s="4">
        <v>2</v>
      </c>
      <c r="E362">
        <v>0</v>
      </c>
    </row>
    <row r="363" spans="1:5">
      <c r="A363" t="s">
        <v>587</v>
      </c>
      <c r="B363" s="3">
        <v>40882.45453703704</v>
      </c>
      <c r="C363" s="4">
        <v>2</v>
      </c>
      <c r="D363" s="4">
        <v>2</v>
      </c>
      <c r="E363">
        <v>0</v>
      </c>
    </row>
    <row r="364" spans="1:5">
      <c r="A364" t="s">
        <v>623</v>
      </c>
      <c r="B364" s="3">
        <v>40889.483101851853</v>
      </c>
      <c r="C364" s="4">
        <v>2</v>
      </c>
      <c r="D364" s="4">
        <v>2</v>
      </c>
      <c r="E364">
        <v>0</v>
      </c>
    </row>
    <row r="365" spans="1:5">
      <c r="A365" t="s">
        <v>1403</v>
      </c>
      <c r="B365" s="3">
        <v>40890.360266203701</v>
      </c>
      <c r="C365" s="4">
        <v>2</v>
      </c>
      <c r="D365" s="4">
        <v>2</v>
      </c>
      <c r="E365">
        <v>0</v>
      </c>
    </row>
    <row r="366" spans="1:5">
      <c r="A366" t="s">
        <v>850</v>
      </c>
      <c r="B366" s="3">
        <v>40891.860358796293</v>
      </c>
      <c r="C366" s="4">
        <v>2</v>
      </c>
      <c r="D366" s="4">
        <v>2</v>
      </c>
      <c r="E366">
        <v>1</v>
      </c>
    </row>
    <row r="367" spans="1:5">
      <c r="A367" t="s">
        <v>513</v>
      </c>
      <c r="B367" s="3">
        <v>40892.742696759262</v>
      </c>
      <c r="C367" s="4">
        <v>2</v>
      </c>
      <c r="D367" s="4">
        <v>2</v>
      </c>
      <c r="E367">
        <v>2</v>
      </c>
    </row>
    <row r="368" spans="1:5">
      <c r="A368" t="s">
        <v>1442</v>
      </c>
      <c r="B368" s="3">
        <v>40892.744039351855</v>
      </c>
      <c r="C368" s="4">
        <v>2</v>
      </c>
      <c r="D368" s="4">
        <v>2</v>
      </c>
      <c r="E368">
        <v>0</v>
      </c>
    </row>
    <row r="369" spans="1:5">
      <c r="A369" t="s">
        <v>815</v>
      </c>
      <c r="B369" s="3">
        <v>40896.542500000003</v>
      </c>
      <c r="C369" s="4">
        <v>2</v>
      </c>
      <c r="D369" s="4">
        <v>2</v>
      </c>
      <c r="E369">
        <v>0</v>
      </c>
    </row>
    <row r="370" spans="1:5">
      <c r="A370" s="1" t="s">
        <v>466</v>
      </c>
      <c r="B370" s="3">
        <v>40898.412175925929</v>
      </c>
      <c r="C370" s="4">
        <v>2</v>
      </c>
      <c r="D370" s="4">
        <v>2</v>
      </c>
      <c r="E370">
        <v>0</v>
      </c>
    </row>
    <row r="371" spans="1:5">
      <c r="A371" t="s">
        <v>863</v>
      </c>
      <c r="B371" s="3">
        <v>40900.720914351848</v>
      </c>
      <c r="C371" s="4">
        <v>2</v>
      </c>
      <c r="D371" s="4">
        <v>2</v>
      </c>
      <c r="E371">
        <v>1</v>
      </c>
    </row>
    <row r="372" spans="1:5">
      <c r="A372" t="s">
        <v>977</v>
      </c>
      <c r="B372" s="3">
        <v>40903.445081018515</v>
      </c>
      <c r="C372" s="4">
        <v>2</v>
      </c>
      <c r="D372" s="4">
        <v>2</v>
      </c>
      <c r="E372">
        <v>0</v>
      </c>
    </row>
    <row r="373" spans="1:5">
      <c r="A373" t="s">
        <v>1548</v>
      </c>
      <c r="B373" s="3">
        <v>40905.500034722223</v>
      </c>
      <c r="C373" s="4">
        <v>2</v>
      </c>
      <c r="D373" s="4">
        <v>2</v>
      </c>
      <c r="E373">
        <v>0</v>
      </c>
    </row>
    <row r="374" spans="1:5">
      <c r="A374" t="s">
        <v>1216</v>
      </c>
      <c r="B374" s="3">
        <v>40906.969108796293</v>
      </c>
      <c r="C374" s="4">
        <v>2</v>
      </c>
      <c r="D374" s="4">
        <v>2</v>
      </c>
      <c r="E374">
        <v>0</v>
      </c>
    </row>
    <row r="375" spans="1:5">
      <c r="A375" t="s">
        <v>1395</v>
      </c>
      <c r="B375" s="3">
        <v>40907.644143518519</v>
      </c>
      <c r="C375" s="4">
        <v>2</v>
      </c>
      <c r="D375" s="4">
        <v>2</v>
      </c>
      <c r="E375">
        <v>1</v>
      </c>
    </row>
    <row r="376" spans="1:5">
      <c r="A376" t="s">
        <v>666</v>
      </c>
      <c r="B376" s="3">
        <v>40907.801296296297</v>
      </c>
      <c r="C376" s="4">
        <v>2</v>
      </c>
      <c r="D376" s="4">
        <v>2</v>
      </c>
      <c r="E376">
        <v>0</v>
      </c>
    </row>
    <row r="377" spans="1:5">
      <c r="A377" t="s">
        <v>489</v>
      </c>
      <c r="B377" s="3">
        <v>40908.44190972222</v>
      </c>
      <c r="C377" s="4">
        <v>2</v>
      </c>
      <c r="D377" s="4">
        <v>2</v>
      </c>
      <c r="E377">
        <v>0</v>
      </c>
    </row>
    <row r="378" spans="1:5">
      <c r="A378" t="s">
        <v>1139</v>
      </c>
      <c r="B378" s="3">
        <v>40910.809421296297</v>
      </c>
      <c r="C378" s="4">
        <v>2</v>
      </c>
      <c r="D378" s="4">
        <v>2</v>
      </c>
      <c r="E378">
        <v>0</v>
      </c>
    </row>
    <row r="379" spans="1:5">
      <c r="A379" t="s">
        <v>1075</v>
      </c>
      <c r="B379" s="3">
        <v>40911.864074074074</v>
      </c>
      <c r="C379" s="4">
        <v>2</v>
      </c>
      <c r="D379" s="4">
        <v>2</v>
      </c>
      <c r="E379">
        <v>0</v>
      </c>
    </row>
    <row r="380" spans="1:5">
      <c r="A380" t="s">
        <v>988</v>
      </c>
      <c r="B380" s="3">
        <v>40915.045277777775</v>
      </c>
      <c r="C380" s="4">
        <v>2</v>
      </c>
      <c r="D380" s="4">
        <v>2</v>
      </c>
      <c r="E380">
        <v>0</v>
      </c>
    </row>
    <row r="381" spans="1:5">
      <c r="A381" t="s">
        <v>1137</v>
      </c>
      <c r="B381" s="3">
        <v>40917.648969907408</v>
      </c>
      <c r="C381" s="4">
        <v>2</v>
      </c>
      <c r="D381" s="4">
        <v>2</v>
      </c>
      <c r="E381">
        <v>1</v>
      </c>
    </row>
    <row r="382" spans="1:5">
      <c r="A382" t="s">
        <v>1300</v>
      </c>
      <c r="B382" s="3">
        <v>40920.65047453704</v>
      </c>
      <c r="C382" s="4">
        <v>2</v>
      </c>
      <c r="D382" s="4">
        <v>2</v>
      </c>
      <c r="E382">
        <v>0</v>
      </c>
    </row>
    <row r="383" spans="1:5">
      <c r="A383" t="s">
        <v>1249</v>
      </c>
      <c r="B383" s="3">
        <v>40923.455497685187</v>
      </c>
      <c r="C383" s="4">
        <v>2</v>
      </c>
      <c r="D383" s="4">
        <v>2</v>
      </c>
      <c r="E383">
        <v>0</v>
      </c>
    </row>
    <row r="384" spans="1:5">
      <c r="A384" t="s">
        <v>1536</v>
      </c>
      <c r="B384" s="3">
        <v>40924.270833333336</v>
      </c>
      <c r="C384" s="4">
        <v>2</v>
      </c>
      <c r="D384" s="4">
        <v>2</v>
      </c>
      <c r="E384">
        <v>1</v>
      </c>
    </row>
    <row r="385" spans="1:5">
      <c r="A385" t="s">
        <v>1525</v>
      </c>
      <c r="B385" s="3">
        <v>40925.41196759259</v>
      </c>
      <c r="C385" s="4">
        <v>2</v>
      </c>
      <c r="D385" s="4">
        <v>2</v>
      </c>
      <c r="E385">
        <v>0</v>
      </c>
    </row>
    <row r="386" spans="1:5">
      <c r="A386" t="s">
        <v>1145</v>
      </c>
      <c r="B386" s="3">
        <v>40926.729872685188</v>
      </c>
      <c r="C386" s="4">
        <v>2</v>
      </c>
      <c r="D386" s="4">
        <v>2</v>
      </c>
      <c r="E386">
        <v>0</v>
      </c>
    </row>
    <row r="387" spans="1:5">
      <c r="A387" t="s">
        <v>1039</v>
      </c>
      <c r="B387" s="3">
        <v>40928.942141203705</v>
      </c>
      <c r="C387" s="4">
        <v>2</v>
      </c>
      <c r="D387" s="4">
        <v>2</v>
      </c>
      <c r="E387">
        <v>0</v>
      </c>
    </row>
    <row r="388" spans="1:5">
      <c r="A388" t="s">
        <v>611</v>
      </c>
      <c r="B388" s="3">
        <v>40931.650173611109</v>
      </c>
      <c r="C388" s="4">
        <v>2</v>
      </c>
      <c r="D388" s="4">
        <v>2</v>
      </c>
      <c r="E388">
        <v>0</v>
      </c>
    </row>
    <row r="389" spans="1:5">
      <c r="A389" t="s">
        <v>1392</v>
      </c>
      <c r="B389" s="3">
        <v>40933.592731481483</v>
      </c>
      <c r="C389" s="4">
        <v>2</v>
      </c>
      <c r="D389" s="4">
        <v>2</v>
      </c>
      <c r="E389">
        <v>0</v>
      </c>
    </row>
    <row r="390" spans="1:5">
      <c r="A390" t="s">
        <v>1220</v>
      </c>
      <c r="B390" s="3">
        <v>40933.959097222221</v>
      </c>
      <c r="C390" s="4">
        <v>2</v>
      </c>
      <c r="D390" s="4">
        <v>2</v>
      </c>
      <c r="E390">
        <v>0</v>
      </c>
    </row>
    <row r="391" spans="1:5">
      <c r="A391" t="s">
        <v>597</v>
      </c>
      <c r="B391" s="3">
        <v>40933.982719907406</v>
      </c>
      <c r="C391" s="4">
        <v>2</v>
      </c>
      <c r="D391" s="4">
        <v>2</v>
      </c>
      <c r="E391">
        <v>0</v>
      </c>
    </row>
    <row r="392" spans="1:5">
      <c r="A392" s="1" t="s">
        <v>443</v>
      </c>
      <c r="B392" s="3">
        <v>40935.463055555556</v>
      </c>
      <c r="C392" s="4">
        <v>2</v>
      </c>
      <c r="D392" s="4">
        <v>2</v>
      </c>
      <c r="E392">
        <v>0</v>
      </c>
    </row>
    <row r="393" spans="1:5">
      <c r="A393" t="s">
        <v>355</v>
      </c>
      <c r="B393" s="3">
        <v>40937.159502314818</v>
      </c>
      <c r="C393" s="4">
        <v>2</v>
      </c>
      <c r="D393" s="4">
        <v>2</v>
      </c>
      <c r="E393">
        <v>1</v>
      </c>
    </row>
    <row r="394" spans="1:5">
      <c r="A394" t="s">
        <v>526</v>
      </c>
      <c r="B394" s="3">
        <v>40937.724363425928</v>
      </c>
      <c r="C394" s="4">
        <v>2</v>
      </c>
      <c r="D394" s="4">
        <v>2</v>
      </c>
      <c r="E394">
        <v>0</v>
      </c>
    </row>
    <row r="395" spans="1:5">
      <c r="A395" t="s">
        <v>533</v>
      </c>
      <c r="B395" s="3">
        <v>40938.285937499997</v>
      </c>
      <c r="C395" s="4">
        <v>2</v>
      </c>
      <c r="D395" s="4">
        <v>2</v>
      </c>
      <c r="E395">
        <v>0</v>
      </c>
    </row>
    <row r="396" spans="1:5">
      <c r="A396" t="s">
        <v>736</v>
      </c>
      <c r="B396" s="3">
        <v>40938.708483796298</v>
      </c>
      <c r="C396" s="4">
        <v>2</v>
      </c>
      <c r="D396" s="4">
        <v>2</v>
      </c>
      <c r="E396">
        <v>0</v>
      </c>
    </row>
    <row r="397" spans="1:5">
      <c r="A397" t="s">
        <v>764</v>
      </c>
      <c r="B397" s="3">
        <v>40938.733761574076</v>
      </c>
      <c r="C397" s="4">
        <v>2</v>
      </c>
      <c r="D397" s="4">
        <v>2</v>
      </c>
      <c r="E397">
        <v>0</v>
      </c>
    </row>
    <row r="398" spans="1:5">
      <c r="A398" t="s">
        <v>1492</v>
      </c>
      <c r="B398" s="3">
        <v>40945.616527777776</v>
      </c>
      <c r="C398" s="4">
        <v>2</v>
      </c>
      <c r="D398" s="4">
        <v>2</v>
      </c>
      <c r="E398">
        <v>2</v>
      </c>
    </row>
    <row r="399" spans="1:5">
      <c r="A399" t="s">
        <v>817</v>
      </c>
      <c r="B399" s="3">
        <v>40947.336099537039</v>
      </c>
      <c r="C399" s="4">
        <v>2</v>
      </c>
      <c r="D399" s="4">
        <v>2</v>
      </c>
      <c r="E399">
        <v>0</v>
      </c>
    </row>
    <row r="400" spans="1:5">
      <c r="A400" t="s">
        <v>362</v>
      </c>
      <c r="B400" s="3">
        <v>40952.481469907405</v>
      </c>
      <c r="C400" s="4">
        <v>2</v>
      </c>
      <c r="D400" s="4">
        <v>2</v>
      </c>
      <c r="E400">
        <v>1</v>
      </c>
    </row>
    <row r="401" spans="1:5">
      <c r="A401" t="s">
        <v>781</v>
      </c>
      <c r="B401" s="3">
        <v>40955.561192129629</v>
      </c>
      <c r="C401" s="4">
        <v>2</v>
      </c>
      <c r="D401" s="4">
        <v>2</v>
      </c>
      <c r="E401">
        <v>0</v>
      </c>
    </row>
    <row r="402" spans="1:5">
      <c r="A402" t="s">
        <v>707</v>
      </c>
      <c r="B402" s="3">
        <v>40956.520104166666</v>
      </c>
      <c r="C402" s="4">
        <v>2</v>
      </c>
      <c r="D402" s="4">
        <v>2</v>
      </c>
      <c r="E402">
        <v>0</v>
      </c>
    </row>
    <row r="403" spans="1:5">
      <c r="A403" t="s">
        <v>1386</v>
      </c>
      <c r="B403" s="3">
        <v>40957.664768518516</v>
      </c>
      <c r="C403" s="4">
        <v>2</v>
      </c>
      <c r="D403" s="4">
        <v>2</v>
      </c>
      <c r="E403">
        <v>0</v>
      </c>
    </row>
    <row r="404" spans="1:5">
      <c r="A404" t="s">
        <v>654</v>
      </c>
      <c r="B404" s="3">
        <v>40958.423113425924</v>
      </c>
      <c r="C404" s="4">
        <v>2</v>
      </c>
      <c r="D404" s="4">
        <v>2</v>
      </c>
      <c r="E404">
        <v>0</v>
      </c>
    </row>
    <row r="405" spans="1:5">
      <c r="A405" t="s">
        <v>941</v>
      </c>
      <c r="B405" s="3">
        <v>40959.738298611112</v>
      </c>
      <c r="C405" s="4">
        <v>2</v>
      </c>
      <c r="D405" s="4">
        <v>2</v>
      </c>
      <c r="E405">
        <v>0</v>
      </c>
    </row>
    <row r="406" spans="1:5">
      <c r="A406" t="s">
        <v>419</v>
      </c>
      <c r="B406" s="3">
        <v>40959.828182870369</v>
      </c>
      <c r="C406" s="4">
        <v>2</v>
      </c>
      <c r="D406" s="4">
        <v>2</v>
      </c>
      <c r="E406">
        <v>0</v>
      </c>
    </row>
    <row r="407" spans="1:5">
      <c r="A407" t="s">
        <v>1399</v>
      </c>
      <c r="B407" s="3">
        <v>40960.944814814815</v>
      </c>
      <c r="C407" s="4">
        <v>2</v>
      </c>
      <c r="D407" s="4">
        <v>2</v>
      </c>
      <c r="E407">
        <v>1</v>
      </c>
    </row>
    <row r="408" spans="1:5">
      <c r="A408" t="s">
        <v>1006</v>
      </c>
      <c r="B408" s="3">
        <v>40961.379062499997</v>
      </c>
      <c r="C408" s="4">
        <v>2</v>
      </c>
      <c r="D408" s="4">
        <v>2</v>
      </c>
      <c r="E408">
        <v>0</v>
      </c>
    </row>
    <row r="409" spans="1:5">
      <c r="A409" t="s">
        <v>1533</v>
      </c>
      <c r="B409" s="3">
        <v>40962.061273148145</v>
      </c>
      <c r="C409" s="4">
        <v>2</v>
      </c>
      <c r="D409" s="4">
        <v>2</v>
      </c>
      <c r="E409">
        <v>0</v>
      </c>
    </row>
    <row r="410" spans="1:5">
      <c r="A410" t="s">
        <v>390</v>
      </c>
      <c r="B410" s="3">
        <v>40963.697881944441</v>
      </c>
      <c r="C410" s="4">
        <v>2</v>
      </c>
      <c r="D410" s="4">
        <v>2</v>
      </c>
      <c r="E410">
        <v>1</v>
      </c>
    </row>
    <row r="411" spans="1:5">
      <c r="A411" t="s">
        <v>42</v>
      </c>
      <c r="B411" s="3">
        <v>40966.389861111114</v>
      </c>
      <c r="C411" s="4">
        <v>2</v>
      </c>
      <c r="D411" s="4">
        <v>2</v>
      </c>
      <c r="E411">
        <v>0</v>
      </c>
    </row>
    <row r="412" spans="1:5">
      <c r="A412" t="s">
        <v>9</v>
      </c>
      <c r="B412" s="3">
        <v>40967.851574074077</v>
      </c>
      <c r="C412" s="4">
        <v>2</v>
      </c>
      <c r="D412" s="4">
        <v>2</v>
      </c>
      <c r="E412">
        <v>0</v>
      </c>
    </row>
    <row r="413" spans="1:5">
      <c r="A413" t="s">
        <v>235</v>
      </c>
      <c r="B413" s="3">
        <v>40968.781087962961</v>
      </c>
      <c r="C413" s="4">
        <v>2</v>
      </c>
      <c r="D413" s="4">
        <v>2</v>
      </c>
      <c r="E413">
        <v>0</v>
      </c>
    </row>
    <row r="414" spans="1:5">
      <c r="A414" t="s">
        <v>89</v>
      </c>
      <c r="B414" s="3">
        <v>40969.927951388891</v>
      </c>
      <c r="C414" s="4">
        <v>2</v>
      </c>
      <c r="D414" s="4">
        <v>2</v>
      </c>
      <c r="E414">
        <v>0</v>
      </c>
    </row>
    <row r="415" spans="1:5">
      <c r="A415" t="s">
        <v>59</v>
      </c>
      <c r="B415" s="3">
        <v>40969.950613425928</v>
      </c>
      <c r="C415" s="4">
        <v>2</v>
      </c>
      <c r="D415" s="4">
        <v>2</v>
      </c>
      <c r="E415">
        <v>1</v>
      </c>
    </row>
    <row r="416" spans="1:5">
      <c r="A416" t="s">
        <v>214</v>
      </c>
      <c r="B416" s="3">
        <v>40970.705590277779</v>
      </c>
      <c r="C416" s="4">
        <v>2</v>
      </c>
      <c r="D416" s="4">
        <v>2</v>
      </c>
      <c r="E416">
        <v>0</v>
      </c>
    </row>
    <row r="417" spans="1:5">
      <c r="A417" t="s">
        <v>164</v>
      </c>
      <c r="B417" s="3">
        <v>40970.723182870373</v>
      </c>
      <c r="C417" s="4">
        <v>2</v>
      </c>
      <c r="D417" s="4">
        <v>2</v>
      </c>
      <c r="E417">
        <v>0</v>
      </c>
    </row>
    <row r="418" spans="1:5">
      <c r="A418" t="s">
        <v>148</v>
      </c>
      <c r="B418" s="3">
        <v>40971.477395833332</v>
      </c>
      <c r="C418" s="4">
        <v>2</v>
      </c>
      <c r="D418" s="4">
        <v>2</v>
      </c>
      <c r="E418">
        <v>0</v>
      </c>
    </row>
    <row r="419" spans="1:5">
      <c r="A419" t="s">
        <v>68</v>
      </c>
      <c r="B419" s="3">
        <v>40973.567881944444</v>
      </c>
      <c r="C419" s="4">
        <v>2</v>
      </c>
      <c r="D419" s="4">
        <v>2</v>
      </c>
      <c r="E419">
        <v>1</v>
      </c>
    </row>
    <row r="420" spans="1:5">
      <c r="A420" t="s">
        <v>255</v>
      </c>
      <c r="B420" s="3">
        <v>40973.679236111115</v>
      </c>
      <c r="C420" s="4">
        <v>2</v>
      </c>
      <c r="D420" s="4">
        <v>2</v>
      </c>
      <c r="E420">
        <v>0</v>
      </c>
    </row>
    <row r="421" spans="1:5">
      <c r="A421" t="s">
        <v>151</v>
      </c>
      <c r="B421" s="3">
        <v>40973.827905092592</v>
      </c>
      <c r="C421" s="4">
        <v>2</v>
      </c>
      <c r="D421" s="4">
        <v>2</v>
      </c>
      <c r="E421">
        <v>1</v>
      </c>
    </row>
    <row r="422" spans="1:5">
      <c r="A422" t="s">
        <v>119</v>
      </c>
      <c r="B422" s="3">
        <v>40973.827905092592</v>
      </c>
      <c r="C422" s="4">
        <v>2</v>
      </c>
      <c r="D422" s="4">
        <v>2</v>
      </c>
      <c r="E422">
        <v>2</v>
      </c>
    </row>
    <row r="423" spans="1:5">
      <c r="A423" t="s">
        <v>0</v>
      </c>
      <c r="B423" s="3">
        <v>40980.430520833332</v>
      </c>
      <c r="C423" s="4">
        <v>2</v>
      </c>
      <c r="D423" s="4">
        <v>2</v>
      </c>
      <c r="E423">
        <v>1</v>
      </c>
    </row>
    <row r="424" spans="1:5">
      <c r="A424" t="s">
        <v>247</v>
      </c>
      <c r="B424" s="3">
        <v>40981.438090277778</v>
      </c>
      <c r="C424" s="4">
        <v>2</v>
      </c>
      <c r="D424" s="4">
        <v>2</v>
      </c>
      <c r="E424">
        <v>0</v>
      </c>
    </row>
    <row r="425" spans="1:5">
      <c r="A425" t="s">
        <v>71</v>
      </c>
      <c r="B425" s="3">
        <v>40982.02652777778</v>
      </c>
      <c r="C425" s="4">
        <v>2</v>
      </c>
      <c r="D425" s="4">
        <v>2</v>
      </c>
      <c r="E425">
        <v>1</v>
      </c>
    </row>
    <row r="426" spans="1:5">
      <c r="A426" t="s">
        <v>191</v>
      </c>
      <c r="B426" s="3">
        <v>40982.525682870371</v>
      </c>
      <c r="C426" s="4">
        <v>2</v>
      </c>
      <c r="D426" s="4">
        <v>2</v>
      </c>
      <c r="E426">
        <v>0</v>
      </c>
    </row>
    <row r="427" spans="1:5">
      <c r="A427" t="s">
        <v>268</v>
      </c>
      <c r="B427" s="3">
        <v>40983.779629629629</v>
      </c>
      <c r="C427" s="4">
        <v>2</v>
      </c>
      <c r="D427" s="4">
        <v>2</v>
      </c>
      <c r="E427">
        <v>0</v>
      </c>
    </row>
    <row r="428" spans="1:5">
      <c r="A428" t="s">
        <v>74</v>
      </c>
      <c r="B428" s="3">
        <v>40987.399456018517</v>
      </c>
      <c r="C428" s="4">
        <v>2</v>
      </c>
      <c r="D428" s="4">
        <v>2</v>
      </c>
      <c r="E428">
        <v>0</v>
      </c>
    </row>
    <row r="429" spans="1:5">
      <c r="A429" t="s">
        <v>238</v>
      </c>
      <c r="B429" s="3">
        <v>40989.837048611109</v>
      </c>
      <c r="C429" s="4">
        <v>2</v>
      </c>
      <c r="D429" s="4">
        <v>2</v>
      </c>
      <c r="E429">
        <v>0</v>
      </c>
    </row>
    <row r="430" spans="1:5">
      <c r="A430" t="s">
        <v>194</v>
      </c>
      <c r="B430" s="3">
        <v>40990.819456018522</v>
      </c>
      <c r="C430" s="4">
        <v>2</v>
      </c>
      <c r="D430" s="4">
        <v>2</v>
      </c>
      <c r="E430">
        <v>0</v>
      </c>
    </row>
    <row r="431" spans="1:5">
      <c r="A431" t="s">
        <v>271</v>
      </c>
      <c r="B431" s="3">
        <v>40994.513090277775</v>
      </c>
      <c r="C431" s="4">
        <v>2</v>
      </c>
      <c r="D431" s="4">
        <v>2</v>
      </c>
      <c r="E431">
        <v>0</v>
      </c>
    </row>
    <row r="432" spans="1:5">
      <c r="A432" t="s">
        <v>142</v>
      </c>
      <c r="B432" s="3">
        <v>40994.649641203701</v>
      </c>
      <c r="C432" s="4">
        <v>2</v>
      </c>
      <c r="D432" s="4">
        <v>2</v>
      </c>
      <c r="E432">
        <v>1</v>
      </c>
    </row>
    <row r="433" spans="1:5">
      <c r="A433" t="s">
        <v>182</v>
      </c>
      <c r="B433" s="3">
        <v>40995.789907407408</v>
      </c>
      <c r="C433" s="4">
        <v>2</v>
      </c>
      <c r="D433" s="4">
        <v>2</v>
      </c>
      <c r="E433">
        <v>1</v>
      </c>
    </row>
    <row r="434" spans="1:5">
      <c r="A434" t="s">
        <v>277</v>
      </c>
      <c r="B434" s="3">
        <v>40997.352870370371</v>
      </c>
      <c r="C434" s="4">
        <v>2</v>
      </c>
      <c r="D434" s="4">
        <v>2</v>
      </c>
      <c r="E434">
        <v>1</v>
      </c>
    </row>
    <row r="435" spans="1:5">
      <c r="A435" t="s">
        <v>257</v>
      </c>
      <c r="B435" s="3">
        <v>40997.409849537034</v>
      </c>
      <c r="C435" s="4">
        <v>2</v>
      </c>
      <c r="D435" s="4">
        <v>2</v>
      </c>
      <c r="E435">
        <v>0</v>
      </c>
    </row>
    <row r="436" spans="1:5">
      <c r="A436" t="s">
        <v>122</v>
      </c>
      <c r="B436" s="3">
        <v>40999.972430555557</v>
      </c>
      <c r="C436" s="4">
        <v>2</v>
      </c>
      <c r="D436" s="4">
        <v>2</v>
      </c>
      <c r="E436">
        <v>0</v>
      </c>
    </row>
    <row r="437" spans="1:5">
      <c r="A437" t="s">
        <v>18</v>
      </c>
      <c r="B437" s="3">
        <v>41000.882893518516</v>
      </c>
      <c r="C437" s="4">
        <v>2</v>
      </c>
      <c r="D437" s="4">
        <v>2</v>
      </c>
      <c r="E437">
        <v>1</v>
      </c>
    </row>
    <row r="438" spans="1:5">
      <c r="A438" t="s">
        <v>12</v>
      </c>
      <c r="B438" s="3">
        <v>41001.499398148146</v>
      </c>
      <c r="C438" s="4">
        <v>2</v>
      </c>
      <c r="D438" s="4">
        <v>2</v>
      </c>
      <c r="E438">
        <v>0</v>
      </c>
    </row>
    <row r="439" spans="1:5">
      <c r="A439" t="s">
        <v>21</v>
      </c>
      <c r="B439" s="3">
        <v>41005.584062499998</v>
      </c>
      <c r="C439" s="4">
        <v>2</v>
      </c>
      <c r="D439" s="4">
        <v>2</v>
      </c>
      <c r="E439">
        <v>0</v>
      </c>
    </row>
    <row r="440" spans="1:5">
      <c r="A440" t="s">
        <v>259</v>
      </c>
      <c r="B440" s="3">
        <v>41007.128611111111</v>
      </c>
      <c r="C440" s="4">
        <v>2</v>
      </c>
      <c r="D440" s="4">
        <v>2</v>
      </c>
      <c r="E440">
        <v>0</v>
      </c>
    </row>
    <row r="441" spans="1:5">
      <c r="A441" t="s">
        <v>261</v>
      </c>
      <c r="B441" s="3">
        <v>41008.398865740739</v>
      </c>
      <c r="C441" s="4">
        <v>2</v>
      </c>
      <c r="D441" s="4">
        <v>2</v>
      </c>
      <c r="E441">
        <v>0</v>
      </c>
    </row>
    <row r="442" spans="1:5">
      <c r="A442" t="s">
        <v>125</v>
      </c>
      <c r="B442" s="3">
        <v>41009.889374999999</v>
      </c>
      <c r="C442" s="4">
        <v>2</v>
      </c>
      <c r="D442" s="4">
        <v>2</v>
      </c>
      <c r="E442">
        <v>1</v>
      </c>
    </row>
    <row r="443" spans="1:5">
      <c r="A443" t="s">
        <v>197</v>
      </c>
      <c r="B443" s="3">
        <v>41011.949016203704</v>
      </c>
      <c r="C443" s="4">
        <v>2</v>
      </c>
      <c r="D443" s="4">
        <v>2</v>
      </c>
      <c r="E443">
        <v>0</v>
      </c>
    </row>
    <row r="444" spans="1:5">
      <c r="A444" t="s">
        <v>283</v>
      </c>
      <c r="B444" s="3">
        <v>41013.533113425925</v>
      </c>
      <c r="C444" s="4">
        <v>2</v>
      </c>
      <c r="D444" s="4">
        <v>2</v>
      </c>
      <c r="E444">
        <v>1</v>
      </c>
    </row>
    <row r="445" spans="1:5">
      <c r="A445" t="s">
        <v>185</v>
      </c>
      <c r="B445" s="3">
        <v>41013.903298611112</v>
      </c>
      <c r="C445" s="4">
        <v>2</v>
      </c>
      <c r="D445" s="4">
        <v>2</v>
      </c>
      <c r="E445">
        <v>0</v>
      </c>
    </row>
    <row r="446" spans="1:5">
      <c r="A446" t="s">
        <v>50</v>
      </c>
      <c r="B446" s="3">
        <v>41013.952800925923</v>
      </c>
      <c r="C446" s="4">
        <v>2</v>
      </c>
      <c r="D446" s="4">
        <v>2</v>
      </c>
      <c r="E446">
        <v>0</v>
      </c>
    </row>
    <row r="447" spans="1:5">
      <c r="A447" t="s">
        <v>24</v>
      </c>
      <c r="B447" s="3">
        <v>41015.531782407408</v>
      </c>
      <c r="C447" s="4">
        <v>2</v>
      </c>
      <c r="D447" s="4">
        <v>2</v>
      </c>
      <c r="E447">
        <v>0</v>
      </c>
    </row>
    <row r="448" spans="1:5">
      <c r="A448" t="s">
        <v>33</v>
      </c>
      <c r="B448" s="3">
        <v>41015.532638888886</v>
      </c>
      <c r="C448" s="4">
        <v>2</v>
      </c>
      <c r="D448" s="4">
        <v>2</v>
      </c>
      <c r="E448">
        <v>0</v>
      </c>
    </row>
    <row r="449" spans="1:5">
      <c r="A449" t="s">
        <v>103</v>
      </c>
      <c r="B449" s="3">
        <v>41015.533055555556</v>
      </c>
      <c r="C449" s="4">
        <v>2</v>
      </c>
      <c r="D449" s="4">
        <v>2</v>
      </c>
      <c r="E449">
        <v>0</v>
      </c>
    </row>
    <row r="450" spans="1:5">
      <c r="A450" t="s">
        <v>208</v>
      </c>
      <c r="B450" s="3">
        <v>41015.533391203702</v>
      </c>
      <c r="C450" s="4">
        <v>2</v>
      </c>
      <c r="D450" s="4">
        <v>2</v>
      </c>
      <c r="E450">
        <v>0</v>
      </c>
    </row>
    <row r="451" spans="1:5">
      <c r="A451" s="1" t="s">
        <v>220</v>
      </c>
      <c r="B451" s="3">
        <v>41015.885127314818</v>
      </c>
      <c r="C451" s="4">
        <v>2</v>
      </c>
      <c r="D451" s="4">
        <v>2</v>
      </c>
      <c r="E451">
        <v>0</v>
      </c>
    </row>
    <row r="452" spans="1:5">
      <c r="A452" t="s">
        <v>48</v>
      </c>
      <c r="B452" s="3">
        <v>41018.047233796293</v>
      </c>
      <c r="C452" s="4">
        <v>2</v>
      </c>
      <c r="D452" s="4">
        <v>2</v>
      </c>
      <c r="E452">
        <v>0</v>
      </c>
    </row>
    <row r="453" spans="1:5">
      <c r="A453" t="s">
        <v>30</v>
      </c>
      <c r="B453" s="3">
        <v>41018.561412037037</v>
      </c>
      <c r="C453" s="4">
        <v>2</v>
      </c>
      <c r="D453" s="4">
        <v>2</v>
      </c>
      <c r="E453">
        <v>0</v>
      </c>
    </row>
    <row r="454" spans="1:5">
      <c r="A454" t="s">
        <v>3</v>
      </c>
      <c r="B454" s="3">
        <v>41020.478136574071</v>
      </c>
      <c r="C454" s="4">
        <v>2</v>
      </c>
      <c r="D454" s="4">
        <v>2</v>
      </c>
      <c r="E454">
        <v>0</v>
      </c>
    </row>
    <row r="455" spans="1:5">
      <c r="A455" t="s">
        <v>56</v>
      </c>
      <c r="B455" s="3">
        <v>41022.647592592592</v>
      </c>
      <c r="C455" s="4">
        <v>2</v>
      </c>
      <c r="D455" s="4">
        <v>2</v>
      </c>
      <c r="E455">
        <v>0</v>
      </c>
    </row>
    <row r="456" spans="1:5">
      <c r="A456" t="s">
        <v>108</v>
      </c>
      <c r="B456" s="3">
        <v>41023.430208333331</v>
      </c>
      <c r="C456" s="4">
        <v>2</v>
      </c>
      <c r="D456" s="4">
        <v>2</v>
      </c>
      <c r="E456">
        <v>0</v>
      </c>
    </row>
    <row r="457" spans="1:5">
      <c r="A457" t="s">
        <v>179</v>
      </c>
      <c r="B457" s="3">
        <v>41024.399629629632</v>
      </c>
      <c r="C457" s="4">
        <v>2</v>
      </c>
      <c r="D457" s="4">
        <v>2</v>
      </c>
      <c r="E457">
        <v>0</v>
      </c>
    </row>
    <row r="458" spans="1:5">
      <c r="A458" t="s">
        <v>167</v>
      </c>
      <c r="B458" s="3">
        <v>41024.636770833335</v>
      </c>
      <c r="C458" s="4">
        <v>2</v>
      </c>
      <c r="D458" s="4">
        <v>2</v>
      </c>
      <c r="E458">
        <v>0</v>
      </c>
    </row>
    <row r="459" spans="1:5">
      <c r="A459" t="s">
        <v>217</v>
      </c>
      <c r="B459" s="3">
        <v>41024.911678240744</v>
      </c>
      <c r="C459" s="4">
        <v>2</v>
      </c>
      <c r="D459" s="4">
        <v>2</v>
      </c>
      <c r="E459">
        <v>0</v>
      </c>
    </row>
    <row r="460" spans="1:5">
      <c r="A460" t="s">
        <v>244</v>
      </c>
      <c r="B460" s="3">
        <v>41024.956817129627</v>
      </c>
      <c r="C460" s="4">
        <v>2</v>
      </c>
      <c r="D460" s="4">
        <v>2</v>
      </c>
      <c r="E460">
        <v>1</v>
      </c>
    </row>
    <row r="461" spans="1:5">
      <c r="A461" t="s">
        <v>241</v>
      </c>
      <c r="B461" s="3">
        <v>41029.451331018521</v>
      </c>
      <c r="C461" s="4">
        <v>2</v>
      </c>
      <c r="D461" s="4">
        <v>2</v>
      </c>
      <c r="E461">
        <v>0</v>
      </c>
    </row>
    <row r="462" spans="1:5">
      <c r="A462" t="s">
        <v>116</v>
      </c>
      <c r="B462" s="3">
        <v>41029.521354166667</v>
      </c>
      <c r="C462" s="4">
        <v>2</v>
      </c>
      <c r="D462" s="4">
        <v>2</v>
      </c>
      <c r="E462">
        <v>1</v>
      </c>
    </row>
    <row r="463" spans="1:5">
      <c r="A463" t="s">
        <v>39</v>
      </c>
      <c r="B463" s="3">
        <v>41030.405439814815</v>
      </c>
      <c r="C463" s="4">
        <v>2</v>
      </c>
      <c r="D463" s="4">
        <v>2</v>
      </c>
      <c r="E463">
        <v>0</v>
      </c>
    </row>
    <row r="464" spans="1:5">
      <c r="A464" t="s">
        <v>280</v>
      </c>
      <c r="B464" s="3">
        <v>41030.48777777778</v>
      </c>
      <c r="C464" s="4">
        <v>2</v>
      </c>
      <c r="D464" s="4">
        <v>2</v>
      </c>
      <c r="E464">
        <v>0</v>
      </c>
    </row>
    <row r="465" spans="1:5">
      <c r="A465" t="s">
        <v>188</v>
      </c>
      <c r="B465" s="3">
        <v>41032.681574074071</v>
      </c>
      <c r="C465" s="4">
        <v>2</v>
      </c>
      <c r="D465" s="4">
        <v>2</v>
      </c>
      <c r="E465">
        <v>0</v>
      </c>
    </row>
    <row r="466" spans="1:5">
      <c r="A466" t="s">
        <v>86</v>
      </c>
      <c r="B466" s="3">
        <v>41034.787488425929</v>
      </c>
      <c r="C466" s="4">
        <v>2</v>
      </c>
      <c r="D466" s="4">
        <v>2</v>
      </c>
      <c r="E466">
        <v>0</v>
      </c>
    </row>
    <row r="467" spans="1:5">
      <c r="A467" t="s">
        <v>162</v>
      </c>
      <c r="B467" s="3">
        <v>41035.764120370368</v>
      </c>
      <c r="C467" s="4">
        <v>2</v>
      </c>
      <c r="D467" s="4">
        <v>2</v>
      </c>
      <c r="E467">
        <v>0</v>
      </c>
    </row>
    <row r="468" spans="1:5">
      <c r="A468" t="s">
        <v>27</v>
      </c>
      <c r="B468" s="3">
        <v>41036.455879629626</v>
      </c>
      <c r="C468" s="4">
        <v>2</v>
      </c>
      <c r="D468" s="4">
        <v>2</v>
      </c>
      <c r="E468">
        <v>0</v>
      </c>
    </row>
    <row r="469" spans="1:5">
      <c r="A469" t="s">
        <v>62</v>
      </c>
      <c r="B469" s="3">
        <v>41036.570879629631</v>
      </c>
      <c r="C469" s="4">
        <v>2</v>
      </c>
      <c r="D469" s="4">
        <v>2</v>
      </c>
      <c r="E469">
        <v>0</v>
      </c>
    </row>
    <row r="470" spans="1:5">
      <c r="A470" t="s">
        <v>153</v>
      </c>
      <c r="B470" s="3">
        <v>41036.729085648149</v>
      </c>
      <c r="C470" s="4">
        <v>2</v>
      </c>
      <c r="D470" s="4">
        <v>2</v>
      </c>
      <c r="E470">
        <v>0</v>
      </c>
    </row>
    <row r="471" spans="1:5">
      <c r="A471" t="s">
        <v>156</v>
      </c>
      <c r="B471" s="3">
        <v>41036.775995370372</v>
      </c>
      <c r="C471" s="4">
        <v>2</v>
      </c>
      <c r="D471" s="4">
        <v>2</v>
      </c>
      <c r="E471">
        <v>0</v>
      </c>
    </row>
    <row r="472" spans="1:5">
      <c r="A472" t="s">
        <v>232</v>
      </c>
      <c r="B472" s="3">
        <v>41043.483796296299</v>
      </c>
      <c r="C472" s="4">
        <v>2</v>
      </c>
      <c r="D472" s="4">
        <v>2</v>
      </c>
      <c r="E472">
        <v>1</v>
      </c>
    </row>
    <row r="473" spans="1:5">
      <c r="A473" t="s">
        <v>15</v>
      </c>
      <c r="B473" s="3">
        <v>41043.483831018515</v>
      </c>
      <c r="C473" s="4">
        <v>2</v>
      </c>
      <c r="D473" s="4">
        <v>2</v>
      </c>
      <c r="E473">
        <v>0</v>
      </c>
    </row>
    <row r="474" spans="1:5">
      <c r="A474" t="s">
        <v>114</v>
      </c>
      <c r="B474" s="3">
        <v>41044.597060185188</v>
      </c>
      <c r="C474" s="4">
        <v>2</v>
      </c>
      <c r="D474" s="4">
        <v>2</v>
      </c>
      <c r="E474">
        <v>0</v>
      </c>
    </row>
    <row r="475" spans="1:5">
      <c r="A475" t="s">
        <v>134</v>
      </c>
      <c r="B475" s="3">
        <v>41046.456863425927</v>
      </c>
      <c r="C475" s="4">
        <v>2</v>
      </c>
      <c r="D475" s="4">
        <v>2</v>
      </c>
      <c r="E475">
        <v>0</v>
      </c>
    </row>
    <row r="476" spans="1:5">
      <c r="A476" t="s">
        <v>137</v>
      </c>
      <c r="B476" s="3">
        <v>41047.494745370372</v>
      </c>
      <c r="C476" s="4">
        <v>2</v>
      </c>
      <c r="D476" s="4">
        <v>2</v>
      </c>
      <c r="E476">
        <v>1</v>
      </c>
    </row>
    <row r="477" spans="1:5">
      <c r="A477" t="s">
        <v>200</v>
      </c>
      <c r="B477" s="3">
        <v>41050.596446759257</v>
      </c>
      <c r="C477" s="4">
        <v>2</v>
      </c>
      <c r="D477" s="4">
        <v>2</v>
      </c>
      <c r="E477">
        <v>0</v>
      </c>
    </row>
    <row r="478" spans="1:5">
      <c r="A478" t="s">
        <v>266</v>
      </c>
      <c r="B478" s="3">
        <v>41050.663344907407</v>
      </c>
      <c r="C478" s="4">
        <v>2</v>
      </c>
      <c r="D478" s="4">
        <v>2</v>
      </c>
      <c r="E478">
        <v>0</v>
      </c>
    </row>
    <row r="479" spans="1:5">
      <c r="A479" t="s">
        <v>159</v>
      </c>
      <c r="B479" s="3">
        <v>41050.752962962964</v>
      </c>
      <c r="C479" s="4">
        <v>2</v>
      </c>
      <c r="D479" s="4">
        <v>2</v>
      </c>
      <c r="E479">
        <v>1</v>
      </c>
    </row>
    <row r="480" spans="1:5">
      <c r="A480" t="s">
        <v>229</v>
      </c>
      <c r="B480" s="3">
        <v>41051.522604166668</v>
      </c>
      <c r="C480" s="4">
        <v>2</v>
      </c>
      <c r="D480" s="4">
        <v>2</v>
      </c>
      <c r="E480">
        <v>0</v>
      </c>
    </row>
    <row r="481" spans="1:5">
      <c r="A481" t="s">
        <v>252</v>
      </c>
      <c r="B481" s="3">
        <v>41051.552407407406</v>
      </c>
      <c r="C481" s="4">
        <v>2</v>
      </c>
      <c r="D481" s="4">
        <v>2</v>
      </c>
      <c r="E481">
        <v>0</v>
      </c>
    </row>
    <row r="482" spans="1:5">
      <c r="A482" t="s">
        <v>170</v>
      </c>
      <c r="B482" s="3">
        <v>41051.702430555553</v>
      </c>
      <c r="C482" s="4">
        <v>2</v>
      </c>
      <c r="D482" s="4">
        <v>2</v>
      </c>
      <c r="E482">
        <v>0</v>
      </c>
    </row>
    <row r="483" spans="1:5">
      <c r="A483" t="s">
        <v>176</v>
      </c>
      <c r="B483" s="3">
        <v>41052.723703703705</v>
      </c>
      <c r="C483" s="4">
        <v>2</v>
      </c>
      <c r="D483" s="4">
        <v>2</v>
      </c>
      <c r="E483">
        <v>0</v>
      </c>
    </row>
    <row r="484" spans="1:5">
      <c r="A484" t="s">
        <v>131</v>
      </c>
      <c r="B484" s="3">
        <v>41052.841643518521</v>
      </c>
      <c r="C484" s="4">
        <v>2</v>
      </c>
      <c r="D484" s="4">
        <v>2</v>
      </c>
      <c r="E484">
        <v>0</v>
      </c>
    </row>
    <row r="485" spans="1:5">
      <c r="A485" t="s">
        <v>211</v>
      </c>
      <c r="B485" s="3">
        <v>41053.833101851851</v>
      </c>
      <c r="C485" s="4">
        <v>2</v>
      </c>
      <c r="D485" s="4">
        <v>2</v>
      </c>
      <c r="E485">
        <v>0</v>
      </c>
    </row>
    <row r="486" spans="1:5">
      <c r="A486" t="s">
        <v>106</v>
      </c>
      <c r="B486" s="3">
        <v>41057.82540509259</v>
      </c>
      <c r="C486" s="4">
        <v>2</v>
      </c>
      <c r="D486" s="4">
        <v>2</v>
      </c>
      <c r="E486">
        <v>0</v>
      </c>
    </row>
    <row r="487" spans="1:5">
      <c r="A487" t="s">
        <v>36</v>
      </c>
      <c r="B487" s="3">
        <v>41058.488634259258</v>
      </c>
      <c r="C487" s="4">
        <v>2</v>
      </c>
      <c r="D487" s="4">
        <v>2</v>
      </c>
      <c r="E487">
        <v>0</v>
      </c>
    </row>
    <row r="488" spans="1:5">
      <c r="A488" t="s">
        <v>274</v>
      </c>
      <c r="B488" s="3">
        <v>41058.810219907406</v>
      </c>
      <c r="C488" s="4">
        <v>2</v>
      </c>
      <c r="D488" s="4">
        <v>2</v>
      </c>
      <c r="E488">
        <v>0</v>
      </c>
    </row>
    <row r="489" spans="1:5">
      <c r="A489" t="s">
        <v>203</v>
      </c>
      <c r="B489" s="3">
        <v>41059.599444444444</v>
      </c>
      <c r="C489" s="4">
        <v>2</v>
      </c>
      <c r="D489" s="4">
        <v>2</v>
      </c>
      <c r="E489">
        <v>0</v>
      </c>
    </row>
    <row r="490" spans="1:5">
      <c r="A490" t="s">
        <v>83</v>
      </c>
      <c r="B490" s="3">
        <v>41060.473032407404</v>
      </c>
      <c r="C490" s="4">
        <v>2</v>
      </c>
      <c r="D490" s="4">
        <v>2</v>
      </c>
      <c r="E490">
        <v>0</v>
      </c>
    </row>
    <row r="491" spans="1:5">
      <c r="A491" t="s">
        <v>111</v>
      </c>
      <c r="B491" s="3">
        <v>41060.528449074074</v>
      </c>
      <c r="C491" s="4">
        <v>2</v>
      </c>
      <c r="D491" s="4">
        <v>2</v>
      </c>
      <c r="E491">
        <v>0</v>
      </c>
    </row>
    <row r="492" spans="1:5">
      <c r="A492" t="s">
        <v>128</v>
      </c>
      <c r="B492" s="3">
        <v>41064.474999999999</v>
      </c>
      <c r="C492" s="4">
        <v>2</v>
      </c>
      <c r="D492" s="4">
        <v>2</v>
      </c>
      <c r="E492">
        <v>1</v>
      </c>
    </row>
    <row r="493" spans="1:5">
      <c r="A493" t="s">
        <v>226</v>
      </c>
      <c r="B493" s="3">
        <v>41064.616030092591</v>
      </c>
      <c r="C493" s="4">
        <v>2</v>
      </c>
      <c r="D493" s="4">
        <v>2</v>
      </c>
      <c r="E493">
        <v>0</v>
      </c>
    </row>
    <row r="494" spans="1:5">
      <c r="A494" t="s">
        <v>264</v>
      </c>
      <c r="B494" s="3">
        <v>41064.903321759259</v>
      </c>
      <c r="C494" s="4">
        <v>2</v>
      </c>
      <c r="D494" s="4">
        <v>2</v>
      </c>
      <c r="E494">
        <v>1</v>
      </c>
    </row>
    <row r="495" spans="1:5">
      <c r="A495" t="s">
        <v>92</v>
      </c>
      <c r="B495" s="3">
        <v>41065.641076388885</v>
      </c>
      <c r="C495" s="4">
        <v>2</v>
      </c>
      <c r="D495" s="4">
        <v>2</v>
      </c>
      <c r="E495">
        <v>0</v>
      </c>
    </row>
    <row r="496" spans="1:5">
      <c r="A496" t="s">
        <v>80</v>
      </c>
      <c r="B496" s="3">
        <v>41065.722696759258</v>
      </c>
      <c r="C496" s="4">
        <v>2</v>
      </c>
      <c r="D496" s="4">
        <v>2</v>
      </c>
      <c r="E496">
        <v>0</v>
      </c>
    </row>
    <row r="497" spans="1:5">
      <c r="A497" t="s">
        <v>53</v>
      </c>
      <c r="B497" s="3">
        <v>41065.854837962965</v>
      </c>
      <c r="C497" s="4">
        <v>2</v>
      </c>
      <c r="D497" s="4">
        <v>2</v>
      </c>
      <c r="E497">
        <v>0</v>
      </c>
    </row>
    <row r="498" spans="1:5">
      <c r="A498" t="s">
        <v>173</v>
      </c>
      <c r="B498" s="3">
        <v>41071.416932870372</v>
      </c>
      <c r="C498" s="4">
        <v>2</v>
      </c>
      <c r="D498" s="4">
        <v>2</v>
      </c>
      <c r="E498">
        <v>1</v>
      </c>
    </row>
    <row r="499" spans="1:5">
      <c r="A499" t="s">
        <v>100</v>
      </c>
      <c r="B499" s="3">
        <v>41071.484560185185</v>
      </c>
      <c r="C499" s="4">
        <v>2</v>
      </c>
      <c r="D499" s="4">
        <v>2</v>
      </c>
      <c r="E499">
        <v>0</v>
      </c>
    </row>
    <row r="500" spans="1:5">
      <c r="A500" t="s">
        <v>6</v>
      </c>
      <c r="B500" s="3">
        <v>41071.640243055554</v>
      </c>
      <c r="C500" s="4">
        <v>2</v>
      </c>
      <c r="D500" s="4">
        <v>2</v>
      </c>
      <c r="E500">
        <v>0</v>
      </c>
    </row>
    <row r="501" spans="1:5">
      <c r="A501" t="s">
        <v>250</v>
      </c>
      <c r="B501" s="3">
        <v>41071.969641203701</v>
      </c>
      <c r="C501" s="4">
        <v>2</v>
      </c>
      <c r="D501" s="4">
        <v>2</v>
      </c>
      <c r="E501">
        <v>2</v>
      </c>
    </row>
    <row r="502" spans="1:5">
      <c r="A502" t="s">
        <v>205</v>
      </c>
      <c r="B502" s="3">
        <v>41071.969641203701</v>
      </c>
      <c r="C502" s="4">
        <v>2</v>
      </c>
      <c r="D502" s="4">
        <v>2</v>
      </c>
      <c r="E502">
        <v>1</v>
      </c>
    </row>
    <row r="503" spans="1:5">
      <c r="A503" t="s">
        <v>139</v>
      </c>
      <c r="B503" s="3">
        <v>41073.389421296299</v>
      </c>
      <c r="C503" s="4">
        <v>2</v>
      </c>
      <c r="D503" s="4">
        <v>2</v>
      </c>
      <c r="E503">
        <v>0</v>
      </c>
    </row>
    <row r="504" spans="1:5">
      <c r="A504" t="s">
        <v>65</v>
      </c>
      <c r="B504" s="3">
        <v>41073.55369212963</v>
      </c>
      <c r="C504" s="4">
        <v>2</v>
      </c>
      <c r="D504" s="4">
        <v>2</v>
      </c>
      <c r="E504">
        <v>0</v>
      </c>
    </row>
    <row r="505" spans="1:5">
      <c r="A505" t="s">
        <v>45</v>
      </c>
      <c r="B505" s="3">
        <v>41073.739490740743</v>
      </c>
      <c r="C505" s="4">
        <v>2</v>
      </c>
      <c r="D505" s="4">
        <v>2</v>
      </c>
      <c r="E505">
        <v>1</v>
      </c>
    </row>
    <row r="506" spans="1:5">
      <c r="A506" t="s">
        <v>145</v>
      </c>
      <c r="B506" s="3">
        <v>41078.938379629632</v>
      </c>
      <c r="C506" s="4">
        <v>2</v>
      </c>
      <c r="D506" s="4">
        <v>2</v>
      </c>
      <c r="E506">
        <v>1</v>
      </c>
    </row>
    <row r="507" spans="1:5">
      <c r="A507" t="s">
        <v>223</v>
      </c>
      <c r="B507" s="3">
        <v>41078.976550925923</v>
      </c>
      <c r="C507" s="4">
        <v>2</v>
      </c>
      <c r="D507" s="4">
        <v>2</v>
      </c>
      <c r="E507">
        <v>0</v>
      </c>
    </row>
    <row r="508" spans="1:5">
      <c r="A508" t="s">
        <v>77</v>
      </c>
      <c r="B508" s="3">
        <v>41079.579317129632</v>
      </c>
      <c r="C508" s="4">
        <v>2</v>
      </c>
      <c r="D508" s="4">
        <v>2</v>
      </c>
      <c r="E508">
        <v>0</v>
      </c>
    </row>
    <row r="509" spans="1:5">
      <c r="A509" t="s">
        <v>95</v>
      </c>
      <c r="B509" s="3">
        <v>41079.785729166666</v>
      </c>
      <c r="C509" s="4">
        <v>2</v>
      </c>
      <c r="D509" s="4">
        <v>2</v>
      </c>
      <c r="E509">
        <v>1</v>
      </c>
    </row>
  </sheetData>
  <conditionalFormatting sqref="A5:A106">
    <cfRule type="duplicateValues" dxfId="177" priority="4"/>
  </conditionalFormatting>
  <conditionalFormatting sqref="A5:A104">
    <cfRule type="duplicateValues" dxfId="176" priority="5"/>
  </conditionalFormatting>
  <conditionalFormatting sqref="A5:A104">
    <cfRule type="duplicateValues" dxfId="175" priority="6"/>
  </conditionalFormatting>
  <conditionalFormatting sqref="A5:A509">
    <cfRule type="duplicateValues" dxfId="174" priority="3"/>
  </conditionalFormatting>
  <conditionalFormatting sqref="B5:B509">
    <cfRule type="cellIs" dxfId="173" priority="1" operator="between">
      <formula>$W$17</formula>
      <formula>$X$17</formula>
    </cfRule>
    <cfRule type="cellIs" dxfId="172" priority="2" operator="between">
      <formula>$W$18</formula>
      <formula>$X$18</formula>
    </cfRule>
  </conditionalFormatting>
  <pageMargins left="0.75" right="0.75" top="1" bottom="1" header="0.5" footer="0.5"/>
  <pageSetup orientation="portrait" horizontalDpi="4294967292" verticalDpi="4294967292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J23"/>
  <sheetViews>
    <sheetView workbookViewId="0">
      <selection activeCell="H14" sqref="H14:I15"/>
    </sheetView>
  </sheetViews>
  <sheetFormatPr baseColWidth="10" defaultRowHeight="15" x14ac:dyDescent="0"/>
  <cols>
    <col min="1" max="1" width="13" customWidth="1"/>
    <col min="2" max="2" width="14.6640625" customWidth="1"/>
    <col min="3" max="4" width="12.5" bestFit="1" customWidth="1"/>
    <col min="8" max="9" width="16.1640625" bestFit="1" customWidth="1"/>
  </cols>
  <sheetData>
    <row r="3" spans="1:10">
      <c r="B3" s="25" t="s">
        <v>1961</v>
      </c>
    </row>
    <row r="4" spans="1:10">
      <c r="A4" s="25" t="s">
        <v>1870</v>
      </c>
      <c r="B4" t="s">
        <v>1960</v>
      </c>
      <c r="C4" t="s">
        <v>3692</v>
      </c>
    </row>
    <row r="5" spans="1:10">
      <c r="A5" s="26" t="s">
        <v>1882</v>
      </c>
      <c r="B5" s="4"/>
      <c r="C5" s="4"/>
    </row>
    <row r="6" spans="1:10">
      <c r="A6" s="31" t="s">
        <v>1919</v>
      </c>
      <c r="B6" s="4">
        <v>34</v>
      </c>
      <c r="C6" s="4">
        <v>9</v>
      </c>
    </row>
    <row r="7" spans="1:10">
      <c r="A7" s="31" t="s">
        <v>1921</v>
      </c>
      <c r="B7" s="4">
        <v>18</v>
      </c>
      <c r="C7" s="4">
        <v>6</v>
      </c>
    </row>
    <row r="8" spans="1:10">
      <c r="A8" s="31" t="s">
        <v>1920</v>
      </c>
      <c r="B8" s="4">
        <v>82</v>
      </c>
      <c r="C8" s="4">
        <v>61</v>
      </c>
    </row>
    <row r="9" spans="1:10">
      <c r="A9" s="26" t="s">
        <v>1883</v>
      </c>
      <c r="B9" s="4"/>
      <c r="C9" s="4"/>
    </row>
    <row r="10" spans="1:10">
      <c r="A10" s="31" t="s">
        <v>1918</v>
      </c>
      <c r="B10" s="4">
        <v>73</v>
      </c>
      <c r="C10" s="4">
        <v>38</v>
      </c>
    </row>
    <row r="11" spans="1:10">
      <c r="A11" s="31" t="s">
        <v>1919</v>
      </c>
      <c r="B11" s="4">
        <v>15</v>
      </c>
      <c r="C11" s="4">
        <v>7</v>
      </c>
    </row>
    <row r="12" spans="1:10">
      <c r="A12" s="31" t="s">
        <v>1921</v>
      </c>
      <c r="B12" s="4">
        <v>16</v>
      </c>
      <c r="C12" s="4">
        <v>9</v>
      </c>
    </row>
    <row r="13" spans="1:10">
      <c r="A13" s="31" t="s">
        <v>1920</v>
      </c>
      <c r="B13" s="4">
        <v>6</v>
      </c>
      <c r="C13" s="4">
        <v>5</v>
      </c>
    </row>
    <row r="14" spans="1:10">
      <c r="A14" s="26" t="s">
        <v>1884</v>
      </c>
      <c r="B14" s="4"/>
      <c r="C14" s="4"/>
      <c r="G14" t="s">
        <v>1898</v>
      </c>
      <c r="H14" s="3">
        <v>40179</v>
      </c>
      <c r="I14" s="3">
        <v>40359.958333333336</v>
      </c>
      <c r="J14" s="4">
        <f>DATEDIF(H14,I14,"d")</f>
        <v>180</v>
      </c>
    </row>
    <row r="15" spans="1:10">
      <c r="A15" s="31" t="s">
        <v>1918</v>
      </c>
      <c r="B15" s="4">
        <v>39</v>
      </c>
      <c r="C15" s="4">
        <v>23</v>
      </c>
      <c r="G15" t="s">
        <v>1874</v>
      </c>
      <c r="H15" s="3">
        <v>40634</v>
      </c>
      <c r="I15" s="3">
        <v>40816.958333333336</v>
      </c>
      <c r="J15" s="4">
        <f>DATEDIF(H15,I15,"d")</f>
        <v>182</v>
      </c>
    </row>
    <row r="16" spans="1:10">
      <c r="A16" s="31" t="s">
        <v>1919</v>
      </c>
      <c r="B16" s="4">
        <v>27</v>
      </c>
      <c r="C16" s="4">
        <v>17</v>
      </c>
    </row>
    <row r="17" spans="1:7">
      <c r="A17" s="31" t="s">
        <v>1921</v>
      </c>
      <c r="B17" s="4">
        <v>15</v>
      </c>
      <c r="C17" s="4">
        <v>7</v>
      </c>
    </row>
    <row r="18" spans="1:7">
      <c r="A18" s="31" t="s">
        <v>1920</v>
      </c>
      <c r="B18" s="4">
        <v>27</v>
      </c>
      <c r="C18" s="4">
        <v>10</v>
      </c>
    </row>
    <row r="19" spans="1:7">
      <c r="A19" s="26" t="s">
        <v>1885</v>
      </c>
      <c r="B19" s="4"/>
      <c r="C19" s="4"/>
    </row>
    <row r="20" spans="1:7">
      <c r="A20" s="31" t="s">
        <v>1918</v>
      </c>
      <c r="B20" s="4">
        <v>15</v>
      </c>
      <c r="C20" s="4">
        <v>8</v>
      </c>
    </row>
    <row r="21" spans="1:7">
      <c r="A21" s="31" t="s">
        <v>1919</v>
      </c>
      <c r="B21" s="4">
        <v>13</v>
      </c>
      <c r="C21" s="4">
        <v>4</v>
      </c>
    </row>
    <row r="22" spans="1:7">
      <c r="A22" s="26" t="s">
        <v>1871</v>
      </c>
      <c r="B22" s="4">
        <v>380</v>
      </c>
      <c r="C22" s="4">
        <v>204</v>
      </c>
    </row>
    <row r="23" spans="1:7">
      <c r="G23">
        <f>27+15</f>
        <v>42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I21"/>
  <sheetViews>
    <sheetView workbookViewId="0">
      <selection activeCell="D31" sqref="D31"/>
    </sheetView>
  </sheetViews>
  <sheetFormatPr baseColWidth="10" defaultRowHeight="15" x14ac:dyDescent="0"/>
  <cols>
    <col min="1" max="1" width="13" customWidth="1"/>
    <col min="2" max="2" width="14.6640625" bestFit="1" customWidth="1"/>
    <col min="3" max="3" width="12.5" bestFit="1" customWidth="1"/>
    <col min="7" max="7" width="16.1640625" bestFit="1" customWidth="1"/>
    <col min="8" max="8" width="21.1640625" bestFit="1" customWidth="1"/>
    <col min="9" max="9" width="27" customWidth="1"/>
  </cols>
  <sheetData>
    <row r="3" spans="1:9">
      <c r="B3" s="25" t="s">
        <v>1961</v>
      </c>
    </row>
    <row r="4" spans="1:9">
      <c r="A4" s="25" t="s">
        <v>1870</v>
      </c>
      <c r="B4" t="s">
        <v>1960</v>
      </c>
      <c r="C4" t="s">
        <v>3692</v>
      </c>
    </row>
    <row r="5" spans="1:9">
      <c r="A5" s="26" t="s">
        <v>3693</v>
      </c>
      <c r="B5" s="4"/>
      <c r="C5" s="4"/>
      <c r="H5">
        <v>19</v>
      </c>
    </row>
    <row r="6" spans="1:9">
      <c r="A6" s="31" t="s">
        <v>1919</v>
      </c>
      <c r="B6" s="4">
        <v>19</v>
      </c>
      <c r="C6" s="4">
        <v>11</v>
      </c>
      <c r="H6">
        <v>25</v>
      </c>
    </row>
    <row r="7" spans="1:9">
      <c r="A7" s="31" t="s">
        <v>1921</v>
      </c>
      <c r="B7" s="4">
        <v>25</v>
      </c>
      <c r="C7" s="4">
        <v>15</v>
      </c>
      <c r="H7">
        <v>7</v>
      </c>
    </row>
    <row r="8" spans="1:9">
      <c r="A8" s="31" t="s">
        <v>1920</v>
      </c>
      <c r="B8" s="4">
        <v>7</v>
      </c>
      <c r="C8" s="4">
        <v>7</v>
      </c>
      <c r="H8">
        <v>43</v>
      </c>
    </row>
    <row r="9" spans="1:9">
      <c r="A9" s="26" t="s">
        <v>3694</v>
      </c>
      <c r="B9" s="4"/>
      <c r="C9" s="4"/>
    </row>
    <row r="10" spans="1:9">
      <c r="A10" s="31" t="s">
        <v>1918</v>
      </c>
      <c r="B10" s="4">
        <v>20</v>
      </c>
      <c r="C10" s="4">
        <v>10</v>
      </c>
    </row>
    <row r="11" spans="1:9">
      <c r="A11" s="31" t="s">
        <v>1919</v>
      </c>
      <c r="B11" s="4">
        <v>23</v>
      </c>
      <c r="C11" s="4">
        <v>12</v>
      </c>
    </row>
    <row r="12" spans="1:9">
      <c r="A12" s="26" t="s">
        <v>3695</v>
      </c>
      <c r="B12" s="4"/>
      <c r="C12" s="4"/>
    </row>
    <row r="13" spans="1:9">
      <c r="A13" s="31" t="s">
        <v>1920</v>
      </c>
      <c r="B13" s="4">
        <v>8</v>
      </c>
      <c r="C13" s="4">
        <v>3</v>
      </c>
    </row>
    <row r="14" spans="1:9">
      <c r="A14" s="26" t="s">
        <v>1882</v>
      </c>
      <c r="B14" s="4"/>
      <c r="C14" s="4"/>
    </row>
    <row r="15" spans="1:9">
      <c r="A15" s="31" t="s">
        <v>1918</v>
      </c>
      <c r="B15" s="4">
        <v>20</v>
      </c>
      <c r="C15" s="4">
        <v>4</v>
      </c>
      <c r="F15" t="s">
        <v>1898</v>
      </c>
      <c r="G15" s="3">
        <v>37347</v>
      </c>
      <c r="H15" s="3">
        <v>37529.958333333336</v>
      </c>
      <c r="I15" s="4">
        <f>DATEDIF(G15,H15,"d")</f>
        <v>182</v>
      </c>
    </row>
    <row r="16" spans="1:9">
      <c r="A16" s="31" t="s">
        <v>1919</v>
      </c>
      <c r="B16" s="4">
        <v>19</v>
      </c>
      <c r="C16" s="4">
        <v>5</v>
      </c>
      <c r="F16" t="s">
        <v>1874</v>
      </c>
      <c r="G16" s="3">
        <v>40087</v>
      </c>
      <c r="H16" s="3">
        <v>40268.958333333336</v>
      </c>
      <c r="I16" s="4">
        <f>DATEDIF(G16,H16,"d")</f>
        <v>181</v>
      </c>
    </row>
    <row r="17" spans="1:3">
      <c r="A17" s="31" t="s">
        <v>1921</v>
      </c>
      <c r="B17" s="4">
        <v>19</v>
      </c>
      <c r="C17" s="4">
        <v>4</v>
      </c>
    </row>
    <row r="18" spans="1:3">
      <c r="A18" s="31" t="s">
        <v>1920</v>
      </c>
      <c r="B18" s="4">
        <v>19</v>
      </c>
      <c r="C18" s="4">
        <v>1</v>
      </c>
    </row>
    <row r="19" spans="1:3">
      <c r="A19" s="26" t="s">
        <v>1883</v>
      </c>
      <c r="B19" s="4"/>
      <c r="C19" s="4"/>
    </row>
    <row r="20" spans="1:3">
      <c r="A20" s="31" t="s">
        <v>1918</v>
      </c>
      <c r="B20" s="4">
        <v>6</v>
      </c>
      <c r="C20" s="4">
        <v>3</v>
      </c>
    </row>
    <row r="21" spans="1:3">
      <c r="A21" s="26" t="s">
        <v>1871</v>
      </c>
      <c r="B21" s="4">
        <v>185</v>
      </c>
      <c r="C21" s="4">
        <v>75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V52"/>
  <sheetViews>
    <sheetView topLeftCell="G33" workbookViewId="0">
      <selection activeCell="V52" sqref="V52"/>
    </sheetView>
  </sheetViews>
  <sheetFormatPr baseColWidth="10" defaultRowHeight="15" x14ac:dyDescent="0"/>
  <cols>
    <col min="1" max="1" width="18" bestFit="1" customWidth="1"/>
    <col min="2" max="2" width="7.83203125" customWidth="1"/>
    <col min="3" max="3" width="14.1640625" customWidth="1"/>
    <col min="4" max="4" width="14.6640625" customWidth="1"/>
    <col min="5" max="5" width="14" bestFit="1" customWidth="1"/>
    <col min="6" max="7" width="10.6640625" customWidth="1"/>
    <col min="8" max="8" width="13.83203125" customWidth="1"/>
  </cols>
  <sheetData>
    <row r="3" spans="1:10">
      <c r="D3" s="25" t="s">
        <v>1961</v>
      </c>
    </row>
    <row r="4" spans="1:10">
      <c r="A4" s="25" t="s">
        <v>3719</v>
      </c>
      <c r="B4" s="25" t="s">
        <v>333</v>
      </c>
      <c r="C4" s="25" t="s">
        <v>3687</v>
      </c>
      <c r="D4" t="s">
        <v>1960</v>
      </c>
      <c r="E4" t="s">
        <v>3691</v>
      </c>
      <c r="F4" t="s">
        <v>3702</v>
      </c>
      <c r="G4" t="s">
        <v>3703</v>
      </c>
      <c r="H4" t="s">
        <v>3696</v>
      </c>
    </row>
    <row r="5" spans="1:10">
      <c r="A5" t="s">
        <v>1884</v>
      </c>
      <c r="B5" s="3" t="s">
        <v>3720</v>
      </c>
      <c r="C5" t="s">
        <v>1857</v>
      </c>
      <c r="D5" s="4">
        <v>1</v>
      </c>
      <c r="E5" s="4"/>
      <c r="F5" s="4"/>
      <c r="G5" s="4"/>
      <c r="H5" s="4">
        <v>1</v>
      </c>
      <c r="I5" t="e">
        <f>D5/$B5</f>
        <v>#VALUE!</v>
      </c>
      <c r="J5" t="e">
        <f>E5/$B5</f>
        <v>#VALUE!</v>
      </c>
    </row>
    <row r="6" spans="1:10">
      <c r="C6" t="s">
        <v>1760</v>
      </c>
      <c r="D6" s="4">
        <v>1</v>
      </c>
      <c r="E6" s="4"/>
      <c r="F6" s="4"/>
      <c r="G6" s="4"/>
      <c r="H6" s="4">
        <v>1</v>
      </c>
      <c r="I6" t="e">
        <f t="shared" ref="I6:I32" si="0">D6/$B6</f>
        <v>#DIV/0!</v>
      </c>
      <c r="J6" t="e">
        <f t="shared" ref="J6:J32" si="1">E6/$B6</f>
        <v>#DIV/0!</v>
      </c>
    </row>
    <row r="7" spans="1:10">
      <c r="B7" s="3" t="s">
        <v>3730</v>
      </c>
      <c r="D7" s="4">
        <v>2</v>
      </c>
      <c r="E7" s="4"/>
      <c r="F7" s="4"/>
      <c r="G7" s="4"/>
      <c r="H7" s="4">
        <v>2</v>
      </c>
      <c r="I7" t="e">
        <f t="shared" si="0"/>
        <v>#VALUE!</v>
      </c>
      <c r="J7" t="e">
        <f t="shared" si="1"/>
        <v>#VALUE!</v>
      </c>
    </row>
    <row r="8" spans="1:10">
      <c r="B8" s="3" t="s">
        <v>3721</v>
      </c>
      <c r="C8" t="s">
        <v>1857</v>
      </c>
      <c r="D8" s="4">
        <v>1</v>
      </c>
      <c r="E8" s="4"/>
      <c r="F8" s="4"/>
      <c r="G8" s="4"/>
      <c r="H8" s="4">
        <v>1</v>
      </c>
      <c r="I8" t="e">
        <f t="shared" si="0"/>
        <v>#VALUE!</v>
      </c>
      <c r="J8" t="e">
        <f t="shared" si="1"/>
        <v>#VALUE!</v>
      </c>
    </row>
    <row r="9" spans="1:10">
      <c r="C9" t="s">
        <v>1587</v>
      </c>
      <c r="D9" s="4">
        <v>1</v>
      </c>
      <c r="E9" s="4"/>
      <c r="F9" s="4"/>
      <c r="G9" s="4"/>
      <c r="H9" s="4">
        <v>1</v>
      </c>
      <c r="I9" t="e">
        <f t="shared" si="0"/>
        <v>#DIV/0!</v>
      </c>
      <c r="J9" t="e">
        <f t="shared" si="1"/>
        <v>#DIV/0!</v>
      </c>
    </row>
    <row r="10" spans="1:10">
      <c r="B10" s="3" t="s">
        <v>3731</v>
      </c>
      <c r="D10" s="4">
        <v>2</v>
      </c>
      <c r="E10" s="4"/>
      <c r="F10" s="4"/>
      <c r="G10" s="4"/>
      <c r="H10" s="4">
        <v>2</v>
      </c>
      <c r="I10" t="e">
        <f t="shared" si="0"/>
        <v>#VALUE!</v>
      </c>
      <c r="J10" t="e">
        <f t="shared" si="1"/>
        <v>#VALUE!</v>
      </c>
    </row>
    <row r="11" spans="1:10">
      <c r="B11" s="3" t="s">
        <v>3722</v>
      </c>
      <c r="C11" t="s">
        <v>1857</v>
      </c>
      <c r="D11" s="4">
        <v>1</v>
      </c>
      <c r="E11" s="4"/>
      <c r="F11" s="4"/>
      <c r="G11" s="4"/>
      <c r="H11" s="4">
        <v>1</v>
      </c>
      <c r="I11" t="e">
        <f t="shared" si="0"/>
        <v>#VALUE!</v>
      </c>
      <c r="J11" t="e">
        <f t="shared" si="1"/>
        <v>#VALUE!</v>
      </c>
    </row>
    <row r="12" spans="1:10">
      <c r="C12" t="s">
        <v>1587</v>
      </c>
      <c r="D12" s="4">
        <v>1</v>
      </c>
      <c r="E12" s="4"/>
      <c r="F12" s="4"/>
      <c r="G12" s="4"/>
      <c r="H12" s="4">
        <v>1</v>
      </c>
      <c r="I12" t="e">
        <f t="shared" si="0"/>
        <v>#DIV/0!</v>
      </c>
      <c r="J12" t="e">
        <f t="shared" si="1"/>
        <v>#DIV/0!</v>
      </c>
    </row>
    <row r="13" spans="1:10">
      <c r="B13" s="3" t="s">
        <v>3732</v>
      </c>
      <c r="D13" s="4">
        <v>2</v>
      </c>
      <c r="E13" s="4"/>
      <c r="F13" s="4"/>
      <c r="G13" s="4"/>
      <c r="H13" s="4">
        <v>2</v>
      </c>
      <c r="I13" t="e">
        <f t="shared" si="0"/>
        <v>#VALUE!</v>
      </c>
      <c r="J13" t="e">
        <f t="shared" si="1"/>
        <v>#VALUE!</v>
      </c>
    </row>
    <row r="14" spans="1:10">
      <c r="B14" s="3" t="s">
        <v>3723</v>
      </c>
      <c r="C14" t="s">
        <v>1857</v>
      </c>
      <c r="D14" s="4">
        <v>2</v>
      </c>
      <c r="E14" s="4"/>
      <c r="F14" s="4"/>
      <c r="G14" s="4"/>
      <c r="H14" s="4">
        <v>2</v>
      </c>
      <c r="I14" t="e">
        <f t="shared" si="0"/>
        <v>#VALUE!</v>
      </c>
      <c r="J14" t="e">
        <f t="shared" si="1"/>
        <v>#VALUE!</v>
      </c>
    </row>
    <row r="15" spans="1:10">
      <c r="B15" s="3" t="s">
        <v>3733</v>
      </c>
      <c r="D15" s="4">
        <v>2</v>
      </c>
      <c r="E15" s="4"/>
      <c r="F15" s="4"/>
      <c r="G15" s="4"/>
      <c r="H15" s="4">
        <v>2</v>
      </c>
      <c r="I15" t="e">
        <f t="shared" si="0"/>
        <v>#VALUE!</v>
      </c>
      <c r="J15" t="e">
        <f t="shared" si="1"/>
        <v>#VALUE!</v>
      </c>
    </row>
    <row r="16" spans="1:10">
      <c r="A16" t="s">
        <v>1885</v>
      </c>
      <c r="B16" s="3" t="s">
        <v>3724</v>
      </c>
      <c r="C16" t="s">
        <v>1857</v>
      </c>
      <c r="D16" s="4">
        <v>9</v>
      </c>
      <c r="E16" s="4">
        <v>3</v>
      </c>
      <c r="F16" s="4">
        <v>3</v>
      </c>
      <c r="G16" s="4">
        <v>1</v>
      </c>
      <c r="H16" s="4">
        <v>9</v>
      </c>
      <c r="I16" t="e">
        <f t="shared" si="0"/>
        <v>#VALUE!</v>
      </c>
      <c r="J16" t="e">
        <f t="shared" si="1"/>
        <v>#VALUE!</v>
      </c>
    </row>
    <row r="17" spans="2:14">
      <c r="C17" t="s">
        <v>1587</v>
      </c>
      <c r="D17" s="4">
        <v>3</v>
      </c>
      <c r="E17" s="4">
        <v>1</v>
      </c>
      <c r="F17" s="4"/>
      <c r="G17" s="4">
        <v>1</v>
      </c>
      <c r="H17" s="4">
        <v>3</v>
      </c>
      <c r="I17" t="e">
        <f t="shared" si="0"/>
        <v>#DIV/0!</v>
      </c>
      <c r="J17" t="e">
        <f t="shared" si="1"/>
        <v>#DIV/0!</v>
      </c>
    </row>
    <row r="18" spans="2:14">
      <c r="C18" t="s">
        <v>1635</v>
      </c>
      <c r="D18" s="4">
        <v>1</v>
      </c>
      <c r="E18" s="4"/>
      <c r="F18" s="4">
        <v>1</v>
      </c>
      <c r="G18" s="4"/>
      <c r="H18" s="4">
        <v>1</v>
      </c>
      <c r="I18" t="e">
        <f t="shared" si="0"/>
        <v>#DIV/0!</v>
      </c>
      <c r="J18" t="e">
        <f t="shared" si="1"/>
        <v>#DIV/0!</v>
      </c>
    </row>
    <row r="19" spans="2:14">
      <c r="B19" s="3" t="s">
        <v>3734</v>
      </c>
      <c r="D19" s="4">
        <v>13</v>
      </c>
      <c r="E19" s="4">
        <v>4</v>
      </c>
      <c r="F19" s="4">
        <v>4</v>
      </c>
      <c r="G19" s="4">
        <v>2</v>
      </c>
      <c r="H19" s="4">
        <v>13</v>
      </c>
      <c r="I19" t="e">
        <f t="shared" si="0"/>
        <v>#VALUE!</v>
      </c>
      <c r="J19" t="e">
        <f t="shared" si="1"/>
        <v>#VALUE!</v>
      </c>
    </row>
    <row r="20" spans="2:14">
      <c r="B20" s="3" t="s">
        <v>3725</v>
      </c>
      <c r="C20" t="s">
        <v>1857</v>
      </c>
      <c r="D20" s="4">
        <v>1</v>
      </c>
      <c r="E20" s="4"/>
      <c r="F20" s="4"/>
      <c r="G20" s="4"/>
      <c r="H20" s="4">
        <v>1</v>
      </c>
      <c r="I20" t="e">
        <f t="shared" si="0"/>
        <v>#VALUE!</v>
      </c>
      <c r="J20" t="e">
        <f t="shared" si="1"/>
        <v>#VALUE!</v>
      </c>
    </row>
    <row r="21" spans="2:14">
      <c r="C21" t="s">
        <v>1587</v>
      </c>
      <c r="D21" s="4">
        <v>7</v>
      </c>
      <c r="E21" s="4">
        <v>1</v>
      </c>
      <c r="F21" s="4"/>
      <c r="G21" s="4">
        <v>2</v>
      </c>
      <c r="H21" s="4">
        <v>7</v>
      </c>
      <c r="I21" t="e">
        <f t="shared" si="0"/>
        <v>#DIV/0!</v>
      </c>
      <c r="J21" t="e">
        <f t="shared" si="1"/>
        <v>#DIV/0!</v>
      </c>
    </row>
    <row r="22" spans="2:14">
      <c r="B22" s="3" t="s">
        <v>3735</v>
      </c>
      <c r="D22" s="4">
        <v>8</v>
      </c>
      <c r="E22" s="4">
        <v>1</v>
      </c>
      <c r="F22" s="4"/>
      <c r="G22" s="4">
        <v>2</v>
      </c>
      <c r="H22" s="4">
        <v>8</v>
      </c>
      <c r="I22" t="e">
        <f t="shared" si="0"/>
        <v>#VALUE!</v>
      </c>
      <c r="J22" t="e">
        <f t="shared" si="1"/>
        <v>#VALUE!</v>
      </c>
    </row>
    <row r="23" spans="2:14">
      <c r="B23" s="3" t="s">
        <v>3726</v>
      </c>
      <c r="C23" t="s">
        <v>1751</v>
      </c>
      <c r="D23" s="4">
        <v>1</v>
      </c>
      <c r="E23" s="4"/>
      <c r="F23" s="4"/>
      <c r="G23" s="4"/>
      <c r="H23" s="4">
        <v>1</v>
      </c>
      <c r="I23" t="e">
        <f t="shared" si="0"/>
        <v>#VALUE!</v>
      </c>
      <c r="J23" t="e">
        <f t="shared" si="1"/>
        <v>#VALUE!</v>
      </c>
    </row>
    <row r="24" spans="2:14">
      <c r="C24" t="s">
        <v>1857</v>
      </c>
      <c r="D24" s="4">
        <v>4</v>
      </c>
      <c r="E24" s="4"/>
      <c r="F24" s="4"/>
      <c r="G24" s="4"/>
      <c r="H24" s="4">
        <v>4</v>
      </c>
      <c r="I24" t="e">
        <f t="shared" si="0"/>
        <v>#DIV/0!</v>
      </c>
      <c r="J24" t="e">
        <f t="shared" si="1"/>
        <v>#DIV/0!</v>
      </c>
    </row>
    <row r="25" spans="2:14">
      <c r="C25" t="s">
        <v>1587</v>
      </c>
      <c r="D25" s="4">
        <v>7</v>
      </c>
      <c r="E25" s="4">
        <v>1</v>
      </c>
      <c r="F25" s="4"/>
      <c r="G25" s="4">
        <v>2</v>
      </c>
      <c r="H25" s="4">
        <v>7</v>
      </c>
      <c r="I25" t="e">
        <f t="shared" si="0"/>
        <v>#DIV/0!</v>
      </c>
      <c r="J25" t="e">
        <f t="shared" si="1"/>
        <v>#DIV/0!</v>
      </c>
      <c r="L25">
        <f>88/18</f>
        <v>4.8888888888888893</v>
      </c>
    </row>
    <row r="26" spans="2:14">
      <c r="B26" s="3" t="s">
        <v>3736</v>
      </c>
      <c r="D26" s="4">
        <v>12</v>
      </c>
      <c r="E26" s="4">
        <v>1</v>
      </c>
      <c r="F26" s="4"/>
      <c r="G26" s="4">
        <v>2</v>
      </c>
      <c r="H26" s="4">
        <v>12</v>
      </c>
      <c r="I26" t="e">
        <f t="shared" si="0"/>
        <v>#VALUE!</v>
      </c>
      <c r="J26" t="e">
        <f t="shared" si="1"/>
        <v>#VALUE!</v>
      </c>
    </row>
    <row r="27" spans="2:14">
      <c r="B27" s="3" t="s">
        <v>3727</v>
      </c>
      <c r="C27" t="s">
        <v>1593</v>
      </c>
      <c r="D27" s="4">
        <v>2</v>
      </c>
      <c r="E27" s="4"/>
      <c r="F27" s="4"/>
      <c r="G27" s="4"/>
      <c r="H27" s="4">
        <v>2</v>
      </c>
      <c r="I27" t="e">
        <f t="shared" si="0"/>
        <v>#VALUE!</v>
      </c>
      <c r="J27" t="e">
        <f t="shared" si="1"/>
        <v>#VALUE!</v>
      </c>
    </row>
    <row r="28" spans="2:14">
      <c r="C28" t="s">
        <v>1857</v>
      </c>
      <c r="D28" s="4">
        <v>6</v>
      </c>
      <c r="E28" s="4">
        <v>5</v>
      </c>
      <c r="F28" s="4"/>
      <c r="G28" s="4"/>
      <c r="H28" s="4">
        <v>6</v>
      </c>
      <c r="I28" t="e">
        <f t="shared" si="0"/>
        <v>#DIV/0!</v>
      </c>
      <c r="J28" t="e">
        <f t="shared" si="1"/>
        <v>#DIV/0!</v>
      </c>
    </row>
    <row r="29" spans="2:14">
      <c r="C29" t="s">
        <v>1587</v>
      </c>
      <c r="D29" s="4">
        <v>5</v>
      </c>
      <c r="E29" s="4">
        <v>1</v>
      </c>
      <c r="F29" s="4"/>
      <c r="G29" s="4">
        <v>1</v>
      </c>
      <c r="H29" s="4">
        <v>5</v>
      </c>
      <c r="I29" t="e">
        <f t="shared" si="0"/>
        <v>#DIV/0!</v>
      </c>
      <c r="J29" t="e">
        <f t="shared" si="1"/>
        <v>#DIV/0!</v>
      </c>
    </row>
    <row r="30" spans="2:14">
      <c r="C30" t="s">
        <v>1707</v>
      </c>
      <c r="D30" s="4">
        <v>1</v>
      </c>
      <c r="E30" s="4"/>
      <c r="F30" s="4"/>
      <c r="G30" s="4">
        <v>1</v>
      </c>
      <c r="H30" s="4">
        <v>1</v>
      </c>
      <c r="I30" t="e">
        <f t="shared" si="0"/>
        <v>#DIV/0!</v>
      </c>
      <c r="J30" t="e">
        <f t="shared" si="1"/>
        <v>#DIV/0!</v>
      </c>
    </row>
    <row r="31" spans="2:14">
      <c r="B31" s="3" t="s">
        <v>3737</v>
      </c>
      <c r="D31" s="4">
        <v>14</v>
      </c>
      <c r="E31" s="4">
        <v>6</v>
      </c>
      <c r="F31" s="4"/>
      <c r="G31" s="4">
        <v>2</v>
      </c>
      <c r="H31" s="4">
        <v>14</v>
      </c>
      <c r="I31" t="e">
        <f t="shared" si="0"/>
        <v>#VALUE!</v>
      </c>
      <c r="J31" t="e">
        <f t="shared" si="1"/>
        <v>#VALUE!</v>
      </c>
    </row>
    <row r="32" spans="2:14">
      <c r="B32" s="3" t="s">
        <v>3728</v>
      </c>
      <c r="C32" t="s">
        <v>1593</v>
      </c>
      <c r="D32" s="4">
        <v>2</v>
      </c>
      <c r="E32" s="4"/>
      <c r="F32" s="4"/>
      <c r="G32" s="4"/>
      <c r="H32" s="4">
        <v>1</v>
      </c>
      <c r="I32" t="e">
        <f t="shared" si="0"/>
        <v>#VALUE!</v>
      </c>
      <c r="J32" t="e">
        <f t="shared" si="1"/>
        <v>#VALUE!</v>
      </c>
      <c r="N32">
        <f>9/88</f>
        <v>0.10227272727272728</v>
      </c>
    </row>
    <row r="33" spans="1:22">
      <c r="C33" t="s">
        <v>1857</v>
      </c>
      <c r="D33" s="4">
        <v>18</v>
      </c>
      <c r="E33" s="4">
        <v>2</v>
      </c>
      <c r="F33" s="4">
        <v>5</v>
      </c>
      <c r="G33" s="4">
        <v>3</v>
      </c>
      <c r="H33" s="4">
        <v>18</v>
      </c>
      <c r="N33">
        <f>13/88</f>
        <v>0.14772727272727273</v>
      </c>
    </row>
    <row r="34" spans="1:22">
      <c r="C34" t="s">
        <v>1587</v>
      </c>
      <c r="D34" s="4">
        <v>3</v>
      </c>
      <c r="E34" s="4">
        <v>2</v>
      </c>
      <c r="F34" s="4"/>
      <c r="G34" s="4"/>
      <c r="H34" s="4">
        <v>3</v>
      </c>
    </row>
    <row r="35" spans="1:22">
      <c r="B35" s="3" t="s">
        <v>3738</v>
      </c>
      <c r="D35" s="4">
        <v>23</v>
      </c>
      <c r="E35" s="4">
        <v>4</v>
      </c>
      <c r="F35" s="4">
        <v>5</v>
      </c>
      <c r="G35" s="4">
        <v>3</v>
      </c>
      <c r="H35" s="4">
        <v>22</v>
      </c>
      <c r="I35" t="e">
        <f>_xlfn.STDEV.S(I5:I32)</f>
        <v>#VALUE!</v>
      </c>
      <c r="J35" t="e">
        <f>_xlfn.STDEV.S(J5:J32)</f>
        <v>#VALUE!</v>
      </c>
    </row>
    <row r="36" spans="1:22">
      <c r="B36" s="3" t="s">
        <v>3729</v>
      </c>
      <c r="C36" t="s">
        <v>1593</v>
      </c>
      <c r="D36" s="4">
        <v>2</v>
      </c>
      <c r="E36" s="4"/>
      <c r="F36" s="4"/>
      <c r="G36" s="4"/>
      <c r="H36" s="4">
        <v>2</v>
      </c>
    </row>
    <row r="37" spans="1:22">
      <c r="C37" t="s">
        <v>1857</v>
      </c>
      <c r="D37" s="4">
        <v>5</v>
      </c>
      <c r="E37" s="4">
        <v>1</v>
      </c>
      <c r="F37" s="4"/>
      <c r="G37" s="4">
        <v>2</v>
      </c>
      <c r="H37" s="4">
        <v>5</v>
      </c>
    </row>
    <row r="38" spans="1:22">
      <c r="C38" t="s">
        <v>1587</v>
      </c>
      <c r="D38" s="4">
        <v>3</v>
      </c>
      <c r="E38" s="4">
        <v>1</v>
      </c>
      <c r="F38" s="4"/>
      <c r="G38" s="4"/>
      <c r="H38" s="4">
        <v>3</v>
      </c>
    </row>
    <row r="39" spans="1:22">
      <c r="B39" s="3" t="s">
        <v>3739</v>
      </c>
      <c r="D39" s="4">
        <v>10</v>
      </c>
      <c r="E39" s="4">
        <v>2</v>
      </c>
      <c r="F39" s="4"/>
      <c r="G39" s="4">
        <v>2</v>
      </c>
      <c r="H39" s="4">
        <v>10</v>
      </c>
    </row>
    <row r="40" spans="1:22">
      <c r="A40" t="s">
        <v>1871</v>
      </c>
      <c r="D40" s="4">
        <v>88</v>
      </c>
      <c r="E40" s="4">
        <v>18</v>
      </c>
      <c r="F40" s="4">
        <v>9</v>
      </c>
      <c r="G40" s="4">
        <v>13</v>
      </c>
      <c r="H40" s="4">
        <v>87</v>
      </c>
    </row>
    <row r="43" spans="1:22">
      <c r="H43">
        <v>3</v>
      </c>
    </row>
    <row r="45" spans="1:22">
      <c r="L45" t="s">
        <v>3716</v>
      </c>
      <c r="O45" t="s">
        <v>3718</v>
      </c>
      <c r="R45" t="s">
        <v>3740</v>
      </c>
      <c r="U45" t="s">
        <v>3741</v>
      </c>
    </row>
    <row r="46" spans="1:22">
      <c r="L46" t="s">
        <v>3713</v>
      </c>
      <c r="M46">
        <v>4</v>
      </c>
      <c r="O46" t="s">
        <v>3713</v>
      </c>
      <c r="P46">
        <v>6</v>
      </c>
      <c r="R46" t="s">
        <v>3713</v>
      </c>
      <c r="S46">
        <v>6</v>
      </c>
      <c r="U46" t="s">
        <v>3713</v>
      </c>
      <c r="V46">
        <v>12</v>
      </c>
    </row>
    <row r="47" spans="1:22">
      <c r="L47" t="s">
        <v>3714</v>
      </c>
      <c r="M47">
        <v>8</v>
      </c>
      <c r="O47" t="s">
        <v>3714</v>
      </c>
      <c r="P47">
        <v>11</v>
      </c>
      <c r="R47" t="s">
        <v>3714</v>
      </c>
      <c r="S47">
        <v>8</v>
      </c>
      <c r="U47" t="s">
        <v>3714</v>
      </c>
      <c r="V47">
        <v>22</v>
      </c>
    </row>
    <row r="48" spans="1:22">
      <c r="L48" t="s">
        <v>3715</v>
      </c>
      <c r="M48">
        <v>2</v>
      </c>
      <c r="O48" t="s">
        <v>3715</v>
      </c>
      <c r="P48">
        <v>3</v>
      </c>
      <c r="R48" t="s">
        <v>3715</v>
      </c>
      <c r="S48">
        <v>2</v>
      </c>
      <c r="U48" t="s">
        <v>3715</v>
      </c>
      <c r="V48">
        <v>3</v>
      </c>
    </row>
    <row r="50" spans="12:22">
      <c r="L50" t="s">
        <v>3717</v>
      </c>
      <c r="M50">
        <v>4</v>
      </c>
      <c r="O50" t="s">
        <v>3717</v>
      </c>
      <c r="P50">
        <v>4</v>
      </c>
      <c r="R50" t="s">
        <v>3717</v>
      </c>
      <c r="S50">
        <v>10</v>
      </c>
      <c r="U50" t="s">
        <v>3717</v>
      </c>
      <c r="V50">
        <v>18</v>
      </c>
    </row>
    <row r="51" spans="12:22">
      <c r="L51" t="s">
        <v>3714</v>
      </c>
      <c r="M51">
        <v>8</v>
      </c>
      <c r="O51" t="s">
        <v>3714</v>
      </c>
      <c r="P51">
        <v>18</v>
      </c>
      <c r="R51" t="s">
        <v>3714</v>
      </c>
      <c r="S51">
        <v>29</v>
      </c>
      <c r="U51" t="s">
        <v>3714</v>
      </c>
      <c r="V51">
        <v>45</v>
      </c>
    </row>
    <row r="52" spans="12:22">
      <c r="L52" t="s">
        <v>3715</v>
      </c>
      <c r="M52">
        <v>2</v>
      </c>
      <c r="O52" t="s">
        <v>3715</v>
      </c>
      <c r="P52">
        <v>2</v>
      </c>
      <c r="R52" t="s">
        <v>3715</v>
      </c>
      <c r="S52">
        <v>2</v>
      </c>
      <c r="U52" t="s">
        <v>3715</v>
      </c>
      <c r="V52">
        <v>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N1173"/>
  <sheetViews>
    <sheetView topLeftCell="A508" workbookViewId="0">
      <selection activeCell="H575" sqref="H575"/>
    </sheetView>
  </sheetViews>
  <sheetFormatPr baseColWidth="10" defaultColWidth="11" defaultRowHeight="15" x14ac:dyDescent="0"/>
  <cols>
    <col min="1" max="1" width="41.6640625" bestFit="1" customWidth="1"/>
    <col min="2" max="2" width="9" customWidth="1"/>
    <col min="3" max="3" width="17.33203125" style="2" customWidth="1"/>
    <col min="4" max="4" width="17.1640625" bestFit="1" customWidth="1"/>
    <col min="5" max="5" width="16.1640625" style="8" bestFit="1" customWidth="1"/>
    <col min="6" max="6" width="17.1640625" style="8" bestFit="1" customWidth="1"/>
    <col min="7" max="7" width="17.33203125" bestFit="1" customWidth="1"/>
    <col min="8" max="8" width="33.33203125" bestFit="1" customWidth="1"/>
    <col min="9" max="9" width="9.6640625" customWidth="1"/>
    <col min="10" max="11" width="4.1640625" bestFit="1" customWidth="1"/>
    <col min="12" max="12" width="8.6640625" customWidth="1"/>
    <col min="13" max="13" width="3.6640625" hidden="1" customWidth="1"/>
    <col min="14" max="14" width="4" hidden="1" customWidth="1"/>
    <col min="15" max="15" width="4.6640625" hidden="1" customWidth="1"/>
    <col min="16" max="16" width="5.5" hidden="1" customWidth="1"/>
    <col min="17" max="17" width="19.33203125" bestFit="1" customWidth="1"/>
    <col min="18" max="19" width="18.6640625" bestFit="1" customWidth="1"/>
    <col min="22" max="22" width="17.1640625" bestFit="1" customWidth="1"/>
    <col min="23" max="23" width="18.1640625" bestFit="1" customWidth="1"/>
    <col min="24" max="24" width="19.1640625" bestFit="1" customWidth="1"/>
  </cols>
  <sheetData>
    <row r="1" spans="1:24" ht="18">
      <c r="A1" s="13" t="s">
        <v>1858</v>
      </c>
      <c r="B1" s="13"/>
      <c r="C1" s="14"/>
      <c r="D1" s="13"/>
      <c r="E1" s="15" t="s">
        <v>286</v>
      </c>
      <c r="F1" s="15" t="s">
        <v>287</v>
      </c>
      <c r="G1" s="13" t="s">
        <v>1959</v>
      </c>
      <c r="H1" s="13" t="s">
        <v>333</v>
      </c>
      <c r="I1" s="13" t="s">
        <v>326</v>
      </c>
      <c r="J1" s="13" t="s">
        <v>327</v>
      </c>
      <c r="K1" s="13" t="s">
        <v>328</v>
      </c>
      <c r="L1" s="13" t="s">
        <v>1859</v>
      </c>
      <c r="Q1" s="13" t="s">
        <v>1860</v>
      </c>
      <c r="R1" s="13" t="s">
        <v>1861</v>
      </c>
      <c r="S1" s="13" t="s">
        <v>1862</v>
      </c>
    </row>
    <row r="2" spans="1:24">
      <c r="A2" t="s">
        <v>1480</v>
      </c>
      <c r="C2" t="s">
        <v>530</v>
      </c>
      <c r="D2" s="3">
        <v>39893.090613425928</v>
      </c>
      <c r="E2" s="8" t="s">
        <v>1481</v>
      </c>
      <c r="F2" s="8" t="s">
        <v>1482</v>
      </c>
      <c r="G2" s="2" t="s">
        <v>288</v>
      </c>
      <c r="H2" s="3">
        <v>39898.036435185182</v>
      </c>
      <c r="L2">
        <f t="shared" ref="L2:L65" si="0">COUNTA(I2:K2)</f>
        <v>0</v>
      </c>
      <c r="Q2" t="str">
        <f>IF(I2&gt;0,CONCATENATE("MC,",E2,",",F2),"")</f>
        <v/>
      </c>
      <c r="R2" t="str">
        <f>IF(J2&gt;0,CONCATENATE("BC,",E2,",",F2),"")</f>
        <v/>
      </c>
      <c r="S2" t="str">
        <f>IF(K2&gt;0,CONCATENATE("TC,",E2,",",F2),"")</f>
        <v/>
      </c>
    </row>
    <row r="3" spans="1:24">
      <c r="A3" t="s">
        <v>1026</v>
      </c>
      <c r="C3" t="s">
        <v>530</v>
      </c>
      <c r="D3" s="3">
        <v>39900.904675925929</v>
      </c>
      <c r="E3" s="8" t="s">
        <v>1027</v>
      </c>
      <c r="F3" s="8" t="s">
        <v>1028</v>
      </c>
      <c r="G3" s="2" t="s">
        <v>288</v>
      </c>
      <c r="H3" s="3">
        <v>39905.113761574074</v>
      </c>
      <c r="I3">
        <v>1</v>
      </c>
      <c r="L3">
        <f t="shared" si="0"/>
        <v>1</v>
      </c>
      <c r="Q3" t="str">
        <f t="shared" ref="Q3:Q66" si="1">IF(I3&gt;0,CONCATENATE("MC,",E3,",",F3),"")</f>
        <v>MC,33ae00e,687e584</v>
      </c>
      <c r="R3" t="str">
        <f t="shared" ref="R3:R66" si="2">IF(J3&gt;0,CONCATENATE("BC,",E3,",",F3),"")</f>
        <v/>
      </c>
      <c r="S3" t="str">
        <f t="shared" ref="S3:S66" si="3">IF(K3&gt;0,CONCATENATE("TC,",E3,",",F3),"")</f>
        <v/>
      </c>
    </row>
    <row r="4" spans="1:24">
      <c r="A4" t="s">
        <v>1306</v>
      </c>
      <c r="C4" t="s">
        <v>530</v>
      </c>
      <c r="D4" s="3">
        <v>39910.032314814816</v>
      </c>
      <c r="E4" s="8" t="s">
        <v>1307</v>
      </c>
      <c r="F4" s="8" t="s">
        <v>1308</v>
      </c>
      <c r="G4" s="2" t="s">
        <v>288</v>
      </c>
      <c r="H4" s="3">
        <v>39911.65797453704</v>
      </c>
      <c r="L4">
        <f t="shared" si="0"/>
        <v>0</v>
      </c>
      <c r="Q4" t="str">
        <f t="shared" si="1"/>
        <v/>
      </c>
      <c r="R4" t="str">
        <f t="shared" si="2"/>
        <v/>
      </c>
      <c r="S4" t="str">
        <f t="shared" si="3"/>
        <v/>
      </c>
      <c r="V4" s="12" t="s">
        <v>1895</v>
      </c>
      <c r="W4" s="12" t="s">
        <v>1896</v>
      </c>
      <c r="X4" s="12" t="s">
        <v>1897</v>
      </c>
    </row>
    <row r="5" spans="1:24">
      <c r="A5" t="s">
        <v>1483</v>
      </c>
      <c r="C5" t="s">
        <v>530</v>
      </c>
      <c r="D5" s="3">
        <v>39914.093275462961</v>
      </c>
      <c r="E5" s="8" t="s">
        <v>1484</v>
      </c>
      <c r="F5" s="8" t="s">
        <v>1485</v>
      </c>
      <c r="G5" s="2" t="s">
        <v>288</v>
      </c>
      <c r="H5" s="3">
        <v>39918.878067129626</v>
      </c>
      <c r="L5">
        <f t="shared" si="0"/>
        <v>0</v>
      </c>
      <c r="Q5" t="str">
        <f t="shared" si="1"/>
        <v/>
      </c>
      <c r="R5" t="str">
        <f t="shared" si="2"/>
        <v/>
      </c>
      <c r="S5" t="str">
        <f t="shared" si="3"/>
        <v/>
      </c>
      <c r="V5" s="35" t="s">
        <v>1898</v>
      </c>
      <c r="W5" s="30">
        <v>40630</v>
      </c>
      <c r="X5" s="30">
        <v>40636.999988425923</v>
      </c>
    </row>
    <row r="6" spans="1:24">
      <c r="A6" t="s">
        <v>1049</v>
      </c>
      <c r="C6" t="s">
        <v>530</v>
      </c>
      <c r="D6" s="3">
        <v>39921.033379629633</v>
      </c>
      <c r="E6" s="8" t="s">
        <v>1050</v>
      </c>
      <c r="F6" s="8" t="s">
        <v>1051</v>
      </c>
      <c r="G6" s="2" t="s">
        <v>1052</v>
      </c>
      <c r="H6" s="3">
        <v>39925.883125</v>
      </c>
      <c r="L6">
        <f t="shared" si="0"/>
        <v>0</v>
      </c>
      <c r="Q6" t="str">
        <f t="shared" si="1"/>
        <v/>
      </c>
      <c r="R6" t="str">
        <f t="shared" si="2"/>
        <v/>
      </c>
      <c r="S6" t="str">
        <f t="shared" si="3"/>
        <v/>
      </c>
      <c r="V6" s="36" t="s">
        <v>1899</v>
      </c>
      <c r="W6" s="30">
        <v>40518</v>
      </c>
      <c r="X6" s="30">
        <v>40524.999988425923</v>
      </c>
    </row>
    <row r="7" spans="1:24">
      <c r="A7" t="s">
        <v>1157</v>
      </c>
      <c r="C7" t="s">
        <v>530</v>
      </c>
      <c r="D7" s="3">
        <v>39928.391759259262</v>
      </c>
      <c r="E7" s="8" t="s">
        <v>1158</v>
      </c>
      <c r="F7" s="8" t="s">
        <v>1159</v>
      </c>
      <c r="G7" s="2" t="s">
        <v>288</v>
      </c>
      <c r="H7" s="3">
        <v>39932.706689814811</v>
      </c>
      <c r="I7">
        <v>1</v>
      </c>
      <c r="J7">
        <v>1</v>
      </c>
      <c r="L7">
        <f t="shared" si="0"/>
        <v>2</v>
      </c>
      <c r="Q7" t="str">
        <f t="shared" si="1"/>
        <v>MC,3f9a630,15e4a36</v>
      </c>
      <c r="R7" t="str">
        <f t="shared" si="2"/>
        <v>BC,3f9a630,15e4a36</v>
      </c>
      <c r="S7" t="str">
        <f t="shared" si="3"/>
        <v/>
      </c>
    </row>
    <row r="8" spans="1:24">
      <c r="A8" t="s">
        <v>742</v>
      </c>
      <c r="C8" t="s">
        <v>530</v>
      </c>
      <c r="D8" s="3">
        <v>39936.949571759258</v>
      </c>
      <c r="E8" s="8">
        <v>4478896</v>
      </c>
      <c r="F8" s="8" t="s">
        <v>743</v>
      </c>
      <c r="G8" s="2" t="s">
        <v>288</v>
      </c>
      <c r="H8" s="3">
        <v>39940.06658564815</v>
      </c>
      <c r="L8">
        <f t="shared" si="0"/>
        <v>0</v>
      </c>
      <c r="Q8" t="str">
        <f t="shared" si="1"/>
        <v/>
      </c>
      <c r="R8" t="str">
        <f t="shared" si="2"/>
        <v/>
      </c>
      <c r="S8" t="str">
        <f t="shared" si="3"/>
        <v/>
      </c>
      <c r="V8" s="12" t="s">
        <v>1888</v>
      </c>
    </row>
    <row r="9" spans="1:24">
      <c r="A9" t="s">
        <v>529</v>
      </c>
      <c r="C9" t="s">
        <v>530</v>
      </c>
      <c r="D9" s="3">
        <v>39942.053391203706</v>
      </c>
      <c r="E9" s="8" t="s">
        <v>531</v>
      </c>
      <c r="F9" s="8" t="s">
        <v>532</v>
      </c>
      <c r="G9" t="s">
        <v>288</v>
      </c>
      <c r="H9" s="3">
        <v>39946.927361111113</v>
      </c>
      <c r="I9">
        <v>1</v>
      </c>
      <c r="L9">
        <f t="shared" si="0"/>
        <v>1</v>
      </c>
      <c r="Q9" t="str">
        <f t="shared" si="1"/>
        <v>MC,ba87adf,ea0ed93</v>
      </c>
      <c r="R9" t="str">
        <f t="shared" si="2"/>
        <v/>
      </c>
      <c r="S9" t="str">
        <f t="shared" si="3"/>
        <v/>
      </c>
      <c r="V9" s="37" t="s">
        <v>1898</v>
      </c>
      <c r="W9" s="32">
        <v>40695</v>
      </c>
      <c r="X9" s="32">
        <v>40724.999305555553</v>
      </c>
    </row>
    <row r="10" spans="1:24">
      <c r="A10" t="s">
        <v>1428</v>
      </c>
      <c r="C10" t="s">
        <v>1429</v>
      </c>
      <c r="D10" s="3">
        <v>40099.921585648146</v>
      </c>
      <c r="E10" s="8" t="s">
        <v>1430</v>
      </c>
      <c r="F10" s="8" t="s">
        <v>1431</v>
      </c>
      <c r="G10" s="2" t="s">
        <v>1432</v>
      </c>
      <c r="H10" s="3">
        <v>40100.831192129626</v>
      </c>
      <c r="K10">
        <v>1</v>
      </c>
      <c r="L10">
        <f t="shared" si="0"/>
        <v>1</v>
      </c>
      <c r="Q10" t="str">
        <f t="shared" si="1"/>
        <v/>
      </c>
      <c r="R10" t="str">
        <f t="shared" si="2"/>
        <v/>
      </c>
      <c r="S10" t="str">
        <f t="shared" si="3"/>
        <v>TC,c59e4c5,fb0be6e</v>
      </c>
      <c r="V10" s="38" t="s">
        <v>1900</v>
      </c>
      <c r="W10" s="32">
        <v>40940</v>
      </c>
      <c r="X10" s="32">
        <v>40968.999305555553</v>
      </c>
    </row>
    <row r="11" spans="1:24">
      <c r="A11" t="s">
        <v>944</v>
      </c>
      <c r="C11" t="s">
        <v>457</v>
      </c>
      <c r="D11" s="3">
        <v>40207.568842592591</v>
      </c>
      <c r="E11" s="8" t="s">
        <v>945</v>
      </c>
      <c r="F11" s="8" t="s">
        <v>946</v>
      </c>
      <c r="G11" s="2" t="s">
        <v>530</v>
      </c>
      <c r="H11" s="3">
        <v>40212.765219907407</v>
      </c>
      <c r="L11">
        <f t="shared" si="0"/>
        <v>0</v>
      </c>
      <c r="Q11" t="str">
        <f t="shared" si="1"/>
        <v/>
      </c>
      <c r="R11" t="str">
        <f t="shared" si="2"/>
        <v/>
      </c>
      <c r="S11" t="str">
        <f t="shared" si="3"/>
        <v/>
      </c>
    </row>
    <row r="12" spans="1:24">
      <c r="A12" t="s">
        <v>1181</v>
      </c>
      <c r="C12" t="s">
        <v>1182</v>
      </c>
      <c r="D12" s="3">
        <v>40277.906354166669</v>
      </c>
      <c r="E12" s="8" t="s">
        <v>1183</v>
      </c>
      <c r="F12" s="8" t="s">
        <v>1184</v>
      </c>
      <c r="G12" s="2" t="s">
        <v>530</v>
      </c>
      <c r="H12" s="3">
        <v>40282.033888888887</v>
      </c>
      <c r="L12">
        <f t="shared" si="0"/>
        <v>0</v>
      </c>
      <c r="Q12" t="str">
        <f t="shared" si="1"/>
        <v/>
      </c>
      <c r="R12" t="str">
        <f t="shared" si="2"/>
        <v/>
      </c>
      <c r="S12" t="str">
        <f t="shared" si="3"/>
        <v/>
      </c>
      <c r="V12" s="12" t="s">
        <v>1922</v>
      </c>
    </row>
    <row r="13" spans="1:24">
      <c r="A13" t="s">
        <v>1368</v>
      </c>
      <c r="C13" t="s">
        <v>1369</v>
      </c>
      <c r="D13" s="3">
        <v>40303.637442129628</v>
      </c>
      <c r="E13" s="8" t="s">
        <v>1370</v>
      </c>
      <c r="F13" s="8" t="s">
        <v>1371</v>
      </c>
      <c r="G13" s="2" t="s">
        <v>879</v>
      </c>
      <c r="H13" s="3">
        <v>40303.846678240741</v>
      </c>
      <c r="L13">
        <f t="shared" si="0"/>
        <v>0</v>
      </c>
      <c r="Q13" t="str">
        <f t="shared" si="1"/>
        <v/>
      </c>
      <c r="R13" t="str">
        <f t="shared" si="2"/>
        <v/>
      </c>
      <c r="S13" t="str">
        <f t="shared" si="3"/>
        <v/>
      </c>
      <c r="V13" s="52" t="s">
        <v>1898</v>
      </c>
      <c r="W13" s="32">
        <v>40634</v>
      </c>
      <c r="X13" s="32">
        <v>40724.999305555553</v>
      </c>
    </row>
    <row r="14" spans="1:24">
      <c r="A14" s="1" t="s">
        <v>787</v>
      </c>
      <c r="C14" t="s">
        <v>457</v>
      </c>
      <c r="D14" s="3">
        <v>40444.878923611112</v>
      </c>
      <c r="E14" s="8" t="s">
        <v>788</v>
      </c>
      <c r="F14" s="8" t="s">
        <v>789</v>
      </c>
      <c r="G14" s="2" t="s">
        <v>790</v>
      </c>
      <c r="H14" s="3">
        <v>40444.955520833333</v>
      </c>
      <c r="L14">
        <f t="shared" si="0"/>
        <v>0</v>
      </c>
      <c r="Q14" t="str">
        <f t="shared" si="1"/>
        <v/>
      </c>
      <c r="R14" t="str">
        <f t="shared" si="2"/>
        <v/>
      </c>
      <c r="S14" t="str">
        <f t="shared" si="3"/>
        <v/>
      </c>
      <c r="V14" s="53" t="s">
        <v>1899</v>
      </c>
      <c r="W14" s="32">
        <v>40452</v>
      </c>
      <c r="X14" s="32">
        <v>40543.999988425923</v>
      </c>
    </row>
    <row r="15" spans="1:24">
      <c r="A15" t="s">
        <v>876</v>
      </c>
      <c r="C15" t="s">
        <v>530</v>
      </c>
      <c r="D15" s="3">
        <v>39949.063275462962</v>
      </c>
      <c r="E15" s="8" t="s">
        <v>877</v>
      </c>
      <c r="F15" s="8" t="s">
        <v>878</v>
      </c>
      <c r="G15" s="2" t="s">
        <v>879</v>
      </c>
      <c r="H15" s="3">
        <v>40499.962569444448</v>
      </c>
      <c r="L15">
        <f t="shared" si="0"/>
        <v>0</v>
      </c>
      <c r="Q15" t="str">
        <f t="shared" si="1"/>
        <v/>
      </c>
      <c r="R15" t="str">
        <f t="shared" si="2"/>
        <v/>
      </c>
      <c r="S15" t="str">
        <f t="shared" si="3"/>
        <v/>
      </c>
      <c r="W15" s="30"/>
    </row>
    <row r="16" spans="1:24">
      <c r="A16" t="s">
        <v>802</v>
      </c>
      <c r="C16" t="s">
        <v>530</v>
      </c>
      <c r="D16" s="3">
        <v>40502.075266203705</v>
      </c>
      <c r="E16" s="8" t="s">
        <v>803</v>
      </c>
      <c r="F16" s="8" t="s">
        <v>804</v>
      </c>
      <c r="G16" s="2" t="s">
        <v>288</v>
      </c>
      <c r="H16" s="3">
        <v>40504.752476851849</v>
      </c>
      <c r="I16">
        <v>1</v>
      </c>
      <c r="L16">
        <f t="shared" si="0"/>
        <v>1</v>
      </c>
      <c r="Q16" t="str">
        <f t="shared" si="1"/>
        <v>MC,607ea34,2f7f5c9</v>
      </c>
      <c r="R16" t="str">
        <f t="shared" si="2"/>
        <v/>
      </c>
      <c r="S16" t="str">
        <f t="shared" si="3"/>
        <v/>
      </c>
      <c r="V16" s="12" t="s">
        <v>1926</v>
      </c>
    </row>
    <row r="17" spans="1:24">
      <c r="A17" t="s">
        <v>1557</v>
      </c>
      <c r="C17" t="s">
        <v>457</v>
      </c>
      <c r="D17" s="3">
        <v>40467.920011574075</v>
      </c>
      <c r="E17" s="8" t="s">
        <v>1558</v>
      </c>
      <c r="F17" s="8" t="s">
        <v>1559</v>
      </c>
      <c r="G17" s="2" t="s">
        <v>325</v>
      </c>
      <c r="H17" s="3">
        <v>40507.288275462961</v>
      </c>
      <c r="I17">
        <v>1</v>
      </c>
      <c r="K17">
        <v>1</v>
      </c>
      <c r="L17">
        <f t="shared" si="0"/>
        <v>2</v>
      </c>
      <c r="Q17" t="str">
        <f t="shared" si="1"/>
        <v>MC,55b7d25,494ac30</v>
      </c>
      <c r="R17" t="str">
        <f t="shared" si="2"/>
        <v/>
      </c>
      <c r="S17" t="str">
        <f t="shared" si="3"/>
        <v>TC,55b7d25,494ac30</v>
      </c>
      <c r="V17" s="54" t="s">
        <v>1898</v>
      </c>
      <c r="W17" s="32">
        <v>40544</v>
      </c>
      <c r="X17" s="32">
        <v>40724.999988425923</v>
      </c>
    </row>
    <row r="18" spans="1:24">
      <c r="A18" t="s">
        <v>1554</v>
      </c>
      <c r="C18" t="s">
        <v>288</v>
      </c>
      <c r="D18" s="3">
        <v>40505.761203703703</v>
      </c>
      <c r="E18" s="8" t="s">
        <v>1555</v>
      </c>
      <c r="F18" s="8" t="s">
        <v>1556</v>
      </c>
      <c r="G18" s="4" t="s">
        <v>336</v>
      </c>
      <c r="H18" s="3">
        <v>40507.33699074074</v>
      </c>
      <c r="J18">
        <v>1</v>
      </c>
      <c r="L18">
        <f t="shared" si="0"/>
        <v>1</v>
      </c>
      <c r="Q18" t="str">
        <f t="shared" si="1"/>
        <v/>
      </c>
      <c r="R18" t="str">
        <f t="shared" si="2"/>
        <v>BC,00e7372,3bce100</v>
      </c>
      <c r="S18" t="str">
        <f t="shared" si="3"/>
        <v/>
      </c>
      <c r="V18" s="55" t="s">
        <v>1899</v>
      </c>
      <c r="W18" s="32">
        <v>40909</v>
      </c>
      <c r="X18" s="32">
        <v>41090.999988425923</v>
      </c>
    </row>
    <row r="19" spans="1:24">
      <c r="A19" t="s">
        <v>1372</v>
      </c>
      <c r="C19" t="s">
        <v>1373</v>
      </c>
      <c r="D19" s="3">
        <v>40508.872094907405</v>
      </c>
      <c r="E19" s="8" t="s">
        <v>1374</v>
      </c>
      <c r="F19" s="8" t="s">
        <v>1375</v>
      </c>
      <c r="G19" s="2" t="s">
        <v>288</v>
      </c>
      <c r="H19" s="3">
        <v>40509.376701388886</v>
      </c>
      <c r="L19">
        <f t="shared" si="0"/>
        <v>0</v>
      </c>
      <c r="Q19" t="str">
        <f t="shared" si="1"/>
        <v/>
      </c>
      <c r="R19" t="str">
        <f t="shared" si="2"/>
        <v/>
      </c>
      <c r="S19" t="str">
        <f t="shared" si="3"/>
        <v/>
      </c>
    </row>
    <row r="20" spans="1:24">
      <c r="A20" t="s">
        <v>386</v>
      </c>
      <c r="B20" t="s">
        <v>1190</v>
      </c>
      <c r="C20" s="2" t="s">
        <v>288</v>
      </c>
      <c r="D20" s="3">
        <v>40514.691863425927</v>
      </c>
      <c r="E20" s="8" t="s">
        <v>387</v>
      </c>
      <c r="F20" s="8" t="s">
        <v>388</v>
      </c>
      <c r="G20" s="4" t="s">
        <v>389</v>
      </c>
      <c r="H20" s="3">
        <v>40514.933900462966</v>
      </c>
      <c r="I20">
        <v>1</v>
      </c>
      <c r="J20">
        <v>1</v>
      </c>
      <c r="L20">
        <f t="shared" si="0"/>
        <v>2</v>
      </c>
      <c r="Q20" t="str">
        <f t="shared" si="1"/>
        <v>MC,e605d33,6e011bc</v>
      </c>
      <c r="R20" t="str">
        <f t="shared" si="2"/>
        <v>BC,e605d33,6e011bc</v>
      </c>
      <c r="S20" t="str">
        <f t="shared" si="3"/>
        <v/>
      </c>
    </row>
    <row r="21" spans="1:24">
      <c r="A21" t="s">
        <v>337</v>
      </c>
      <c r="B21" t="s">
        <v>151</v>
      </c>
      <c r="C21" s="2" t="s">
        <v>338</v>
      </c>
      <c r="D21" s="3">
        <v>40508.599814814814</v>
      </c>
      <c r="E21" s="8" t="s">
        <v>339</v>
      </c>
      <c r="F21" s="8" t="s">
        <v>340</v>
      </c>
      <c r="G21" s="4" t="s">
        <v>288</v>
      </c>
      <c r="H21" s="3">
        <v>40517.305925925924</v>
      </c>
      <c r="I21">
        <v>1</v>
      </c>
      <c r="L21">
        <f t="shared" si="0"/>
        <v>1</v>
      </c>
      <c r="Q21" t="str">
        <f t="shared" si="1"/>
        <v>MC,776008c,733954e</v>
      </c>
      <c r="R21" t="str">
        <f t="shared" si="2"/>
        <v/>
      </c>
      <c r="S21" t="str">
        <f t="shared" si="3"/>
        <v/>
      </c>
    </row>
    <row r="22" spans="1:24">
      <c r="A22" t="s">
        <v>1211</v>
      </c>
      <c r="C22" t="s">
        <v>288</v>
      </c>
      <c r="D22" s="3">
        <v>40517.303680555553</v>
      </c>
      <c r="E22" s="8" t="s">
        <v>1212</v>
      </c>
      <c r="F22" s="8" t="s">
        <v>1213</v>
      </c>
      <c r="G22" s="2" t="s">
        <v>289</v>
      </c>
      <c r="H22" s="3">
        <v>40517.945347222223</v>
      </c>
      <c r="L22">
        <f t="shared" si="0"/>
        <v>0</v>
      </c>
      <c r="Q22" t="str">
        <f t="shared" si="1"/>
        <v/>
      </c>
      <c r="R22" t="str">
        <f t="shared" si="2"/>
        <v/>
      </c>
      <c r="S22" t="str">
        <f t="shared" si="3"/>
        <v/>
      </c>
    </row>
    <row r="23" spans="1:24">
      <c r="A23" t="s">
        <v>404</v>
      </c>
      <c r="B23" t="s">
        <v>510</v>
      </c>
      <c r="C23" t="s">
        <v>405</v>
      </c>
      <c r="D23" s="3">
        <v>40518.567939814813</v>
      </c>
      <c r="E23" s="8" t="s">
        <v>406</v>
      </c>
      <c r="F23" s="8" t="s">
        <v>407</v>
      </c>
      <c r="G23" s="4" t="s">
        <v>300</v>
      </c>
      <c r="H23" s="3">
        <v>40518.891203703701</v>
      </c>
      <c r="I23">
        <v>1</v>
      </c>
      <c r="L23">
        <f t="shared" si="0"/>
        <v>1</v>
      </c>
      <c r="Q23" t="str">
        <f t="shared" si="1"/>
        <v>MC,56ebe8f,bdb4df1</v>
      </c>
      <c r="R23" t="str">
        <f t="shared" si="2"/>
        <v/>
      </c>
      <c r="S23" t="str">
        <f t="shared" si="3"/>
        <v/>
      </c>
    </row>
    <row r="24" spans="1:24">
      <c r="A24" t="s">
        <v>1341</v>
      </c>
      <c r="C24" t="s">
        <v>325</v>
      </c>
      <c r="D24" s="3">
        <v>40519.596168981479</v>
      </c>
      <c r="E24" s="8" t="s">
        <v>1342</v>
      </c>
      <c r="F24" s="8" t="s">
        <v>1343</v>
      </c>
      <c r="G24" s="2" t="s">
        <v>288</v>
      </c>
      <c r="H24" s="3">
        <v>40519.638553240744</v>
      </c>
      <c r="L24">
        <f t="shared" si="0"/>
        <v>0</v>
      </c>
      <c r="Q24" t="str">
        <f t="shared" si="1"/>
        <v/>
      </c>
      <c r="R24" t="str">
        <f t="shared" si="2"/>
        <v/>
      </c>
      <c r="S24" t="str">
        <f t="shared" si="3"/>
        <v/>
      </c>
    </row>
    <row r="25" spans="1:24">
      <c r="A25" t="s">
        <v>550</v>
      </c>
      <c r="C25" t="s">
        <v>288</v>
      </c>
      <c r="D25" s="3">
        <v>40522.390347222223</v>
      </c>
      <c r="E25" s="8" t="s">
        <v>551</v>
      </c>
      <c r="F25" s="8" t="s">
        <v>552</v>
      </c>
      <c r="G25" s="4" t="s">
        <v>553</v>
      </c>
      <c r="H25" s="3">
        <v>40522.539201388892</v>
      </c>
      <c r="L25">
        <f t="shared" si="0"/>
        <v>0</v>
      </c>
      <c r="Q25" t="str">
        <f t="shared" si="1"/>
        <v/>
      </c>
      <c r="R25" t="str">
        <f t="shared" si="2"/>
        <v/>
      </c>
      <c r="S25" t="str">
        <f t="shared" si="3"/>
        <v/>
      </c>
    </row>
    <row r="26" spans="1:24">
      <c r="A26" t="s">
        <v>1445</v>
      </c>
      <c r="C26" t="s">
        <v>288</v>
      </c>
      <c r="D26" s="3">
        <v>40522.390347222223</v>
      </c>
      <c r="E26" s="8" t="s">
        <v>551</v>
      </c>
      <c r="F26" s="8" t="s">
        <v>1575</v>
      </c>
      <c r="G26" s="4" t="s">
        <v>336</v>
      </c>
      <c r="H26" s="3">
        <v>40522.554756944446</v>
      </c>
      <c r="L26">
        <f t="shared" si="0"/>
        <v>0</v>
      </c>
      <c r="Q26" t="str">
        <f t="shared" si="1"/>
        <v/>
      </c>
      <c r="R26" t="str">
        <f t="shared" si="2"/>
        <v/>
      </c>
      <c r="S26" t="str">
        <f t="shared" si="3"/>
        <v/>
      </c>
    </row>
    <row r="27" spans="1:24">
      <c r="A27" t="s">
        <v>860</v>
      </c>
      <c r="C27" t="s">
        <v>288</v>
      </c>
      <c r="D27" s="3">
        <v>40523.504479166666</v>
      </c>
      <c r="E27" s="8" t="s">
        <v>861</v>
      </c>
      <c r="F27" s="8" t="s">
        <v>862</v>
      </c>
      <c r="G27" s="4" t="s">
        <v>336</v>
      </c>
      <c r="H27" s="3">
        <v>40523.921863425923</v>
      </c>
      <c r="J27">
        <v>1</v>
      </c>
      <c r="L27">
        <f t="shared" si="0"/>
        <v>1</v>
      </c>
      <c r="Q27" t="str">
        <f t="shared" si="1"/>
        <v/>
      </c>
      <c r="R27" t="str">
        <f t="shared" si="2"/>
        <v>BC,fb38fc1,89f159f</v>
      </c>
      <c r="S27" t="str">
        <f t="shared" si="3"/>
        <v/>
      </c>
    </row>
    <row r="28" spans="1:24">
      <c r="A28" t="s">
        <v>456</v>
      </c>
      <c r="B28" t="s">
        <v>1131</v>
      </c>
      <c r="C28" t="s">
        <v>457</v>
      </c>
      <c r="D28" s="3">
        <v>40444.905590277776</v>
      </c>
      <c r="E28" s="8" t="s">
        <v>458</v>
      </c>
      <c r="F28" s="8" t="s">
        <v>459</v>
      </c>
      <c r="G28" s="4" t="s">
        <v>289</v>
      </c>
      <c r="H28" s="3">
        <v>40524.062430555554</v>
      </c>
      <c r="L28">
        <f t="shared" si="0"/>
        <v>0</v>
      </c>
      <c r="Q28" t="str">
        <f t="shared" si="1"/>
        <v/>
      </c>
      <c r="R28" t="str">
        <f t="shared" si="2"/>
        <v/>
      </c>
      <c r="S28" t="str">
        <f t="shared" si="3"/>
        <v/>
      </c>
    </row>
    <row r="29" spans="1:24">
      <c r="A29" t="s">
        <v>1063</v>
      </c>
      <c r="C29" t="s">
        <v>457</v>
      </c>
      <c r="D29" s="3">
        <v>40523.732025462959</v>
      </c>
      <c r="E29" s="8" t="s">
        <v>1064</v>
      </c>
      <c r="F29" s="8" t="s">
        <v>1065</v>
      </c>
      <c r="G29" s="2" t="s">
        <v>288</v>
      </c>
      <c r="H29" s="3">
        <v>40525.596828703703</v>
      </c>
      <c r="L29">
        <f t="shared" si="0"/>
        <v>0</v>
      </c>
      <c r="Q29" t="str">
        <f t="shared" si="1"/>
        <v/>
      </c>
      <c r="R29" t="str">
        <f t="shared" si="2"/>
        <v/>
      </c>
      <c r="S29" t="str">
        <f t="shared" si="3"/>
        <v/>
      </c>
    </row>
    <row r="30" spans="1:24">
      <c r="A30" t="s">
        <v>600</v>
      </c>
      <c r="C30" t="s">
        <v>288</v>
      </c>
      <c r="D30" s="3">
        <v>40527.728773148148</v>
      </c>
      <c r="E30" s="8" t="s">
        <v>601</v>
      </c>
      <c r="F30" s="8" t="s">
        <v>602</v>
      </c>
      <c r="G30" s="2" t="s">
        <v>289</v>
      </c>
      <c r="H30" s="3">
        <v>40527.879988425928</v>
      </c>
      <c r="L30">
        <f t="shared" si="0"/>
        <v>0</v>
      </c>
      <c r="Q30" t="str">
        <f t="shared" si="1"/>
        <v/>
      </c>
      <c r="R30" t="str">
        <f t="shared" si="2"/>
        <v/>
      </c>
      <c r="S30" t="str">
        <f t="shared" si="3"/>
        <v/>
      </c>
    </row>
    <row r="31" spans="1:24">
      <c r="A31" t="s">
        <v>1142</v>
      </c>
      <c r="C31" t="s">
        <v>288</v>
      </c>
      <c r="D31" s="3">
        <v>40528.452407407407</v>
      </c>
      <c r="E31" s="8" t="s">
        <v>1143</v>
      </c>
      <c r="F31" s="8" t="s">
        <v>1144</v>
      </c>
      <c r="G31" s="4" t="s">
        <v>336</v>
      </c>
      <c r="H31" s="3">
        <v>40528.863287037035</v>
      </c>
      <c r="L31">
        <f t="shared" si="0"/>
        <v>0</v>
      </c>
      <c r="Q31" t="str">
        <f t="shared" si="1"/>
        <v/>
      </c>
      <c r="R31" t="str">
        <f t="shared" si="2"/>
        <v/>
      </c>
      <c r="S31" t="str">
        <f t="shared" si="3"/>
        <v/>
      </c>
    </row>
    <row r="32" spans="1:24">
      <c r="A32" t="s">
        <v>1193</v>
      </c>
      <c r="C32" t="s">
        <v>288</v>
      </c>
      <c r="D32" s="3">
        <v>40529.678680555553</v>
      </c>
      <c r="E32" s="8" t="s">
        <v>1194</v>
      </c>
      <c r="F32" s="8" t="s">
        <v>1195</v>
      </c>
      <c r="G32" s="4" t="s">
        <v>336</v>
      </c>
      <c r="H32" s="3">
        <v>40530.061516203707</v>
      </c>
      <c r="L32">
        <f t="shared" si="0"/>
        <v>0</v>
      </c>
      <c r="Q32" t="str">
        <f t="shared" si="1"/>
        <v/>
      </c>
      <c r="R32" t="str">
        <f t="shared" si="2"/>
        <v/>
      </c>
      <c r="S32" t="str">
        <f t="shared" si="3"/>
        <v/>
      </c>
    </row>
    <row r="33" spans="1:40">
      <c r="A33" t="s">
        <v>1294</v>
      </c>
      <c r="C33" t="s">
        <v>288</v>
      </c>
      <c r="D33" s="3">
        <v>40535.434062499997</v>
      </c>
      <c r="E33" s="8" t="s">
        <v>1295</v>
      </c>
      <c r="F33" s="8" t="s">
        <v>1296</v>
      </c>
      <c r="G33" s="2" t="s">
        <v>300</v>
      </c>
      <c r="H33" s="3">
        <v>40535.823576388888</v>
      </c>
      <c r="I33">
        <v>1</v>
      </c>
      <c r="L33">
        <f t="shared" si="0"/>
        <v>1</v>
      </c>
      <c r="Q33" t="str">
        <f t="shared" si="1"/>
        <v>MC,226b35c,7cf3f7f</v>
      </c>
      <c r="R33" t="str">
        <f t="shared" si="2"/>
        <v/>
      </c>
      <c r="S33" t="str">
        <f t="shared" si="3"/>
        <v/>
      </c>
    </row>
    <row r="34" spans="1:40">
      <c r="A34" t="s">
        <v>1560</v>
      </c>
      <c r="C34" t="s">
        <v>300</v>
      </c>
      <c r="D34" s="3">
        <v>40536.4531712963</v>
      </c>
      <c r="E34" s="8" t="s">
        <v>1561</v>
      </c>
      <c r="F34" s="8" t="s">
        <v>1562</v>
      </c>
      <c r="G34" s="2" t="s">
        <v>289</v>
      </c>
      <c r="H34" s="3">
        <v>40536.920590277776</v>
      </c>
      <c r="K34">
        <v>1</v>
      </c>
      <c r="L34">
        <f t="shared" si="0"/>
        <v>1</v>
      </c>
      <c r="Q34" t="str">
        <f t="shared" si="1"/>
        <v/>
      </c>
      <c r="R34" t="str">
        <f t="shared" si="2"/>
        <v/>
      </c>
      <c r="S34" t="str">
        <f t="shared" si="3"/>
        <v>TC,c4ad972,535e968</v>
      </c>
    </row>
    <row r="35" spans="1:40">
      <c r="A35" t="s">
        <v>744</v>
      </c>
      <c r="C35" t="s">
        <v>300</v>
      </c>
      <c r="D35" s="3">
        <v>40536.596516203703</v>
      </c>
      <c r="E35" s="8" t="s">
        <v>745</v>
      </c>
      <c r="F35" s="8" t="s">
        <v>746</v>
      </c>
      <c r="G35" s="2" t="s">
        <v>289</v>
      </c>
      <c r="H35" s="3">
        <v>40536.929976851854</v>
      </c>
      <c r="L35">
        <f t="shared" si="0"/>
        <v>0</v>
      </c>
      <c r="Q35" t="str">
        <f t="shared" si="1"/>
        <v/>
      </c>
      <c r="R35" t="str">
        <f t="shared" si="2"/>
        <v/>
      </c>
      <c r="S35" t="str">
        <f t="shared" si="3"/>
        <v/>
      </c>
    </row>
    <row r="36" spans="1:40">
      <c r="A36" s="1" t="s">
        <v>344</v>
      </c>
      <c r="B36" t="s">
        <v>802</v>
      </c>
      <c r="C36" s="2" t="s">
        <v>300</v>
      </c>
      <c r="D36" s="3">
        <v>40518.919710648152</v>
      </c>
      <c r="E36" s="8" t="s">
        <v>345</v>
      </c>
      <c r="F36" s="8" t="s">
        <v>346</v>
      </c>
      <c r="G36" s="4" t="s">
        <v>289</v>
      </c>
      <c r="H36" s="3">
        <v>40536.930995370371</v>
      </c>
      <c r="L36">
        <f t="shared" si="0"/>
        <v>0</v>
      </c>
      <c r="Q36" t="str">
        <f t="shared" si="1"/>
        <v/>
      </c>
      <c r="R36" t="str">
        <f t="shared" si="2"/>
        <v/>
      </c>
      <c r="S36" t="str">
        <f t="shared" si="3"/>
        <v/>
      </c>
    </row>
    <row r="37" spans="1:40">
      <c r="A37" t="s">
        <v>1297</v>
      </c>
      <c r="C37" t="s">
        <v>289</v>
      </c>
      <c r="D37" s="3">
        <v>40538.407430555555</v>
      </c>
      <c r="E37" s="8" t="s">
        <v>1298</v>
      </c>
      <c r="F37" s="8" t="s">
        <v>1299</v>
      </c>
      <c r="G37" s="2" t="s">
        <v>288</v>
      </c>
      <c r="H37" s="3">
        <v>40538.434918981482</v>
      </c>
      <c r="L37">
        <f t="shared" si="0"/>
        <v>0</v>
      </c>
      <c r="Q37" t="str">
        <f t="shared" si="1"/>
        <v/>
      </c>
      <c r="R37" t="str">
        <f t="shared" si="2"/>
        <v/>
      </c>
      <c r="S37" t="str">
        <f t="shared" si="3"/>
        <v/>
      </c>
    </row>
    <row r="38" spans="1:40">
      <c r="A38" t="s">
        <v>747</v>
      </c>
      <c r="C38" t="s">
        <v>300</v>
      </c>
      <c r="D38" s="3">
        <v>40537.418761574074</v>
      </c>
      <c r="E38" s="8" t="s">
        <v>748</v>
      </c>
      <c r="F38" s="8" t="s">
        <v>749</v>
      </c>
      <c r="G38" s="2" t="s">
        <v>288</v>
      </c>
      <c r="H38" s="3">
        <v>40538.437731481485</v>
      </c>
      <c r="L38">
        <f t="shared" si="0"/>
        <v>0</v>
      </c>
      <c r="Q38" t="str">
        <f t="shared" si="1"/>
        <v/>
      </c>
      <c r="R38" t="str">
        <f t="shared" si="2"/>
        <v/>
      </c>
      <c r="S38" t="str">
        <f t="shared" si="3"/>
        <v/>
      </c>
    </row>
    <row r="39" spans="1:40">
      <c r="A39" t="s">
        <v>847</v>
      </c>
      <c r="C39" t="s">
        <v>300</v>
      </c>
      <c r="D39" s="3">
        <v>40540.951574074075</v>
      </c>
      <c r="E39" s="8" t="s">
        <v>848</v>
      </c>
      <c r="F39" s="8" t="s">
        <v>849</v>
      </c>
      <c r="G39" s="2" t="s">
        <v>289</v>
      </c>
      <c r="H39" s="3">
        <v>40540.993888888886</v>
      </c>
      <c r="L39">
        <f t="shared" si="0"/>
        <v>0</v>
      </c>
      <c r="Q39" t="str">
        <f t="shared" si="1"/>
        <v/>
      </c>
      <c r="R39" t="str">
        <f t="shared" si="2"/>
        <v/>
      </c>
      <c r="S39" t="str">
        <f t="shared" si="3"/>
        <v/>
      </c>
    </row>
    <row r="40" spans="1:40">
      <c r="A40" t="s">
        <v>1456</v>
      </c>
      <c r="C40" t="s">
        <v>288</v>
      </c>
      <c r="D40" s="3">
        <v>40543.905497685184</v>
      </c>
      <c r="E40" s="8" t="s">
        <v>1457</v>
      </c>
      <c r="F40" s="8" t="s">
        <v>1458</v>
      </c>
      <c r="G40" s="2" t="s">
        <v>289</v>
      </c>
      <c r="H40" s="3">
        <v>40544.072847222225</v>
      </c>
      <c r="J40">
        <v>1</v>
      </c>
      <c r="L40">
        <f t="shared" si="0"/>
        <v>1</v>
      </c>
      <c r="Q40" t="str">
        <f t="shared" si="1"/>
        <v/>
      </c>
      <c r="R40" t="str">
        <f t="shared" si="2"/>
        <v>BC,ce36242,3f72e02</v>
      </c>
      <c r="S40" t="str">
        <f t="shared" si="3"/>
        <v/>
      </c>
    </row>
    <row r="41" spans="1:40">
      <c r="A41" t="s">
        <v>1018</v>
      </c>
      <c r="C41" t="s">
        <v>288</v>
      </c>
      <c r="D41" s="3">
        <v>40549.471030092594</v>
      </c>
      <c r="E41" s="8" t="s">
        <v>1019</v>
      </c>
      <c r="F41" s="8" t="s">
        <v>1020</v>
      </c>
      <c r="G41" s="4" t="s">
        <v>336</v>
      </c>
      <c r="H41" s="3">
        <v>40549.546238425923</v>
      </c>
      <c r="L41">
        <f t="shared" si="0"/>
        <v>0</v>
      </c>
      <c r="Q41" t="str">
        <f t="shared" si="1"/>
        <v/>
      </c>
      <c r="R41" t="str">
        <f t="shared" si="2"/>
        <v/>
      </c>
      <c r="S41" t="str">
        <f t="shared" si="3"/>
        <v/>
      </c>
      <c r="AM41" s="28">
        <v>40483</v>
      </c>
      <c r="AN41" s="27">
        <v>40756</v>
      </c>
    </row>
    <row r="42" spans="1:40">
      <c r="A42" t="s">
        <v>439</v>
      </c>
      <c r="B42" t="s">
        <v>1492</v>
      </c>
      <c r="C42" t="s">
        <v>440</v>
      </c>
      <c r="D42" s="3">
        <v>40546.617766203701</v>
      </c>
      <c r="E42" s="8" t="s">
        <v>441</v>
      </c>
      <c r="F42" s="8" t="s">
        <v>442</v>
      </c>
      <c r="G42" s="4" t="s">
        <v>288</v>
      </c>
      <c r="H42" s="3">
        <v>40549.66642361111</v>
      </c>
      <c r="L42">
        <f t="shared" si="0"/>
        <v>0</v>
      </c>
      <c r="Q42" t="str">
        <f t="shared" si="1"/>
        <v/>
      </c>
      <c r="R42" t="str">
        <f t="shared" si="2"/>
        <v/>
      </c>
      <c r="S42" t="str">
        <f t="shared" si="3"/>
        <v/>
      </c>
      <c r="AM42" s="27">
        <v>40787</v>
      </c>
      <c r="AN42" s="28">
        <v>41061</v>
      </c>
    </row>
    <row r="43" spans="1:40">
      <c r="A43" t="s">
        <v>1320</v>
      </c>
      <c r="C43" t="s">
        <v>288</v>
      </c>
      <c r="D43" s="3">
        <v>40548.932314814818</v>
      </c>
      <c r="E43" s="8" t="s">
        <v>1321</v>
      </c>
      <c r="F43" s="8" t="s">
        <v>1322</v>
      </c>
      <c r="G43" s="2" t="s">
        <v>300</v>
      </c>
      <c r="H43" s="3">
        <v>40549.899421296293</v>
      </c>
      <c r="L43">
        <f t="shared" si="0"/>
        <v>0</v>
      </c>
      <c r="Q43" t="str">
        <f t="shared" si="1"/>
        <v/>
      </c>
      <c r="R43" t="str">
        <f t="shared" si="2"/>
        <v/>
      </c>
      <c r="S43" t="str">
        <f t="shared" si="3"/>
        <v/>
      </c>
    </row>
    <row r="44" spans="1:40">
      <c r="A44" t="s">
        <v>1513</v>
      </c>
      <c r="C44" t="s">
        <v>300</v>
      </c>
      <c r="D44" s="3">
        <v>40551.934120370373</v>
      </c>
      <c r="E44" s="8" t="s">
        <v>1514</v>
      </c>
      <c r="F44" s="8" t="s">
        <v>1515</v>
      </c>
      <c r="G44" s="2" t="s">
        <v>288</v>
      </c>
      <c r="H44" s="3">
        <v>40552.756388888891</v>
      </c>
      <c r="K44">
        <v>1</v>
      </c>
      <c r="L44">
        <f t="shared" si="0"/>
        <v>1</v>
      </c>
      <c r="Q44" t="str">
        <f t="shared" si="1"/>
        <v/>
      </c>
      <c r="R44" t="str">
        <f t="shared" si="2"/>
        <v/>
      </c>
      <c r="S44" t="str">
        <f t="shared" si="3"/>
        <v>TC,b97ad46,e9fe92c</v>
      </c>
    </row>
    <row r="45" spans="1:40">
      <c r="A45" t="s">
        <v>921</v>
      </c>
      <c r="C45" t="s">
        <v>300</v>
      </c>
      <c r="D45" s="3">
        <v>40553.773032407407</v>
      </c>
      <c r="E45" s="8" t="s">
        <v>922</v>
      </c>
      <c r="F45" s="8" t="s">
        <v>923</v>
      </c>
      <c r="G45" s="2" t="s">
        <v>1577</v>
      </c>
      <c r="H45" s="3">
        <v>40553.889745370368</v>
      </c>
      <c r="K45">
        <v>1</v>
      </c>
      <c r="L45">
        <f t="shared" si="0"/>
        <v>1</v>
      </c>
      <c r="Q45" t="str">
        <f t="shared" si="1"/>
        <v/>
      </c>
      <c r="R45" t="str">
        <f t="shared" si="2"/>
        <v/>
      </c>
      <c r="S45" t="str">
        <f t="shared" si="3"/>
        <v>TC,4895dbe,89d0d84</v>
      </c>
    </row>
    <row r="46" spans="1:40">
      <c r="A46" t="s">
        <v>1285</v>
      </c>
      <c r="C46" t="s">
        <v>300</v>
      </c>
      <c r="D46" s="3">
        <v>40553.986111111109</v>
      </c>
      <c r="E46" s="8" t="s">
        <v>1286</v>
      </c>
      <c r="F46" s="8" t="s">
        <v>1287</v>
      </c>
      <c r="G46" s="2" t="s">
        <v>438</v>
      </c>
      <c r="H46" s="3">
        <v>40554.458240740743</v>
      </c>
      <c r="L46">
        <f t="shared" si="0"/>
        <v>0</v>
      </c>
      <c r="Q46" t="str">
        <f t="shared" si="1"/>
        <v/>
      </c>
      <c r="R46" t="str">
        <f t="shared" si="2"/>
        <v/>
      </c>
      <c r="S46" t="str">
        <f t="shared" si="3"/>
        <v/>
      </c>
    </row>
    <row r="47" spans="1:40">
      <c r="A47" t="s">
        <v>1334</v>
      </c>
      <c r="C47" t="s">
        <v>438</v>
      </c>
      <c r="D47" s="3">
        <v>40554.459247685183</v>
      </c>
      <c r="E47" s="8" t="s">
        <v>1335</v>
      </c>
      <c r="F47" s="8" t="s">
        <v>1336</v>
      </c>
      <c r="G47" s="2" t="s">
        <v>974</v>
      </c>
      <c r="H47" s="3">
        <v>40554.584340277775</v>
      </c>
      <c r="L47">
        <f t="shared" si="0"/>
        <v>0</v>
      </c>
      <c r="Q47" t="str">
        <f t="shared" si="1"/>
        <v/>
      </c>
      <c r="R47" t="str">
        <f t="shared" si="2"/>
        <v/>
      </c>
      <c r="S47" t="str">
        <f t="shared" si="3"/>
        <v/>
      </c>
    </row>
    <row r="48" spans="1:40">
      <c r="A48" t="s">
        <v>1203</v>
      </c>
      <c r="C48" t="s">
        <v>974</v>
      </c>
      <c r="D48" s="3">
        <v>40554.584861111114</v>
      </c>
      <c r="E48" s="8" t="s">
        <v>1204</v>
      </c>
      <c r="F48" s="8" t="s">
        <v>1205</v>
      </c>
      <c r="G48" s="2" t="s">
        <v>300</v>
      </c>
      <c r="H48" s="3">
        <v>40554.60297453704</v>
      </c>
      <c r="L48">
        <f t="shared" si="0"/>
        <v>0</v>
      </c>
      <c r="Q48" t="str">
        <f t="shared" si="1"/>
        <v/>
      </c>
      <c r="R48" t="str">
        <f t="shared" si="2"/>
        <v/>
      </c>
      <c r="S48" t="str">
        <f t="shared" si="3"/>
        <v/>
      </c>
    </row>
    <row r="49" spans="1:19">
      <c r="A49" t="s">
        <v>1323</v>
      </c>
      <c r="C49" t="s">
        <v>288</v>
      </c>
      <c r="D49" s="3">
        <v>40550.691168981481</v>
      </c>
      <c r="E49" s="8" t="s">
        <v>1324</v>
      </c>
      <c r="F49" s="8" t="s">
        <v>1325</v>
      </c>
      <c r="G49" s="4" t="s">
        <v>336</v>
      </c>
      <c r="H49" s="3">
        <v>40555.787164351852</v>
      </c>
      <c r="L49">
        <f t="shared" si="0"/>
        <v>0</v>
      </c>
      <c r="Q49" t="str">
        <f t="shared" si="1"/>
        <v/>
      </c>
      <c r="R49" t="str">
        <f t="shared" si="2"/>
        <v/>
      </c>
      <c r="S49" t="str">
        <f t="shared" si="3"/>
        <v/>
      </c>
    </row>
    <row r="50" spans="1:19">
      <c r="A50" t="s">
        <v>1563</v>
      </c>
      <c r="C50" t="s">
        <v>300</v>
      </c>
      <c r="D50" s="3">
        <v>40555.813067129631</v>
      </c>
      <c r="E50" s="8" t="s">
        <v>1564</v>
      </c>
      <c r="F50" s="8" t="s">
        <v>1565</v>
      </c>
      <c r="G50" s="2" t="s">
        <v>288</v>
      </c>
      <c r="H50" s="3">
        <v>40555.908032407409</v>
      </c>
      <c r="J50">
        <v>1</v>
      </c>
      <c r="L50">
        <f t="shared" si="0"/>
        <v>1</v>
      </c>
      <c r="Q50" t="str">
        <f t="shared" si="1"/>
        <v/>
      </c>
      <c r="R50" t="str">
        <f t="shared" si="2"/>
        <v>BC,520900a,5b8f472</v>
      </c>
      <c r="S50" t="str">
        <f t="shared" si="3"/>
        <v/>
      </c>
    </row>
    <row r="51" spans="1:19">
      <c r="A51" t="s">
        <v>498</v>
      </c>
      <c r="C51" t="s">
        <v>300</v>
      </c>
      <c r="D51" s="3">
        <v>40556.537094907406</v>
      </c>
      <c r="E51" s="8" t="s">
        <v>499</v>
      </c>
      <c r="F51" s="8" t="s">
        <v>500</v>
      </c>
      <c r="G51" s="4" t="s">
        <v>289</v>
      </c>
      <c r="H51" s="3">
        <v>40556.874988425923</v>
      </c>
      <c r="L51">
        <f t="shared" si="0"/>
        <v>0</v>
      </c>
      <c r="Q51" t="str">
        <f t="shared" si="1"/>
        <v/>
      </c>
      <c r="R51" t="str">
        <f t="shared" si="2"/>
        <v/>
      </c>
      <c r="S51" t="str">
        <f t="shared" si="3"/>
        <v/>
      </c>
    </row>
    <row r="52" spans="1:19">
      <c r="A52" t="s">
        <v>683</v>
      </c>
      <c r="C52" t="s">
        <v>300</v>
      </c>
      <c r="D52" s="3">
        <v>40556.644803240742</v>
      </c>
      <c r="E52" s="8" t="s">
        <v>684</v>
      </c>
      <c r="F52" s="8" t="s">
        <v>685</v>
      </c>
      <c r="G52" s="2" t="s">
        <v>289</v>
      </c>
      <c r="H52" s="3">
        <v>40556.875520833331</v>
      </c>
      <c r="L52">
        <f t="shared" si="0"/>
        <v>0</v>
      </c>
      <c r="Q52" t="str">
        <f t="shared" si="1"/>
        <v/>
      </c>
      <c r="R52" t="str">
        <f t="shared" si="2"/>
        <v/>
      </c>
      <c r="S52" t="str">
        <f t="shared" si="3"/>
        <v/>
      </c>
    </row>
    <row r="53" spans="1:19">
      <c r="A53" t="s">
        <v>1464</v>
      </c>
      <c r="C53" t="s">
        <v>288</v>
      </c>
      <c r="D53" s="3">
        <v>40558.448784722219</v>
      </c>
      <c r="E53" s="8" t="s">
        <v>1465</v>
      </c>
      <c r="F53" s="8" t="s">
        <v>1466</v>
      </c>
      <c r="G53" s="2" t="s">
        <v>289</v>
      </c>
      <c r="H53" s="3">
        <v>40558.887719907405</v>
      </c>
      <c r="L53">
        <f t="shared" si="0"/>
        <v>0</v>
      </c>
      <c r="Q53" t="str">
        <f t="shared" si="1"/>
        <v/>
      </c>
      <c r="R53" t="str">
        <f t="shared" si="2"/>
        <v/>
      </c>
      <c r="S53" t="str">
        <f t="shared" si="3"/>
        <v/>
      </c>
    </row>
    <row r="54" spans="1:19">
      <c r="A54" t="s">
        <v>503</v>
      </c>
      <c r="C54" t="s">
        <v>325</v>
      </c>
      <c r="D54" s="3">
        <v>40562.502291666664</v>
      </c>
      <c r="E54" s="8" t="s">
        <v>504</v>
      </c>
      <c r="F54" s="8" t="s">
        <v>505</v>
      </c>
      <c r="G54" s="4" t="s">
        <v>506</v>
      </c>
      <c r="H54" s="3">
        <v>40564.619722222225</v>
      </c>
      <c r="L54">
        <f t="shared" si="0"/>
        <v>0</v>
      </c>
      <c r="Q54" t="str">
        <f t="shared" si="1"/>
        <v/>
      </c>
      <c r="R54" t="str">
        <f t="shared" si="2"/>
        <v/>
      </c>
      <c r="S54" t="str">
        <f t="shared" si="3"/>
        <v/>
      </c>
    </row>
    <row r="55" spans="1:19">
      <c r="A55" t="s">
        <v>501</v>
      </c>
      <c r="C55" t="s">
        <v>288</v>
      </c>
      <c r="D55" s="3">
        <v>40564.434467592589</v>
      </c>
      <c r="E55" s="8">
        <v>8411557</v>
      </c>
      <c r="F55" s="8" t="s">
        <v>502</v>
      </c>
      <c r="G55" s="4" t="s">
        <v>336</v>
      </c>
      <c r="H55" s="3">
        <v>40564.982905092591</v>
      </c>
      <c r="L55">
        <f t="shared" si="0"/>
        <v>0</v>
      </c>
      <c r="Q55" t="str">
        <f t="shared" si="1"/>
        <v/>
      </c>
      <c r="R55" t="str">
        <f t="shared" si="2"/>
        <v/>
      </c>
      <c r="S55" t="str">
        <f t="shared" si="3"/>
        <v/>
      </c>
    </row>
    <row r="56" spans="1:19">
      <c r="A56" t="s">
        <v>408</v>
      </c>
      <c r="B56" t="s">
        <v>396</v>
      </c>
      <c r="C56" t="s">
        <v>288</v>
      </c>
      <c r="D56" s="3">
        <v>40572.676898148151</v>
      </c>
      <c r="E56" s="8" t="s">
        <v>409</v>
      </c>
      <c r="F56" s="8" t="s">
        <v>410</v>
      </c>
      <c r="G56" s="4" t="s">
        <v>411</v>
      </c>
      <c r="H56" s="3">
        <v>40573.577893518515</v>
      </c>
      <c r="L56">
        <f t="shared" si="0"/>
        <v>0</v>
      </c>
      <c r="Q56" t="str">
        <f t="shared" si="1"/>
        <v/>
      </c>
      <c r="R56" t="str">
        <f t="shared" si="2"/>
        <v/>
      </c>
      <c r="S56" t="str">
        <f t="shared" si="3"/>
        <v/>
      </c>
    </row>
    <row r="57" spans="1:19">
      <c r="A57" t="s">
        <v>478</v>
      </c>
      <c r="B57" t="s">
        <v>870</v>
      </c>
      <c r="C57" t="s">
        <v>479</v>
      </c>
      <c r="D57" s="3">
        <v>40574.381307870368</v>
      </c>
      <c r="E57" s="8" t="s">
        <v>480</v>
      </c>
      <c r="F57" s="8" t="s">
        <v>481</v>
      </c>
      <c r="G57" s="4" t="s">
        <v>288</v>
      </c>
      <c r="H57" s="3">
        <v>40574.42083333333</v>
      </c>
      <c r="L57">
        <f t="shared" si="0"/>
        <v>0</v>
      </c>
      <c r="Q57" t="str">
        <f t="shared" si="1"/>
        <v/>
      </c>
      <c r="R57" t="str">
        <f t="shared" si="2"/>
        <v/>
      </c>
      <c r="S57" t="str">
        <f t="shared" si="3"/>
        <v/>
      </c>
    </row>
    <row r="58" spans="1:19">
      <c r="A58" t="s">
        <v>693</v>
      </c>
      <c r="C58" t="s">
        <v>694</v>
      </c>
      <c r="D58" s="3">
        <v>40573.971655092595</v>
      </c>
      <c r="E58" s="8" t="s">
        <v>695</v>
      </c>
      <c r="F58" s="8" t="s">
        <v>696</v>
      </c>
      <c r="G58" s="2" t="s">
        <v>288</v>
      </c>
      <c r="H58" s="3">
        <v>40574.54105324074</v>
      </c>
      <c r="L58">
        <f t="shared" si="0"/>
        <v>0</v>
      </c>
      <c r="Q58" t="str">
        <f t="shared" si="1"/>
        <v/>
      </c>
      <c r="R58" t="str">
        <f t="shared" si="2"/>
        <v/>
      </c>
      <c r="S58" t="str">
        <f t="shared" si="3"/>
        <v/>
      </c>
    </row>
    <row r="59" spans="1:19">
      <c r="A59" t="s">
        <v>614</v>
      </c>
      <c r="C59" t="s">
        <v>288</v>
      </c>
      <c r="D59" s="3">
        <v>40574.799120370371</v>
      </c>
      <c r="E59" s="8" t="s">
        <v>615</v>
      </c>
      <c r="F59" s="8" t="s">
        <v>616</v>
      </c>
      <c r="G59" s="4" t="s">
        <v>336</v>
      </c>
      <c r="H59" s="3">
        <v>40574.80190972222</v>
      </c>
      <c r="L59">
        <f t="shared" si="0"/>
        <v>0</v>
      </c>
      <c r="Q59" t="str">
        <f t="shared" si="1"/>
        <v/>
      </c>
      <c r="R59" t="str">
        <f t="shared" si="2"/>
        <v/>
      </c>
      <c r="S59" t="str">
        <f t="shared" si="3"/>
        <v/>
      </c>
    </row>
    <row r="60" spans="1:19">
      <c r="A60" t="s">
        <v>1337</v>
      </c>
      <c r="C60" t="s">
        <v>288</v>
      </c>
      <c r="D60" s="3">
        <v>40574.709537037037</v>
      </c>
      <c r="E60" s="8" t="s">
        <v>1338</v>
      </c>
      <c r="F60" s="8" t="s">
        <v>1339</v>
      </c>
      <c r="G60" s="2" t="s">
        <v>1340</v>
      </c>
      <c r="H60" s="3">
        <v>40574.87431712963</v>
      </c>
      <c r="L60">
        <f t="shared" si="0"/>
        <v>0</v>
      </c>
      <c r="Q60" t="str">
        <f t="shared" si="1"/>
        <v/>
      </c>
      <c r="R60" t="str">
        <f t="shared" si="2"/>
        <v/>
      </c>
      <c r="S60" t="str">
        <f t="shared" si="3"/>
        <v/>
      </c>
    </row>
    <row r="61" spans="1:19">
      <c r="A61" t="s">
        <v>603</v>
      </c>
      <c r="C61" t="s">
        <v>288</v>
      </c>
      <c r="D61" s="3">
        <v>40574.547835648147</v>
      </c>
      <c r="E61" s="8" t="s">
        <v>604</v>
      </c>
      <c r="F61" s="8" t="s">
        <v>605</v>
      </c>
      <c r="G61" s="2" t="s">
        <v>289</v>
      </c>
      <c r="H61" s="3">
        <v>40575.479837962965</v>
      </c>
      <c r="L61">
        <f t="shared" si="0"/>
        <v>0</v>
      </c>
      <c r="Q61" t="str">
        <f t="shared" si="1"/>
        <v/>
      </c>
      <c r="R61" t="str">
        <f t="shared" si="2"/>
        <v/>
      </c>
      <c r="S61" t="str">
        <f t="shared" si="3"/>
        <v/>
      </c>
    </row>
    <row r="62" spans="1:19">
      <c r="A62" s="1" t="s">
        <v>617</v>
      </c>
      <c r="C62" t="s">
        <v>288</v>
      </c>
      <c r="D62" s="3">
        <v>40576.402361111112</v>
      </c>
      <c r="E62" s="8" t="s">
        <v>618</v>
      </c>
      <c r="F62" s="8" t="s">
        <v>619</v>
      </c>
      <c r="G62" s="4" t="s">
        <v>336</v>
      </c>
      <c r="H62" s="3">
        <v>40576.508020833331</v>
      </c>
      <c r="L62">
        <f t="shared" si="0"/>
        <v>0</v>
      </c>
      <c r="Q62" t="str">
        <f t="shared" si="1"/>
        <v/>
      </c>
      <c r="R62" t="str">
        <f t="shared" si="2"/>
        <v/>
      </c>
      <c r="S62" t="str">
        <f t="shared" si="3"/>
        <v/>
      </c>
    </row>
    <row r="63" spans="1:19">
      <c r="A63" t="s">
        <v>1326</v>
      </c>
      <c r="C63" t="s">
        <v>309</v>
      </c>
      <c r="D63" s="3">
        <v>40577.588402777779</v>
      </c>
      <c r="E63" s="8" t="s">
        <v>1327</v>
      </c>
      <c r="F63" s="8" t="s">
        <v>1328</v>
      </c>
      <c r="G63" s="2" t="s">
        <v>763</v>
      </c>
      <c r="H63" s="3">
        <v>40578.446875000001</v>
      </c>
      <c r="L63">
        <f t="shared" si="0"/>
        <v>0</v>
      </c>
      <c r="Q63" t="str">
        <f t="shared" si="1"/>
        <v/>
      </c>
      <c r="R63" t="str">
        <f t="shared" si="2"/>
        <v/>
      </c>
      <c r="S63" t="str">
        <f t="shared" si="3"/>
        <v/>
      </c>
    </row>
    <row r="64" spans="1:19">
      <c r="A64" t="s">
        <v>1196</v>
      </c>
      <c r="C64" t="s">
        <v>309</v>
      </c>
      <c r="D64" s="3">
        <v>40577.911863425928</v>
      </c>
      <c r="E64" s="8" t="s">
        <v>1197</v>
      </c>
      <c r="F64" s="8" t="s">
        <v>1198</v>
      </c>
      <c r="G64" s="2" t="s">
        <v>295</v>
      </c>
      <c r="H64" s="3">
        <v>40578.490266203706</v>
      </c>
      <c r="L64">
        <f t="shared" si="0"/>
        <v>0</v>
      </c>
      <c r="Q64" t="str">
        <f t="shared" si="1"/>
        <v/>
      </c>
      <c r="R64" t="str">
        <f t="shared" si="2"/>
        <v/>
      </c>
      <c r="S64" t="str">
        <f t="shared" si="3"/>
        <v/>
      </c>
    </row>
    <row r="65" spans="1:19">
      <c r="A65" t="s">
        <v>1531</v>
      </c>
      <c r="C65" t="s">
        <v>763</v>
      </c>
      <c r="D65" s="3">
        <v>40578.446875000001</v>
      </c>
      <c r="E65" s="8" t="s">
        <v>1328</v>
      </c>
      <c r="F65" s="8" t="s">
        <v>1532</v>
      </c>
      <c r="G65" s="2" t="s">
        <v>309</v>
      </c>
      <c r="H65" s="3">
        <v>40578.534942129627</v>
      </c>
      <c r="J65">
        <v>1</v>
      </c>
      <c r="L65">
        <f t="shared" si="0"/>
        <v>1</v>
      </c>
      <c r="Q65" t="str">
        <f t="shared" si="1"/>
        <v/>
      </c>
      <c r="R65" t="str">
        <f t="shared" si="2"/>
        <v>BC,c3e7be3,020a4ee</v>
      </c>
      <c r="S65" t="str">
        <f t="shared" si="3"/>
        <v/>
      </c>
    </row>
    <row r="66" spans="1:19">
      <c r="A66" t="s">
        <v>1100</v>
      </c>
      <c r="C66" t="s">
        <v>348</v>
      </c>
      <c r="D66" s="3">
        <v>40576.789560185185</v>
      </c>
      <c r="E66" s="8" t="s">
        <v>1101</v>
      </c>
      <c r="F66" s="8">
        <v>4696102</v>
      </c>
      <c r="G66" s="2" t="s">
        <v>288</v>
      </c>
      <c r="H66" s="3">
        <v>40578.772372685184</v>
      </c>
      <c r="L66">
        <f t="shared" ref="L66:L129" si="4">COUNTA(I66:K66)</f>
        <v>0</v>
      </c>
      <c r="Q66" t="str">
        <f t="shared" si="1"/>
        <v/>
      </c>
      <c r="R66" t="str">
        <f t="shared" si="2"/>
        <v/>
      </c>
      <c r="S66" t="str">
        <f t="shared" si="3"/>
        <v/>
      </c>
    </row>
    <row r="67" spans="1:19">
      <c r="A67" t="s">
        <v>750</v>
      </c>
      <c r="C67" t="s">
        <v>348</v>
      </c>
      <c r="D67" s="3">
        <v>40577.028796296298</v>
      </c>
      <c r="E67" s="8" t="s">
        <v>751</v>
      </c>
      <c r="F67" s="8" t="s">
        <v>752</v>
      </c>
      <c r="G67" s="2" t="s">
        <v>288</v>
      </c>
      <c r="H67" s="3">
        <v>40578.840300925927</v>
      </c>
      <c r="L67">
        <f t="shared" si="4"/>
        <v>0</v>
      </c>
      <c r="Q67" t="str">
        <f t="shared" ref="Q67:Q130" si="5">IF(I67&gt;0,CONCATENATE("MC,",E67,",",F67),"")</f>
        <v/>
      </c>
      <c r="R67" t="str">
        <f t="shared" ref="R67:R130" si="6">IF(J67&gt;0,CONCATENATE("BC,",E67,",",F67),"")</f>
        <v/>
      </c>
      <c r="S67" t="str">
        <f t="shared" ref="S67:S130" si="7">IF(K67&gt;0,CONCATENATE("TC,",E67,",",F67),"")</f>
        <v/>
      </c>
    </row>
    <row r="68" spans="1:19">
      <c r="A68" t="s">
        <v>1389</v>
      </c>
      <c r="C68" t="s">
        <v>288</v>
      </c>
      <c r="D68" s="3">
        <v>40578.849537037036</v>
      </c>
      <c r="E68" s="8" t="s">
        <v>1390</v>
      </c>
      <c r="F68" s="8" t="s">
        <v>1391</v>
      </c>
      <c r="G68" s="4" t="s">
        <v>336</v>
      </c>
      <c r="H68" s="3">
        <v>40578.857048611113</v>
      </c>
      <c r="J68">
        <v>1</v>
      </c>
      <c r="L68">
        <f t="shared" si="4"/>
        <v>1</v>
      </c>
      <c r="Q68" t="str">
        <f t="shared" si="5"/>
        <v/>
      </c>
      <c r="R68" t="str">
        <f t="shared" si="6"/>
        <v>BC,fd93cf0,329a020</v>
      </c>
      <c r="S68" t="str">
        <f t="shared" si="7"/>
        <v/>
      </c>
    </row>
    <row r="69" spans="1:19">
      <c r="A69" t="s">
        <v>1088</v>
      </c>
      <c r="C69" t="s">
        <v>288</v>
      </c>
      <c r="D69" s="3">
        <v>40578.884756944448</v>
      </c>
      <c r="E69" s="8" t="s">
        <v>1089</v>
      </c>
      <c r="F69" s="8" t="s">
        <v>1090</v>
      </c>
      <c r="G69" s="4" t="s">
        <v>336</v>
      </c>
      <c r="H69" s="3">
        <v>40578.894456018519</v>
      </c>
      <c r="L69">
        <f t="shared" si="4"/>
        <v>0</v>
      </c>
      <c r="Q69" t="str">
        <f t="shared" si="5"/>
        <v/>
      </c>
      <c r="R69" t="str">
        <f t="shared" si="6"/>
        <v/>
      </c>
      <c r="S69" t="str">
        <f t="shared" si="7"/>
        <v/>
      </c>
    </row>
    <row r="70" spans="1:19">
      <c r="A70" t="s">
        <v>899</v>
      </c>
      <c r="C70" t="s">
        <v>757</v>
      </c>
      <c r="D70" s="3">
        <v>40577.985833333332</v>
      </c>
      <c r="E70" s="8" t="s">
        <v>758</v>
      </c>
      <c r="F70" s="8" t="s">
        <v>900</v>
      </c>
      <c r="G70" s="2" t="s">
        <v>309</v>
      </c>
      <c r="H70" s="3">
        <v>40578.900289351855</v>
      </c>
      <c r="L70">
        <f t="shared" si="4"/>
        <v>0</v>
      </c>
      <c r="Q70" t="str">
        <f t="shared" si="5"/>
        <v/>
      </c>
      <c r="R70" t="str">
        <f t="shared" si="6"/>
        <v/>
      </c>
      <c r="S70" t="str">
        <f t="shared" si="7"/>
        <v/>
      </c>
    </row>
    <row r="71" spans="1:19">
      <c r="A71" t="s">
        <v>412</v>
      </c>
      <c r="B71" t="s">
        <v>513</v>
      </c>
      <c r="C71" t="s">
        <v>288</v>
      </c>
      <c r="D71" s="3">
        <v>40578.895555555559</v>
      </c>
      <c r="E71" s="8" t="s">
        <v>413</v>
      </c>
      <c r="F71" s="8" t="s">
        <v>414</v>
      </c>
      <c r="G71" s="4" t="s">
        <v>309</v>
      </c>
      <c r="H71" s="3">
        <v>40578.940578703703</v>
      </c>
      <c r="I71">
        <v>1</v>
      </c>
      <c r="L71">
        <f t="shared" si="4"/>
        <v>1</v>
      </c>
      <c r="Q71" t="str">
        <f t="shared" si="5"/>
        <v>MC,85a8dd0,9005eb6</v>
      </c>
      <c r="R71" t="str">
        <f t="shared" si="6"/>
        <v/>
      </c>
      <c r="S71" t="str">
        <f t="shared" si="7"/>
        <v/>
      </c>
    </row>
    <row r="72" spans="1:19">
      <c r="A72" t="s">
        <v>756</v>
      </c>
      <c r="C72" t="s">
        <v>757</v>
      </c>
      <c r="D72" s="3">
        <v>40577.985833333332</v>
      </c>
      <c r="E72" s="8" t="s">
        <v>758</v>
      </c>
      <c r="F72" s="8" t="s">
        <v>759</v>
      </c>
      <c r="G72" s="2" t="s">
        <v>309</v>
      </c>
      <c r="H72" s="3">
        <v>40578.940578703703</v>
      </c>
      <c r="L72">
        <f t="shared" si="4"/>
        <v>0</v>
      </c>
      <c r="Q72" t="str">
        <f t="shared" si="5"/>
        <v/>
      </c>
      <c r="R72" t="str">
        <f t="shared" si="6"/>
        <v/>
      </c>
      <c r="S72" t="str">
        <f t="shared" si="7"/>
        <v/>
      </c>
    </row>
    <row r="73" spans="1:19">
      <c r="A73" t="s">
        <v>347</v>
      </c>
      <c r="B73" t="s">
        <v>1102</v>
      </c>
      <c r="C73" s="2" t="s">
        <v>348</v>
      </c>
      <c r="D73" s="3">
        <v>40579.562615740739</v>
      </c>
      <c r="E73" s="8" t="s">
        <v>349</v>
      </c>
      <c r="F73" s="8" t="s">
        <v>350</v>
      </c>
      <c r="G73" s="4" t="s">
        <v>1576</v>
      </c>
      <c r="H73" s="3">
        <v>40580.870856481481</v>
      </c>
      <c r="J73">
        <v>1</v>
      </c>
      <c r="L73">
        <f t="shared" si="4"/>
        <v>1</v>
      </c>
      <c r="Q73" t="str">
        <f t="shared" si="5"/>
        <v/>
      </c>
      <c r="R73" t="str">
        <f t="shared" si="6"/>
        <v>BC,1d1c188,be5438b</v>
      </c>
      <c r="S73" t="str">
        <f t="shared" si="7"/>
        <v/>
      </c>
    </row>
    <row r="74" spans="1:19">
      <c r="A74" t="s">
        <v>1362</v>
      </c>
      <c r="C74" t="s">
        <v>288</v>
      </c>
      <c r="D74" s="3">
        <v>40578.98364583333</v>
      </c>
      <c r="E74" s="8" t="s">
        <v>1363</v>
      </c>
      <c r="F74" s="8" t="s">
        <v>1364</v>
      </c>
      <c r="G74" s="2" t="s">
        <v>309</v>
      </c>
      <c r="H74" s="3">
        <v>40581.434525462966</v>
      </c>
      <c r="I74">
        <v>1</v>
      </c>
      <c r="L74">
        <f t="shared" si="4"/>
        <v>1</v>
      </c>
      <c r="Q74" t="str">
        <f t="shared" si="5"/>
        <v>MC,63f67f3,1d65057</v>
      </c>
      <c r="R74" t="str">
        <f t="shared" si="6"/>
        <v/>
      </c>
      <c r="S74" t="str">
        <f t="shared" si="7"/>
        <v/>
      </c>
    </row>
    <row r="75" spans="1:19">
      <c r="A75" t="s">
        <v>1069</v>
      </c>
      <c r="C75" t="s">
        <v>1070</v>
      </c>
      <c r="D75" s="3">
        <v>40579.813472222224</v>
      </c>
      <c r="E75" s="8" t="s">
        <v>1071</v>
      </c>
      <c r="F75" s="8" t="s">
        <v>1072</v>
      </c>
      <c r="G75" s="2" t="s">
        <v>288</v>
      </c>
      <c r="H75" s="3">
        <v>40582.067893518521</v>
      </c>
      <c r="L75">
        <f t="shared" si="4"/>
        <v>0</v>
      </c>
      <c r="Q75" t="str">
        <f t="shared" si="5"/>
        <v/>
      </c>
      <c r="R75" t="str">
        <f t="shared" si="6"/>
        <v/>
      </c>
      <c r="S75" t="str">
        <f t="shared" si="7"/>
        <v/>
      </c>
    </row>
    <row r="76" spans="1:19">
      <c r="A76" t="s">
        <v>791</v>
      </c>
      <c r="C76" t="s">
        <v>309</v>
      </c>
      <c r="D76" s="3">
        <v>40581.441712962966</v>
      </c>
      <c r="E76" s="8">
        <v>9768125</v>
      </c>
      <c r="F76" s="8" t="s">
        <v>792</v>
      </c>
      <c r="G76" s="2" t="s">
        <v>288</v>
      </c>
      <c r="H76" s="3">
        <v>40582.484560185185</v>
      </c>
      <c r="L76">
        <f t="shared" si="4"/>
        <v>0</v>
      </c>
      <c r="Q76" t="str">
        <f t="shared" si="5"/>
        <v/>
      </c>
      <c r="R76" t="str">
        <f t="shared" si="6"/>
        <v/>
      </c>
      <c r="S76" t="str">
        <f t="shared" si="7"/>
        <v/>
      </c>
    </row>
    <row r="77" spans="1:19">
      <c r="A77" t="s">
        <v>446</v>
      </c>
      <c r="B77" t="s">
        <v>529</v>
      </c>
      <c r="C77" t="s">
        <v>405</v>
      </c>
      <c r="D77" s="3">
        <v>40582.485717592594</v>
      </c>
      <c r="E77" s="8" t="s">
        <v>447</v>
      </c>
      <c r="F77" s="8" t="s">
        <v>448</v>
      </c>
      <c r="G77" s="4" t="s">
        <v>288</v>
      </c>
      <c r="H77" s="3">
        <v>40582.486828703702</v>
      </c>
      <c r="L77">
        <f t="shared" si="4"/>
        <v>0</v>
      </c>
      <c r="Q77" t="str">
        <f t="shared" si="5"/>
        <v/>
      </c>
      <c r="R77" t="str">
        <f t="shared" si="6"/>
        <v/>
      </c>
      <c r="S77" t="str">
        <f t="shared" si="7"/>
        <v/>
      </c>
    </row>
    <row r="78" spans="1:19">
      <c r="A78" t="s">
        <v>1073</v>
      </c>
      <c r="C78" t="s">
        <v>288</v>
      </c>
      <c r="D78" s="3">
        <v>40582.486828703702</v>
      </c>
      <c r="E78" s="8" t="s">
        <v>448</v>
      </c>
      <c r="F78" s="8" t="s">
        <v>1074</v>
      </c>
      <c r="G78" s="4" t="s">
        <v>336</v>
      </c>
      <c r="H78" s="3">
        <v>40582.490474537037</v>
      </c>
      <c r="L78">
        <f t="shared" si="4"/>
        <v>0</v>
      </c>
      <c r="Q78" t="str">
        <f t="shared" si="5"/>
        <v/>
      </c>
      <c r="R78" t="str">
        <f t="shared" si="6"/>
        <v/>
      </c>
      <c r="S78" t="str">
        <f t="shared" si="7"/>
        <v/>
      </c>
    </row>
    <row r="79" spans="1:19">
      <c r="A79" t="s">
        <v>935</v>
      </c>
      <c r="C79" t="s">
        <v>563</v>
      </c>
      <c r="D79" s="3">
        <v>40581.615451388891</v>
      </c>
      <c r="E79" s="8" t="s">
        <v>936</v>
      </c>
      <c r="F79" s="8" t="s">
        <v>937</v>
      </c>
      <c r="G79" s="2" t="s">
        <v>288</v>
      </c>
      <c r="H79" s="3">
        <v>40582.490648148145</v>
      </c>
      <c r="L79">
        <f t="shared" si="4"/>
        <v>0</v>
      </c>
      <c r="Q79" t="str">
        <f t="shared" si="5"/>
        <v/>
      </c>
      <c r="R79" t="str">
        <f t="shared" si="6"/>
        <v/>
      </c>
      <c r="S79" t="str">
        <f t="shared" si="7"/>
        <v/>
      </c>
    </row>
    <row r="80" spans="1:19">
      <c r="A80" t="s">
        <v>1021</v>
      </c>
      <c r="C80" t="s">
        <v>288</v>
      </c>
      <c r="D80" s="3">
        <v>40582.490648148145</v>
      </c>
      <c r="E80" s="8" t="s">
        <v>937</v>
      </c>
      <c r="F80" s="8" t="s">
        <v>1022</v>
      </c>
      <c r="G80" s="2" t="s">
        <v>405</v>
      </c>
      <c r="H80" s="3">
        <v>40582.491643518515</v>
      </c>
      <c r="L80">
        <f t="shared" si="4"/>
        <v>0</v>
      </c>
      <c r="Q80" t="str">
        <f t="shared" si="5"/>
        <v/>
      </c>
      <c r="R80" t="str">
        <f t="shared" si="6"/>
        <v/>
      </c>
      <c r="S80" t="str">
        <f t="shared" si="7"/>
        <v/>
      </c>
    </row>
    <row r="81" spans="1:19">
      <c r="A81" t="s">
        <v>429</v>
      </c>
      <c r="B81" t="s">
        <v>970</v>
      </c>
      <c r="C81" t="s">
        <v>405</v>
      </c>
      <c r="D81" s="3">
        <v>40582.496076388888</v>
      </c>
      <c r="E81" s="8" t="s">
        <v>430</v>
      </c>
      <c r="F81" s="8" t="s">
        <v>431</v>
      </c>
      <c r="G81" s="4" t="s">
        <v>288</v>
      </c>
      <c r="H81" s="3">
        <v>40582.496620370373</v>
      </c>
      <c r="L81">
        <f t="shared" si="4"/>
        <v>0</v>
      </c>
      <c r="Q81" t="str">
        <f t="shared" si="5"/>
        <v/>
      </c>
      <c r="R81" t="str">
        <f t="shared" si="6"/>
        <v/>
      </c>
      <c r="S81" t="str">
        <f t="shared" si="7"/>
        <v/>
      </c>
    </row>
    <row r="82" spans="1:19">
      <c r="A82" t="s">
        <v>562</v>
      </c>
      <c r="C82" t="s">
        <v>563</v>
      </c>
      <c r="D82" s="3">
        <v>40583.781145833331</v>
      </c>
      <c r="E82" s="8" t="s">
        <v>564</v>
      </c>
      <c r="F82" s="8" t="s">
        <v>565</v>
      </c>
      <c r="G82" s="4" t="s">
        <v>300</v>
      </c>
      <c r="H82" s="3">
        <v>40584.00576388889</v>
      </c>
      <c r="I82">
        <v>1</v>
      </c>
      <c r="L82">
        <f t="shared" si="4"/>
        <v>1</v>
      </c>
      <c r="Q82" t="str">
        <f t="shared" si="5"/>
        <v>MC,042a4cd,028e7a8</v>
      </c>
      <c r="R82" t="str">
        <f t="shared" si="6"/>
        <v/>
      </c>
      <c r="S82" t="str">
        <f t="shared" si="7"/>
        <v/>
      </c>
    </row>
    <row r="83" spans="1:19">
      <c r="A83" t="s">
        <v>1102</v>
      </c>
      <c r="C83" t="s">
        <v>295</v>
      </c>
      <c r="D83" s="3">
        <v>40583.49355324074</v>
      </c>
      <c r="E83" s="8" t="s">
        <v>1103</v>
      </c>
      <c r="F83" s="8" t="s">
        <v>565</v>
      </c>
      <c r="G83" s="2" t="s">
        <v>300</v>
      </c>
      <c r="H83" s="3">
        <v>40584.00576388889</v>
      </c>
      <c r="I83">
        <v>1</v>
      </c>
      <c r="L83">
        <f t="shared" si="4"/>
        <v>1</v>
      </c>
      <c r="Q83" t="str">
        <f t="shared" si="5"/>
        <v>MC,354956f,028e7a8</v>
      </c>
      <c r="R83" t="str">
        <f t="shared" si="6"/>
        <v/>
      </c>
      <c r="S83" t="str">
        <f t="shared" si="7"/>
        <v/>
      </c>
    </row>
    <row r="84" spans="1:19">
      <c r="A84" s="1" t="s">
        <v>1009</v>
      </c>
      <c r="C84" t="s">
        <v>416</v>
      </c>
      <c r="D84" s="3">
        <v>40582.405578703707</v>
      </c>
      <c r="E84" s="8" t="s">
        <v>1010</v>
      </c>
      <c r="F84" s="8" t="s">
        <v>1011</v>
      </c>
      <c r="G84" s="2" t="s">
        <v>288</v>
      </c>
      <c r="H84" s="3">
        <v>40585.620891203704</v>
      </c>
      <c r="L84">
        <f t="shared" si="4"/>
        <v>0</v>
      </c>
      <c r="Q84" t="str">
        <f t="shared" si="5"/>
        <v/>
      </c>
      <c r="R84" t="str">
        <f t="shared" si="6"/>
        <v/>
      </c>
      <c r="S84" t="str">
        <f t="shared" si="7"/>
        <v/>
      </c>
    </row>
    <row r="85" spans="1:19">
      <c r="A85" t="s">
        <v>1503</v>
      </c>
      <c r="C85" t="s">
        <v>325</v>
      </c>
      <c r="D85" s="3">
        <v>40585.616261574076</v>
      </c>
      <c r="E85" s="8" t="s">
        <v>1504</v>
      </c>
      <c r="F85" s="8" t="s">
        <v>1505</v>
      </c>
      <c r="G85" s="2" t="s">
        <v>1506</v>
      </c>
      <c r="H85" s="3">
        <v>40585.86314814815</v>
      </c>
      <c r="J85">
        <v>1</v>
      </c>
      <c r="L85">
        <f t="shared" si="4"/>
        <v>1</v>
      </c>
      <c r="Q85" t="str">
        <f t="shared" si="5"/>
        <v/>
      </c>
      <c r="R85" t="str">
        <f t="shared" si="6"/>
        <v>BC,c307735,53a265e</v>
      </c>
      <c r="S85" t="str">
        <f t="shared" si="7"/>
        <v/>
      </c>
    </row>
    <row r="86" spans="1:19">
      <c r="A86" t="s">
        <v>372</v>
      </c>
      <c r="B86" t="s">
        <v>1058</v>
      </c>
      <c r="C86" s="2" t="s">
        <v>288</v>
      </c>
      <c r="D86" s="3">
        <v>40584.697222222225</v>
      </c>
      <c r="E86" s="8" t="s">
        <v>373</v>
      </c>
      <c r="F86" s="8" t="s">
        <v>374</v>
      </c>
      <c r="G86" s="4" t="s">
        <v>375</v>
      </c>
      <c r="H86" s="3">
        <v>40585.871168981481</v>
      </c>
      <c r="J86">
        <v>1</v>
      </c>
      <c r="L86">
        <f t="shared" si="4"/>
        <v>1</v>
      </c>
      <c r="Q86" t="str">
        <f t="shared" si="5"/>
        <v/>
      </c>
      <c r="R86" t="str">
        <f t="shared" si="6"/>
        <v>BC,0c19666,ec38211</v>
      </c>
      <c r="S86" t="str">
        <f t="shared" si="7"/>
        <v/>
      </c>
    </row>
    <row r="87" spans="1:19">
      <c r="A87" t="s">
        <v>1486</v>
      </c>
      <c r="C87" t="s">
        <v>375</v>
      </c>
      <c r="D87" s="3">
        <v>40585.879340277781</v>
      </c>
      <c r="E87" s="8" t="s">
        <v>1487</v>
      </c>
      <c r="F87" s="8" t="s">
        <v>1488</v>
      </c>
      <c r="G87" s="2" t="s">
        <v>300</v>
      </c>
      <c r="H87" s="3">
        <v>40585.928356481483</v>
      </c>
      <c r="L87">
        <f t="shared" si="4"/>
        <v>0</v>
      </c>
      <c r="Q87" t="str">
        <f t="shared" si="5"/>
        <v/>
      </c>
      <c r="R87" t="str">
        <f t="shared" si="6"/>
        <v/>
      </c>
      <c r="S87" t="str">
        <f t="shared" si="7"/>
        <v/>
      </c>
    </row>
    <row r="88" spans="1:19">
      <c r="A88" t="s">
        <v>1542</v>
      </c>
      <c r="C88" t="s">
        <v>300</v>
      </c>
      <c r="D88" s="3">
        <v>40585.935717592591</v>
      </c>
      <c r="E88" s="8" t="s">
        <v>1543</v>
      </c>
      <c r="F88" s="8" t="s">
        <v>1544</v>
      </c>
      <c r="G88" s="2" t="s">
        <v>288</v>
      </c>
      <c r="H88" s="3">
        <v>40586.333414351851</v>
      </c>
      <c r="L88">
        <f t="shared" si="4"/>
        <v>0</v>
      </c>
      <c r="Q88" t="str">
        <f t="shared" si="5"/>
        <v/>
      </c>
      <c r="R88" t="str">
        <f t="shared" si="6"/>
        <v/>
      </c>
      <c r="S88" t="str">
        <f t="shared" si="7"/>
        <v/>
      </c>
    </row>
    <row r="89" spans="1:19">
      <c r="A89" t="s">
        <v>631</v>
      </c>
      <c r="C89" t="s">
        <v>300</v>
      </c>
      <c r="D89" s="3">
        <v>40584.025277777779</v>
      </c>
      <c r="E89" s="8" t="s">
        <v>632</v>
      </c>
      <c r="F89" s="8">
        <v>8896954</v>
      </c>
      <c r="G89" s="2" t="s">
        <v>288</v>
      </c>
      <c r="H89" s="3">
        <v>40586.423437500001</v>
      </c>
      <c r="I89">
        <v>1</v>
      </c>
      <c r="L89">
        <f t="shared" si="4"/>
        <v>1</v>
      </c>
      <c r="Q89" t="str">
        <f t="shared" si="5"/>
        <v>MC,b7a6c5d,8896954</v>
      </c>
      <c r="R89" t="str">
        <f t="shared" si="6"/>
        <v/>
      </c>
      <c r="S89" t="str">
        <f t="shared" si="7"/>
        <v/>
      </c>
    </row>
    <row r="90" spans="1:19">
      <c r="A90" t="s">
        <v>1516</v>
      </c>
      <c r="C90" t="s">
        <v>651</v>
      </c>
      <c r="D90" s="3">
        <v>40582.879988425928</v>
      </c>
      <c r="E90" s="8" t="s">
        <v>1517</v>
      </c>
      <c r="F90" s="8" t="s">
        <v>1518</v>
      </c>
      <c r="G90" s="2" t="s">
        <v>288</v>
      </c>
      <c r="H90" s="3">
        <v>40586.426030092596</v>
      </c>
      <c r="K90">
        <v>1</v>
      </c>
      <c r="L90">
        <f t="shared" si="4"/>
        <v>1</v>
      </c>
      <c r="Q90" t="str">
        <f t="shared" si="5"/>
        <v/>
      </c>
      <c r="R90" t="str">
        <f t="shared" si="6"/>
        <v/>
      </c>
      <c r="S90" t="str">
        <f t="shared" si="7"/>
        <v>TC,6d96631,8de9db3</v>
      </c>
    </row>
    <row r="91" spans="1:19">
      <c r="A91" t="s">
        <v>1240</v>
      </c>
      <c r="C91" t="s">
        <v>288</v>
      </c>
      <c r="D91" s="3">
        <v>40586.439259259256</v>
      </c>
      <c r="E91" s="8" t="s">
        <v>1241</v>
      </c>
      <c r="F91" s="8" t="s">
        <v>1242</v>
      </c>
      <c r="G91" s="2" t="s">
        <v>375</v>
      </c>
      <c r="H91" s="3">
        <v>40586.813622685186</v>
      </c>
      <c r="J91">
        <v>1</v>
      </c>
      <c r="L91">
        <f t="shared" si="4"/>
        <v>1</v>
      </c>
      <c r="Q91" t="str">
        <f t="shared" si="5"/>
        <v/>
      </c>
      <c r="R91" t="str">
        <f t="shared" si="6"/>
        <v>BC,49ca465,c12848f</v>
      </c>
      <c r="S91" t="str">
        <f t="shared" si="7"/>
        <v/>
      </c>
    </row>
    <row r="92" spans="1:19">
      <c r="A92" t="s">
        <v>912</v>
      </c>
      <c r="C92" t="s">
        <v>411</v>
      </c>
      <c r="D92" s="3">
        <v>40587.608784722222</v>
      </c>
      <c r="E92" s="8" t="s">
        <v>913</v>
      </c>
      <c r="F92" s="8" t="s">
        <v>914</v>
      </c>
      <c r="G92" s="2" t="s">
        <v>288</v>
      </c>
      <c r="H92" s="3">
        <v>40588.43273148148</v>
      </c>
      <c r="L92">
        <f t="shared" si="4"/>
        <v>0</v>
      </c>
      <c r="Q92" t="str">
        <f t="shared" si="5"/>
        <v/>
      </c>
      <c r="R92" t="str">
        <f t="shared" si="6"/>
        <v/>
      </c>
      <c r="S92" t="str">
        <f t="shared" si="7"/>
        <v/>
      </c>
    </row>
    <row r="93" spans="1:19">
      <c r="A93" t="s">
        <v>1436</v>
      </c>
      <c r="C93" t="s">
        <v>288</v>
      </c>
      <c r="D93" s="3">
        <v>40589.388784722221</v>
      </c>
      <c r="E93" s="8" t="s">
        <v>1437</v>
      </c>
      <c r="F93" s="8" t="s">
        <v>1438</v>
      </c>
      <c r="G93" s="2" t="s">
        <v>763</v>
      </c>
      <c r="H93" s="3">
        <v>40589.69363425926</v>
      </c>
      <c r="L93">
        <f t="shared" si="4"/>
        <v>0</v>
      </c>
      <c r="Q93" t="str">
        <f t="shared" si="5"/>
        <v/>
      </c>
      <c r="R93" t="str">
        <f t="shared" si="6"/>
        <v/>
      </c>
      <c r="S93" t="str">
        <f t="shared" si="7"/>
        <v/>
      </c>
    </row>
    <row r="94" spans="1:19">
      <c r="A94" t="s">
        <v>482</v>
      </c>
      <c r="B94" t="s">
        <v>675</v>
      </c>
      <c r="C94" t="s">
        <v>318</v>
      </c>
      <c r="D94" s="3">
        <v>40593.372453703705</v>
      </c>
      <c r="E94" s="8" t="s">
        <v>483</v>
      </c>
      <c r="F94" s="8" t="s">
        <v>484</v>
      </c>
      <c r="G94" s="4" t="s">
        <v>375</v>
      </c>
      <c r="H94" s="3">
        <v>40593.72011574074</v>
      </c>
      <c r="L94">
        <f t="shared" si="4"/>
        <v>0</v>
      </c>
      <c r="Q94" t="str">
        <f t="shared" si="5"/>
        <v/>
      </c>
      <c r="R94" t="str">
        <f t="shared" si="6"/>
        <v/>
      </c>
      <c r="S94" t="str">
        <f t="shared" si="7"/>
        <v/>
      </c>
    </row>
    <row r="95" spans="1:19">
      <c r="A95" t="s">
        <v>686</v>
      </c>
      <c r="C95" t="s">
        <v>687</v>
      </c>
      <c r="D95" s="3">
        <v>40594.032083333332</v>
      </c>
      <c r="E95" s="8" t="s">
        <v>688</v>
      </c>
      <c r="F95" s="8" t="s">
        <v>689</v>
      </c>
      <c r="G95" s="2" t="s">
        <v>375</v>
      </c>
      <c r="H95" s="3">
        <v>40594.941018518519</v>
      </c>
      <c r="L95">
        <f t="shared" si="4"/>
        <v>0</v>
      </c>
      <c r="Q95" t="str">
        <f t="shared" si="5"/>
        <v/>
      </c>
      <c r="R95" t="str">
        <f t="shared" si="6"/>
        <v/>
      </c>
      <c r="S95" t="str">
        <f t="shared" si="7"/>
        <v/>
      </c>
    </row>
    <row r="96" spans="1:19">
      <c r="A96" t="s">
        <v>967</v>
      </c>
      <c r="C96" t="s">
        <v>288</v>
      </c>
      <c r="D96" s="3">
        <v>40594.83625</v>
      </c>
      <c r="E96" s="8" t="s">
        <v>968</v>
      </c>
      <c r="F96" s="8" t="s">
        <v>969</v>
      </c>
      <c r="G96" s="2" t="s">
        <v>375</v>
      </c>
      <c r="H96" s="3">
        <v>40594.943298611113</v>
      </c>
      <c r="L96">
        <f t="shared" si="4"/>
        <v>0</v>
      </c>
      <c r="Q96" t="str">
        <f t="shared" si="5"/>
        <v/>
      </c>
      <c r="R96" t="str">
        <f t="shared" si="6"/>
        <v/>
      </c>
      <c r="S96" t="str">
        <f t="shared" si="7"/>
        <v/>
      </c>
    </row>
    <row r="97" spans="1:19">
      <c r="A97" t="s">
        <v>1243</v>
      </c>
      <c r="C97" t="s">
        <v>763</v>
      </c>
      <c r="D97" s="3">
        <v>40597.75335648148</v>
      </c>
      <c r="E97" s="8" t="s">
        <v>1244</v>
      </c>
      <c r="F97" s="8" t="s">
        <v>1245</v>
      </c>
      <c r="G97" s="2" t="s">
        <v>375</v>
      </c>
      <c r="H97" s="3">
        <v>40598.861550925925</v>
      </c>
      <c r="L97">
        <f t="shared" si="4"/>
        <v>0</v>
      </c>
      <c r="Q97" t="str">
        <f t="shared" si="5"/>
        <v/>
      </c>
      <c r="R97" t="str">
        <f t="shared" si="6"/>
        <v/>
      </c>
      <c r="S97" t="str">
        <f t="shared" si="7"/>
        <v/>
      </c>
    </row>
    <row r="98" spans="1:19">
      <c r="A98" t="s">
        <v>415</v>
      </c>
      <c r="B98" t="s">
        <v>995</v>
      </c>
      <c r="C98" t="s">
        <v>416</v>
      </c>
      <c r="D98" s="3">
        <v>40596.899953703702</v>
      </c>
      <c r="E98" s="8" t="s">
        <v>417</v>
      </c>
      <c r="F98" s="8" t="s">
        <v>418</v>
      </c>
      <c r="G98" s="4" t="s">
        <v>375</v>
      </c>
      <c r="H98" s="3">
        <v>40598.864374999997</v>
      </c>
      <c r="L98">
        <f t="shared" si="4"/>
        <v>0</v>
      </c>
      <c r="Q98" t="str">
        <f t="shared" si="5"/>
        <v/>
      </c>
      <c r="R98" t="str">
        <f t="shared" si="6"/>
        <v/>
      </c>
      <c r="S98" t="str">
        <f t="shared" si="7"/>
        <v/>
      </c>
    </row>
    <row r="99" spans="1:19">
      <c r="A99" t="s">
        <v>1160</v>
      </c>
      <c r="C99" t="s">
        <v>288</v>
      </c>
      <c r="D99" s="3">
        <v>40601.490370370368</v>
      </c>
      <c r="E99" s="8" t="s">
        <v>1161</v>
      </c>
      <c r="F99" s="8" t="s">
        <v>1162</v>
      </c>
      <c r="G99" s="4" t="s">
        <v>336</v>
      </c>
      <c r="H99" s="3">
        <v>40601.825011574074</v>
      </c>
      <c r="I99">
        <v>1</v>
      </c>
      <c r="L99">
        <f t="shared" si="4"/>
        <v>1</v>
      </c>
      <c r="Q99" t="str">
        <f t="shared" si="5"/>
        <v>MC,9f09e8a,6f636b5</v>
      </c>
      <c r="R99" t="str">
        <f t="shared" si="6"/>
        <v/>
      </c>
      <c r="S99" t="str">
        <f t="shared" si="7"/>
        <v/>
      </c>
    </row>
    <row r="100" spans="1:19">
      <c r="A100" t="s">
        <v>924</v>
      </c>
      <c r="C100" t="s">
        <v>288</v>
      </c>
      <c r="D100" s="3">
        <v>40608.93891203704</v>
      </c>
      <c r="E100" s="8" t="s">
        <v>925</v>
      </c>
      <c r="F100" s="8" t="s">
        <v>926</v>
      </c>
      <c r="G100" s="2" t="s">
        <v>300</v>
      </c>
      <c r="H100" s="3">
        <v>40609.036909722221</v>
      </c>
      <c r="L100">
        <f t="shared" si="4"/>
        <v>0</v>
      </c>
      <c r="Q100" t="str">
        <f t="shared" si="5"/>
        <v/>
      </c>
      <c r="R100" t="str">
        <f t="shared" si="6"/>
        <v/>
      </c>
      <c r="S100" t="str">
        <f t="shared" si="7"/>
        <v/>
      </c>
    </row>
    <row r="101" spans="1:19">
      <c r="A101" t="s">
        <v>449</v>
      </c>
      <c r="B101" t="s">
        <v>1003</v>
      </c>
      <c r="C101" t="s">
        <v>423</v>
      </c>
      <c r="D101" s="3">
        <v>40608.701342592591</v>
      </c>
      <c r="E101" s="8" t="s">
        <v>450</v>
      </c>
      <c r="F101" s="8" t="s">
        <v>451</v>
      </c>
      <c r="G101" s="4" t="s">
        <v>300</v>
      </c>
      <c r="H101" s="3">
        <v>40612.937280092592</v>
      </c>
      <c r="L101">
        <f t="shared" si="4"/>
        <v>0</v>
      </c>
      <c r="Q101" t="str">
        <f t="shared" si="5"/>
        <v/>
      </c>
      <c r="R101" t="str">
        <f t="shared" si="6"/>
        <v/>
      </c>
      <c r="S101" t="str">
        <f t="shared" si="7"/>
        <v/>
      </c>
    </row>
    <row r="102" spans="1:19">
      <c r="A102" t="s">
        <v>566</v>
      </c>
      <c r="C102" t="s">
        <v>288</v>
      </c>
      <c r="D102" s="3">
        <v>40612.777071759258</v>
      </c>
      <c r="E102" s="8" t="s">
        <v>567</v>
      </c>
      <c r="F102" s="8" t="s">
        <v>568</v>
      </c>
      <c r="G102" s="4" t="s">
        <v>300</v>
      </c>
      <c r="H102" s="3">
        <v>40613.493715277778</v>
      </c>
      <c r="L102">
        <f t="shared" si="4"/>
        <v>0</v>
      </c>
      <c r="Q102" t="str">
        <f t="shared" si="5"/>
        <v/>
      </c>
      <c r="R102" t="str">
        <f t="shared" si="6"/>
        <v/>
      </c>
      <c r="S102" t="str">
        <f t="shared" si="7"/>
        <v/>
      </c>
    </row>
    <row r="103" spans="1:19">
      <c r="A103" t="s">
        <v>1236</v>
      </c>
      <c r="C103" t="s">
        <v>295</v>
      </c>
      <c r="D103" s="3">
        <v>40615.63989583333</v>
      </c>
      <c r="E103" s="8" t="s">
        <v>1237</v>
      </c>
      <c r="F103" s="8">
        <v>3245687</v>
      </c>
      <c r="G103" s="2" t="s">
        <v>288</v>
      </c>
      <c r="H103" s="3">
        <v>40615.874016203707</v>
      </c>
      <c r="J103">
        <v>1</v>
      </c>
      <c r="L103">
        <f t="shared" si="4"/>
        <v>1</v>
      </c>
      <c r="Q103" t="str">
        <f t="shared" si="5"/>
        <v/>
      </c>
      <c r="R103" t="str">
        <f t="shared" si="6"/>
        <v>BC,5e3000f,3245687</v>
      </c>
      <c r="S103" t="str">
        <f t="shared" si="7"/>
        <v/>
      </c>
    </row>
    <row r="104" spans="1:19">
      <c r="A104" t="s">
        <v>915</v>
      </c>
      <c r="C104" t="s">
        <v>300</v>
      </c>
      <c r="D104" s="3">
        <v>40615.871898148151</v>
      </c>
      <c r="E104" s="8" t="s">
        <v>916</v>
      </c>
      <c r="F104" s="8" t="s">
        <v>917</v>
      </c>
      <c r="G104" s="2" t="s">
        <v>918</v>
      </c>
      <c r="H104" s="3">
        <v>40615.912546296298</v>
      </c>
      <c r="L104">
        <f t="shared" si="4"/>
        <v>0</v>
      </c>
      <c r="Q104" t="str">
        <f t="shared" si="5"/>
        <v/>
      </c>
      <c r="R104" t="str">
        <f t="shared" si="6"/>
        <v/>
      </c>
      <c r="S104" t="str">
        <f t="shared" si="7"/>
        <v/>
      </c>
    </row>
    <row r="105" spans="1:19">
      <c r="A105" t="s">
        <v>739</v>
      </c>
      <c r="C105" t="s">
        <v>288</v>
      </c>
      <c r="D105" s="3">
        <v>40616.480254629627</v>
      </c>
      <c r="E105" s="8" t="s">
        <v>740</v>
      </c>
      <c r="F105" s="8" t="s">
        <v>741</v>
      </c>
      <c r="G105" s="4" t="s">
        <v>336</v>
      </c>
      <c r="H105" s="3">
        <v>40616.559849537036</v>
      </c>
      <c r="L105">
        <f t="shared" si="4"/>
        <v>0</v>
      </c>
      <c r="Q105" t="str">
        <f t="shared" si="5"/>
        <v/>
      </c>
      <c r="R105" t="str">
        <f t="shared" si="6"/>
        <v/>
      </c>
      <c r="S105" t="str">
        <f t="shared" si="7"/>
        <v/>
      </c>
    </row>
    <row r="106" spans="1:19">
      <c r="A106" t="s">
        <v>641</v>
      </c>
      <c r="C106" t="s">
        <v>300</v>
      </c>
      <c r="D106" s="3">
        <v>40616.585879629631</v>
      </c>
      <c r="E106" s="8" t="s">
        <v>642</v>
      </c>
      <c r="F106" s="8" t="s">
        <v>643</v>
      </c>
      <c r="G106" s="2" t="s">
        <v>293</v>
      </c>
      <c r="H106" s="3">
        <v>40616.653958333336</v>
      </c>
      <c r="L106">
        <f t="shared" si="4"/>
        <v>0</v>
      </c>
      <c r="Q106" t="str">
        <f t="shared" si="5"/>
        <v/>
      </c>
      <c r="R106" t="str">
        <f t="shared" si="6"/>
        <v/>
      </c>
      <c r="S106" t="str">
        <f t="shared" si="7"/>
        <v/>
      </c>
    </row>
    <row r="107" spans="1:19">
      <c r="A107" t="s">
        <v>932</v>
      </c>
      <c r="C107" t="s">
        <v>288</v>
      </c>
      <c r="D107" s="3">
        <v>40616.564398148148</v>
      </c>
      <c r="E107" s="8" t="s">
        <v>933</v>
      </c>
      <c r="F107" s="8" t="s">
        <v>934</v>
      </c>
      <c r="G107" s="4" t="s">
        <v>336</v>
      </c>
      <c r="H107" s="3">
        <v>40616.756944444445</v>
      </c>
      <c r="L107">
        <f t="shared" si="4"/>
        <v>0</v>
      </c>
      <c r="Q107" t="str">
        <f t="shared" si="5"/>
        <v/>
      </c>
      <c r="R107" t="str">
        <f t="shared" si="6"/>
        <v/>
      </c>
      <c r="S107" t="str">
        <f t="shared" si="7"/>
        <v/>
      </c>
    </row>
    <row r="108" spans="1:19">
      <c r="A108" t="s">
        <v>796</v>
      </c>
      <c r="C108" t="s">
        <v>288</v>
      </c>
      <c r="D108" s="3">
        <v>40616.478668981479</v>
      </c>
      <c r="E108" s="8" t="s">
        <v>797</v>
      </c>
      <c r="F108" s="8" t="s">
        <v>798</v>
      </c>
      <c r="G108" s="2" t="s">
        <v>300</v>
      </c>
      <c r="H108" s="3">
        <v>40616.810729166667</v>
      </c>
      <c r="L108">
        <f t="shared" si="4"/>
        <v>0</v>
      </c>
      <c r="Q108" t="str">
        <f t="shared" si="5"/>
        <v/>
      </c>
      <c r="R108" t="str">
        <f t="shared" si="6"/>
        <v/>
      </c>
      <c r="S108" t="str">
        <f t="shared" si="7"/>
        <v/>
      </c>
    </row>
    <row r="109" spans="1:19">
      <c r="A109" t="s">
        <v>760</v>
      </c>
      <c r="C109" t="s">
        <v>288</v>
      </c>
      <c r="D109" s="3">
        <v>40616.880787037036</v>
      </c>
      <c r="E109" s="8" t="s">
        <v>761</v>
      </c>
      <c r="F109" s="8" t="s">
        <v>762</v>
      </c>
      <c r="G109" s="2" t="s">
        <v>763</v>
      </c>
      <c r="H109" s="3">
        <v>40616.892974537041</v>
      </c>
      <c r="L109">
        <f t="shared" si="4"/>
        <v>0</v>
      </c>
      <c r="Q109" t="str">
        <f t="shared" si="5"/>
        <v/>
      </c>
      <c r="R109" t="str">
        <f t="shared" si="6"/>
        <v/>
      </c>
      <c r="S109" t="str">
        <f t="shared" si="7"/>
        <v/>
      </c>
    </row>
    <row r="110" spans="1:19">
      <c r="A110" t="s">
        <v>1253</v>
      </c>
      <c r="C110" t="s">
        <v>371</v>
      </c>
      <c r="D110" s="3">
        <v>40619.932083333333</v>
      </c>
      <c r="E110" s="8" t="s">
        <v>1254</v>
      </c>
      <c r="F110" s="8" t="s">
        <v>1255</v>
      </c>
      <c r="G110" s="2" t="s">
        <v>300</v>
      </c>
      <c r="H110" s="3">
        <v>40619.935567129629</v>
      </c>
      <c r="J110">
        <v>1</v>
      </c>
      <c r="L110">
        <f t="shared" si="4"/>
        <v>1</v>
      </c>
      <c r="Q110" t="str">
        <f t="shared" si="5"/>
        <v/>
      </c>
      <c r="R110" t="str">
        <f t="shared" si="6"/>
        <v>BC,c5bc472,951580f</v>
      </c>
      <c r="S110" t="str">
        <f t="shared" si="7"/>
        <v/>
      </c>
    </row>
    <row r="111" spans="1:19">
      <c r="A111" t="s">
        <v>1317</v>
      </c>
      <c r="C111" t="s">
        <v>288</v>
      </c>
      <c r="D111" s="3">
        <v>40619.56454861111</v>
      </c>
      <c r="E111" s="8" t="s">
        <v>1318</v>
      </c>
      <c r="F111" s="8" t="s">
        <v>1319</v>
      </c>
      <c r="G111" s="4" t="s">
        <v>336</v>
      </c>
      <c r="H111" s="3">
        <v>40619.964745370373</v>
      </c>
      <c r="L111">
        <f t="shared" si="4"/>
        <v>0</v>
      </c>
      <c r="Q111" t="str">
        <f t="shared" si="5"/>
        <v/>
      </c>
      <c r="R111" t="str">
        <f t="shared" si="6"/>
        <v/>
      </c>
      <c r="S111" t="str">
        <f t="shared" si="7"/>
        <v/>
      </c>
    </row>
    <row r="112" spans="1:19">
      <c r="A112" t="s">
        <v>368</v>
      </c>
      <c r="B112" t="s">
        <v>399</v>
      </c>
      <c r="C112" s="2" t="s">
        <v>300</v>
      </c>
      <c r="D112" s="3">
        <v>40619.958113425928</v>
      </c>
      <c r="E112" s="8" t="s">
        <v>369</v>
      </c>
      <c r="F112" s="8" t="s">
        <v>370</v>
      </c>
      <c r="G112" s="4" t="s">
        <v>371</v>
      </c>
      <c r="H112" s="3">
        <v>40619.991238425922</v>
      </c>
      <c r="J112">
        <v>1</v>
      </c>
      <c r="L112">
        <f t="shared" si="4"/>
        <v>1</v>
      </c>
      <c r="Q112" t="str">
        <f t="shared" si="5"/>
        <v/>
      </c>
      <c r="R112" t="str">
        <f t="shared" si="6"/>
        <v>BC,283cb18,81d5129</v>
      </c>
      <c r="S112" t="str">
        <f t="shared" si="7"/>
        <v/>
      </c>
    </row>
    <row r="113" spans="1:19">
      <c r="A113" t="s">
        <v>728</v>
      </c>
      <c r="C113" t="s">
        <v>288</v>
      </c>
      <c r="D113" s="3">
        <v>40620.635277777779</v>
      </c>
      <c r="E113" s="8" t="s">
        <v>679</v>
      </c>
      <c r="F113" s="8" t="s">
        <v>729</v>
      </c>
      <c r="G113" s="4" t="s">
        <v>336</v>
      </c>
      <c r="H113" s="3">
        <v>40620.717986111114</v>
      </c>
      <c r="L113">
        <f t="shared" si="4"/>
        <v>0</v>
      </c>
      <c r="Q113" t="str">
        <f t="shared" si="5"/>
        <v/>
      </c>
      <c r="R113" t="str">
        <f t="shared" si="6"/>
        <v/>
      </c>
      <c r="S113" t="str">
        <f t="shared" si="7"/>
        <v/>
      </c>
    </row>
    <row r="114" spans="1:19">
      <c r="A114" t="s">
        <v>1170</v>
      </c>
      <c r="C114" t="s">
        <v>295</v>
      </c>
      <c r="D114" s="3">
        <v>40620.588773148149</v>
      </c>
      <c r="E114" s="8" t="s">
        <v>1171</v>
      </c>
      <c r="F114" s="8">
        <v>2066157</v>
      </c>
      <c r="G114" s="2" t="s">
        <v>288</v>
      </c>
      <c r="H114" s="3">
        <v>40620.840648148151</v>
      </c>
      <c r="K114">
        <v>1</v>
      </c>
      <c r="L114">
        <f t="shared" si="4"/>
        <v>1</v>
      </c>
      <c r="Q114" t="str">
        <f t="shared" si="5"/>
        <v/>
      </c>
      <c r="R114" t="str">
        <f t="shared" si="6"/>
        <v/>
      </c>
      <c r="S114" t="str">
        <f t="shared" si="7"/>
        <v>TC,3f81160,2066157</v>
      </c>
    </row>
    <row r="115" spans="1:19">
      <c r="A115" t="s">
        <v>678</v>
      </c>
      <c r="C115" t="s">
        <v>288</v>
      </c>
      <c r="D115" s="3">
        <v>40620.635277777779</v>
      </c>
      <c r="E115" s="8" t="s">
        <v>679</v>
      </c>
      <c r="F115" s="8" t="s">
        <v>511</v>
      </c>
      <c r="G115" s="4" t="s">
        <v>336</v>
      </c>
      <c r="H115" s="3">
        <v>40620.929236111115</v>
      </c>
      <c r="L115">
        <f t="shared" si="4"/>
        <v>0</v>
      </c>
      <c r="Q115" t="str">
        <f t="shared" si="5"/>
        <v/>
      </c>
      <c r="R115" t="str">
        <f t="shared" si="6"/>
        <v/>
      </c>
      <c r="S115" t="str">
        <f t="shared" si="7"/>
        <v/>
      </c>
    </row>
    <row r="116" spans="1:19">
      <c r="A116" t="s">
        <v>633</v>
      </c>
      <c r="C116" t="s">
        <v>288</v>
      </c>
      <c r="D116" s="3">
        <v>40620.894687499997</v>
      </c>
      <c r="E116" s="8" t="s">
        <v>634</v>
      </c>
      <c r="F116" s="8" t="s">
        <v>635</v>
      </c>
      <c r="G116" s="2" t="s">
        <v>289</v>
      </c>
      <c r="H116" s="3">
        <v>40621.581678240742</v>
      </c>
      <c r="L116">
        <f t="shared" si="4"/>
        <v>0</v>
      </c>
      <c r="Q116" t="str">
        <f t="shared" si="5"/>
        <v/>
      </c>
      <c r="R116" t="str">
        <f t="shared" si="6"/>
        <v/>
      </c>
      <c r="S116" t="str">
        <f t="shared" si="7"/>
        <v/>
      </c>
    </row>
    <row r="117" spans="1:19">
      <c r="A117" t="s">
        <v>1134</v>
      </c>
      <c r="C117" t="s">
        <v>288</v>
      </c>
      <c r="D117" s="3">
        <v>40622.984131944446</v>
      </c>
      <c r="E117" s="8" t="s">
        <v>1135</v>
      </c>
      <c r="F117" s="8" t="s">
        <v>1136</v>
      </c>
      <c r="G117" s="2" t="s">
        <v>289</v>
      </c>
      <c r="H117" s="3">
        <v>40623.580347222225</v>
      </c>
      <c r="I117">
        <v>1</v>
      </c>
      <c r="L117">
        <f t="shared" si="4"/>
        <v>1</v>
      </c>
      <c r="Q117" t="str">
        <f t="shared" si="5"/>
        <v>MC,4b63591,ea3452c</v>
      </c>
      <c r="R117" t="str">
        <f t="shared" si="6"/>
        <v/>
      </c>
      <c r="S117" t="str">
        <f t="shared" si="7"/>
        <v/>
      </c>
    </row>
    <row r="118" spans="1:19">
      <c r="A118" t="s">
        <v>516</v>
      </c>
      <c r="C118" t="s">
        <v>416</v>
      </c>
      <c r="D118" s="3">
        <v>40624.417500000003</v>
      </c>
      <c r="E118" s="8" t="s">
        <v>517</v>
      </c>
      <c r="F118" s="8" t="s">
        <v>518</v>
      </c>
      <c r="G118" s="4" t="s">
        <v>306</v>
      </c>
      <c r="H118" s="3">
        <v>40624.712766203702</v>
      </c>
      <c r="K118">
        <v>1</v>
      </c>
      <c r="L118">
        <f t="shared" si="4"/>
        <v>1</v>
      </c>
      <c r="Q118" t="str">
        <f t="shared" si="5"/>
        <v/>
      </c>
      <c r="R118" t="str">
        <f t="shared" si="6"/>
        <v/>
      </c>
      <c r="S118" t="str">
        <f t="shared" si="7"/>
        <v>TC,33b796d,d5c2873</v>
      </c>
    </row>
    <row r="119" spans="1:19">
      <c r="A119" t="s">
        <v>510</v>
      </c>
      <c r="C119" t="s">
        <v>288</v>
      </c>
      <c r="D119" s="3">
        <v>40620.929236111115</v>
      </c>
      <c r="E119" s="8" t="s">
        <v>511</v>
      </c>
      <c r="F119" s="8" t="s">
        <v>512</v>
      </c>
      <c r="G119" s="4" t="s">
        <v>336</v>
      </c>
      <c r="H119" s="3">
        <v>40626.98846064815</v>
      </c>
      <c r="I119">
        <v>1</v>
      </c>
      <c r="L119">
        <f t="shared" si="4"/>
        <v>1</v>
      </c>
      <c r="Q119" t="str">
        <f t="shared" si="5"/>
        <v>MC,c21918d,b22a064</v>
      </c>
      <c r="R119" t="str">
        <f t="shared" si="6"/>
        <v/>
      </c>
      <c r="S119" t="str">
        <f t="shared" si="7"/>
        <v/>
      </c>
    </row>
    <row r="120" spans="1:19">
      <c r="A120" t="s">
        <v>606</v>
      </c>
      <c r="C120" t="s">
        <v>288</v>
      </c>
      <c r="D120" s="3">
        <v>40620.929236111115</v>
      </c>
      <c r="E120" s="8" t="s">
        <v>511</v>
      </c>
      <c r="F120" s="8" t="s">
        <v>607</v>
      </c>
      <c r="G120" s="4" t="s">
        <v>336</v>
      </c>
      <c r="H120" s="3">
        <v>40629.906400462962</v>
      </c>
      <c r="J120">
        <v>1</v>
      </c>
      <c r="L120">
        <f t="shared" si="4"/>
        <v>1</v>
      </c>
      <c r="Q120" t="str">
        <f t="shared" si="5"/>
        <v/>
      </c>
      <c r="R120" t="str">
        <f t="shared" si="6"/>
        <v>BC,c21918d,eadb72f</v>
      </c>
      <c r="S120" t="str">
        <f t="shared" si="7"/>
        <v/>
      </c>
    </row>
    <row r="121" spans="1:19">
      <c r="A121" t="s">
        <v>1309</v>
      </c>
      <c r="C121" t="s">
        <v>288</v>
      </c>
      <c r="D121" s="3">
        <v>40629.880613425928</v>
      </c>
      <c r="E121" s="8" t="s">
        <v>1310</v>
      </c>
      <c r="F121" s="8" t="s">
        <v>1311</v>
      </c>
      <c r="G121" s="2" t="s">
        <v>294</v>
      </c>
      <c r="H121" s="3">
        <v>40629.981099537035</v>
      </c>
      <c r="L121">
        <f t="shared" si="4"/>
        <v>0</v>
      </c>
      <c r="Q121" t="str">
        <f t="shared" si="5"/>
        <v/>
      </c>
      <c r="R121" t="str">
        <f t="shared" si="6"/>
        <v/>
      </c>
      <c r="S121" t="str">
        <f t="shared" si="7"/>
        <v/>
      </c>
    </row>
    <row r="122" spans="1:19">
      <c r="A122" t="s">
        <v>1383</v>
      </c>
      <c r="C122" t="s">
        <v>288</v>
      </c>
      <c r="D122" s="3">
        <v>40628.903831018521</v>
      </c>
      <c r="E122" s="8" t="s">
        <v>1384</v>
      </c>
      <c r="F122" s="8" t="s">
        <v>1385</v>
      </c>
      <c r="G122" s="4" t="s">
        <v>336</v>
      </c>
      <c r="H122" s="3">
        <v>40630.592453703706</v>
      </c>
      <c r="L122">
        <f t="shared" si="4"/>
        <v>0</v>
      </c>
      <c r="Q122" t="str">
        <f t="shared" si="5"/>
        <v/>
      </c>
      <c r="R122" t="str">
        <f t="shared" si="6"/>
        <v/>
      </c>
      <c r="S122" t="str">
        <f t="shared" si="7"/>
        <v/>
      </c>
    </row>
    <row r="123" spans="1:19">
      <c r="A123" t="s">
        <v>669</v>
      </c>
      <c r="C123" t="s">
        <v>288</v>
      </c>
      <c r="D123" s="3">
        <v>40630.592569444445</v>
      </c>
      <c r="E123" s="8" t="s">
        <v>670</v>
      </c>
      <c r="F123" s="8" t="s">
        <v>671</v>
      </c>
      <c r="G123" s="2" t="s">
        <v>438</v>
      </c>
      <c r="H123" s="3">
        <v>40630.606134259258</v>
      </c>
      <c r="J123">
        <v>1</v>
      </c>
      <c r="L123">
        <f t="shared" si="4"/>
        <v>1</v>
      </c>
      <c r="Q123" t="str">
        <f t="shared" si="5"/>
        <v/>
      </c>
      <c r="R123" t="str">
        <f t="shared" si="6"/>
        <v>BC,2b9b4d0,cf7bc42</v>
      </c>
      <c r="S123" t="str">
        <f t="shared" si="7"/>
        <v/>
      </c>
    </row>
    <row r="124" spans="1:19">
      <c r="A124" t="s">
        <v>1185</v>
      </c>
      <c r="C124" t="s">
        <v>288</v>
      </c>
      <c r="D124" s="3">
        <v>40631.375208333331</v>
      </c>
      <c r="E124" s="8" t="s">
        <v>1186</v>
      </c>
      <c r="F124" s="8" t="s">
        <v>1187</v>
      </c>
      <c r="G124" s="4" t="s">
        <v>336</v>
      </c>
      <c r="H124" s="3">
        <v>40631.432581018518</v>
      </c>
      <c r="L124">
        <f t="shared" si="4"/>
        <v>0</v>
      </c>
      <c r="Q124" t="str">
        <f t="shared" si="5"/>
        <v/>
      </c>
      <c r="R124" t="str">
        <f t="shared" si="6"/>
        <v/>
      </c>
      <c r="S124" t="str">
        <f t="shared" si="7"/>
        <v/>
      </c>
    </row>
    <row r="125" spans="1:19">
      <c r="A125" t="s">
        <v>1238</v>
      </c>
      <c r="C125" t="s">
        <v>299</v>
      </c>
      <c r="D125" s="3">
        <v>40625.667847222219</v>
      </c>
      <c r="E125" s="8" t="s">
        <v>1239</v>
      </c>
      <c r="F125" s="8" t="s">
        <v>570</v>
      </c>
      <c r="G125" s="2" t="s">
        <v>288</v>
      </c>
      <c r="H125" s="3">
        <v>40632.41678240741</v>
      </c>
      <c r="L125">
        <f t="shared" si="4"/>
        <v>0</v>
      </c>
      <c r="Q125" t="str">
        <f t="shared" si="5"/>
        <v/>
      </c>
      <c r="R125" t="str">
        <f t="shared" si="6"/>
        <v/>
      </c>
      <c r="S125" t="str">
        <f t="shared" si="7"/>
        <v/>
      </c>
    </row>
    <row r="126" spans="1:19">
      <c r="A126" t="s">
        <v>569</v>
      </c>
      <c r="C126" t="s">
        <v>288</v>
      </c>
      <c r="D126" s="3">
        <v>40632.41678240741</v>
      </c>
      <c r="E126" s="8" t="s">
        <v>570</v>
      </c>
      <c r="F126" s="8" t="s">
        <v>571</v>
      </c>
      <c r="G126" s="4" t="s">
        <v>336</v>
      </c>
      <c r="H126" s="3">
        <v>40632.423449074071</v>
      </c>
      <c r="I126">
        <v>1</v>
      </c>
      <c r="L126">
        <f t="shared" si="4"/>
        <v>1</v>
      </c>
      <c r="Q126" t="str">
        <f t="shared" si="5"/>
        <v>MC,55debe8,92e7aa0</v>
      </c>
      <c r="R126" t="str">
        <f t="shared" si="6"/>
        <v/>
      </c>
      <c r="S126" t="str">
        <f t="shared" si="7"/>
        <v/>
      </c>
    </row>
    <row r="127" spans="1:19">
      <c r="A127" t="s">
        <v>475</v>
      </c>
      <c r="B127" t="s">
        <v>45</v>
      </c>
      <c r="C127" t="s">
        <v>294</v>
      </c>
      <c r="D127" s="3">
        <v>40629.981099537035</v>
      </c>
      <c r="E127" s="8" t="s">
        <v>476</v>
      </c>
      <c r="F127" s="8" t="s">
        <v>477</v>
      </c>
      <c r="G127" s="4" t="s">
        <v>288</v>
      </c>
      <c r="H127" s="3">
        <v>40632.606296296297</v>
      </c>
      <c r="L127">
        <f t="shared" si="4"/>
        <v>0</v>
      </c>
      <c r="Q127" t="str">
        <f t="shared" si="5"/>
        <v/>
      </c>
      <c r="R127" t="str">
        <f t="shared" si="6"/>
        <v/>
      </c>
      <c r="S127" t="str">
        <f t="shared" si="7"/>
        <v/>
      </c>
    </row>
    <row r="128" spans="1:19">
      <c r="A128" t="s">
        <v>1453</v>
      </c>
      <c r="C128" t="s">
        <v>299</v>
      </c>
      <c r="D128" s="3">
        <v>40632.50582175926</v>
      </c>
      <c r="E128" s="8" t="s">
        <v>1454</v>
      </c>
      <c r="F128" s="8" t="s">
        <v>1455</v>
      </c>
      <c r="G128" s="2" t="s">
        <v>1581</v>
      </c>
      <c r="H128" s="3">
        <v>40632.723993055559</v>
      </c>
      <c r="J128">
        <v>1</v>
      </c>
      <c r="L128">
        <f t="shared" si="4"/>
        <v>1</v>
      </c>
      <c r="Q128" t="str">
        <f t="shared" si="5"/>
        <v/>
      </c>
      <c r="R128" t="str">
        <f t="shared" si="6"/>
        <v>BC,cd083bf,d8096f2</v>
      </c>
      <c r="S128" t="str">
        <f t="shared" si="7"/>
        <v/>
      </c>
    </row>
    <row r="129" spans="1:19">
      <c r="A129" t="s">
        <v>1056</v>
      </c>
      <c r="C129" t="s">
        <v>288</v>
      </c>
      <c r="D129" s="3">
        <v>40632.606296296297</v>
      </c>
      <c r="E129" s="8" t="s">
        <v>477</v>
      </c>
      <c r="F129" s="8" t="s">
        <v>1057</v>
      </c>
      <c r="G129" s="2" t="s">
        <v>299</v>
      </c>
      <c r="H129" s="3">
        <v>40632.724247685182</v>
      </c>
      <c r="J129">
        <v>1</v>
      </c>
      <c r="L129">
        <f t="shared" si="4"/>
        <v>1</v>
      </c>
      <c r="Q129" t="str">
        <f t="shared" si="5"/>
        <v/>
      </c>
      <c r="R129" t="str">
        <f t="shared" si="6"/>
        <v>BC,4129ac5,afa9e5b</v>
      </c>
      <c r="S129" t="str">
        <f t="shared" si="7"/>
        <v/>
      </c>
    </row>
    <row r="130" spans="1:19">
      <c r="A130" t="s">
        <v>675</v>
      </c>
      <c r="C130" t="s">
        <v>288</v>
      </c>
      <c r="D130" s="3">
        <v>40632.423449074071</v>
      </c>
      <c r="E130" s="8" t="s">
        <v>676</v>
      </c>
      <c r="F130" s="8" t="s">
        <v>677</v>
      </c>
      <c r="G130" s="2" t="s">
        <v>299</v>
      </c>
      <c r="H130" s="3">
        <v>40633.414953703701</v>
      </c>
      <c r="I130">
        <v>1</v>
      </c>
      <c r="L130">
        <f t="shared" ref="L130:L193" si="8">COUNTA(I130:K130)</f>
        <v>1</v>
      </c>
      <c r="Q130" t="str">
        <f t="shared" si="5"/>
        <v>MC,205fea6,9194d14</v>
      </c>
      <c r="R130" t="str">
        <f t="shared" si="6"/>
        <v/>
      </c>
      <c r="S130" t="str">
        <f t="shared" si="7"/>
        <v/>
      </c>
    </row>
    <row r="131" spans="1:19">
      <c r="A131" t="s">
        <v>664</v>
      </c>
      <c r="C131" t="s">
        <v>288</v>
      </c>
      <c r="D131" s="3">
        <v>40632.901886574073</v>
      </c>
      <c r="E131" s="8" t="s">
        <v>665</v>
      </c>
      <c r="F131" s="8" t="s">
        <v>585</v>
      </c>
      <c r="G131" s="2" t="s">
        <v>299</v>
      </c>
      <c r="H131" s="3">
        <v>40633.416678240741</v>
      </c>
      <c r="I131">
        <v>1</v>
      </c>
      <c r="L131">
        <f t="shared" si="8"/>
        <v>1</v>
      </c>
      <c r="Q131" t="str">
        <f t="shared" ref="Q131:Q194" si="9">IF(I131&gt;0,CONCATENATE("MC,",E131,",",F131),"")</f>
        <v>MC,ff05abe,782f7f7</v>
      </c>
      <c r="R131" t="str">
        <f t="shared" ref="R131:R194" si="10">IF(J131&gt;0,CONCATENATE("BC,",E131,",",F131),"")</f>
        <v/>
      </c>
      <c r="S131" t="str">
        <f t="shared" ref="S131:S194" si="11">IF(K131&gt;0,CONCATENATE("TC,",E131,",",F131),"")</f>
        <v/>
      </c>
    </row>
    <row r="132" spans="1:19">
      <c r="A132" t="s">
        <v>1459</v>
      </c>
      <c r="C132" t="s">
        <v>288</v>
      </c>
      <c r="D132" s="3">
        <v>40632.606296296297</v>
      </c>
      <c r="E132" s="8" t="s">
        <v>477</v>
      </c>
      <c r="F132" s="8" t="s">
        <v>1460</v>
      </c>
      <c r="G132" s="2" t="s">
        <v>299</v>
      </c>
      <c r="H132" s="3">
        <v>40633.691030092596</v>
      </c>
      <c r="J132">
        <v>1</v>
      </c>
      <c r="L132">
        <f t="shared" si="8"/>
        <v>1</v>
      </c>
      <c r="Q132" t="str">
        <f t="shared" si="9"/>
        <v/>
      </c>
      <c r="R132" t="str">
        <f t="shared" si="10"/>
        <v>BC,4129ac5,97f1d02</v>
      </c>
      <c r="S132" t="str">
        <f t="shared" si="11"/>
        <v/>
      </c>
    </row>
    <row r="133" spans="1:19">
      <c r="A133" t="s">
        <v>1332</v>
      </c>
      <c r="C133" t="s">
        <v>288</v>
      </c>
      <c r="D133" s="3">
        <v>40632.901886574073</v>
      </c>
      <c r="E133" s="8" t="s">
        <v>665</v>
      </c>
      <c r="F133" s="8" t="s">
        <v>1333</v>
      </c>
      <c r="G133" s="4" t="s">
        <v>336</v>
      </c>
      <c r="H133" s="3">
        <v>40633.790567129632</v>
      </c>
      <c r="L133">
        <f t="shared" si="8"/>
        <v>0</v>
      </c>
      <c r="Q133" t="str">
        <f t="shared" si="9"/>
        <v/>
      </c>
      <c r="R133" t="str">
        <f t="shared" si="10"/>
        <v/>
      </c>
      <c r="S133" t="str">
        <f t="shared" si="11"/>
        <v/>
      </c>
    </row>
    <row r="134" spans="1:19">
      <c r="A134" t="s">
        <v>584</v>
      </c>
      <c r="C134" t="s">
        <v>299</v>
      </c>
      <c r="D134" s="3">
        <v>40633.416678240741</v>
      </c>
      <c r="E134" s="8" t="s">
        <v>585</v>
      </c>
      <c r="F134" s="8" t="s">
        <v>586</v>
      </c>
      <c r="G134" s="2" t="s">
        <v>288</v>
      </c>
      <c r="H134" s="3">
        <v>40633.791666666664</v>
      </c>
      <c r="I134">
        <v>1</v>
      </c>
      <c r="L134">
        <f t="shared" si="8"/>
        <v>1</v>
      </c>
      <c r="Q134" t="str">
        <f t="shared" si="9"/>
        <v>MC,782f7f7,5bbc78f</v>
      </c>
      <c r="R134" t="str">
        <f t="shared" si="10"/>
        <v/>
      </c>
      <c r="S134" t="str">
        <f t="shared" si="11"/>
        <v/>
      </c>
    </row>
    <row r="135" spans="1:19">
      <c r="A135" t="s">
        <v>1154</v>
      </c>
      <c r="C135" t="s">
        <v>288</v>
      </c>
      <c r="D135" s="3">
        <v>40633.763344907406</v>
      </c>
      <c r="E135" s="8" t="s">
        <v>1155</v>
      </c>
      <c r="F135" s="8" t="s">
        <v>1156</v>
      </c>
      <c r="G135" s="4" t="s">
        <v>336</v>
      </c>
      <c r="H135" s="3">
        <v>40633.793113425927</v>
      </c>
      <c r="I135">
        <v>1</v>
      </c>
      <c r="L135">
        <f t="shared" si="8"/>
        <v>1</v>
      </c>
      <c r="Q135" t="str">
        <f t="shared" si="9"/>
        <v>MC,55d1f1f,427a8ab</v>
      </c>
      <c r="R135" t="str">
        <f t="shared" si="10"/>
        <v/>
      </c>
      <c r="S135" t="str">
        <f t="shared" si="11"/>
        <v/>
      </c>
    </row>
    <row r="136" spans="1:19">
      <c r="A136" t="s">
        <v>711</v>
      </c>
      <c r="C136" t="s">
        <v>288</v>
      </c>
      <c r="D136" s="3">
        <v>40632.423449074071</v>
      </c>
      <c r="E136" s="8" t="s">
        <v>676</v>
      </c>
      <c r="F136" s="8" t="s">
        <v>712</v>
      </c>
      <c r="G136" s="2" t="s">
        <v>300</v>
      </c>
      <c r="H136" s="3">
        <v>40633.951550925929</v>
      </c>
      <c r="L136">
        <f t="shared" si="8"/>
        <v>0</v>
      </c>
      <c r="Q136" t="str">
        <f t="shared" si="9"/>
        <v/>
      </c>
      <c r="R136" t="str">
        <f t="shared" si="10"/>
        <v/>
      </c>
      <c r="S136" t="str">
        <f t="shared" si="11"/>
        <v/>
      </c>
    </row>
    <row r="137" spans="1:19">
      <c r="A137" t="s">
        <v>1423</v>
      </c>
      <c r="C137" t="s">
        <v>294</v>
      </c>
      <c r="D137" s="3">
        <v>40633.069467592592</v>
      </c>
      <c r="E137" s="8" t="s">
        <v>1424</v>
      </c>
      <c r="F137" s="8" t="s">
        <v>712</v>
      </c>
      <c r="G137" s="2" t="s">
        <v>300</v>
      </c>
      <c r="H137" s="3">
        <v>40633.951550925929</v>
      </c>
      <c r="J137">
        <v>1</v>
      </c>
      <c r="L137">
        <f t="shared" si="8"/>
        <v>1</v>
      </c>
      <c r="Q137" t="str">
        <f t="shared" si="9"/>
        <v/>
      </c>
      <c r="R137" t="str">
        <f t="shared" si="10"/>
        <v>BC,821bf00,bafc4f6</v>
      </c>
      <c r="S137" t="str">
        <f t="shared" si="11"/>
        <v/>
      </c>
    </row>
    <row r="138" spans="1:19">
      <c r="A138" t="s">
        <v>578</v>
      </c>
      <c r="C138" t="s">
        <v>288</v>
      </c>
      <c r="D138" s="3">
        <v>40634.62972222222</v>
      </c>
      <c r="E138" s="8" t="s">
        <v>579</v>
      </c>
      <c r="F138" s="8" t="s">
        <v>433</v>
      </c>
      <c r="G138" s="4" t="s">
        <v>336</v>
      </c>
      <c r="H138" s="3">
        <v>40634.634675925925</v>
      </c>
      <c r="K138">
        <v>1</v>
      </c>
      <c r="L138">
        <f t="shared" si="8"/>
        <v>1</v>
      </c>
      <c r="Q138" t="str">
        <f t="shared" si="9"/>
        <v/>
      </c>
      <c r="R138" t="str">
        <f t="shared" si="10"/>
        <v/>
      </c>
      <c r="S138" t="str">
        <f t="shared" si="11"/>
        <v>TC,9a9ac35,9b03bf4</v>
      </c>
    </row>
    <row r="139" spans="1:19">
      <c r="A139" t="s">
        <v>1107</v>
      </c>
      <c r="C139" t="s">
        <v>288</v>
      </c>
      <c r="D139" s="3">
        <v>40634.601226851853</v>
      </c>
      <c r="E139" s="8" t="s">
        <v>1108</v>
      </c>
      <c r="F139" s="8" t="s">
        <v>1109</v>
      </c>
      <c r="G139" s="2" t="s">
        <v>289</v>
      </c>
      <c r="H139" s="3">
        <v>40635.272743055553</v>
      </c>
      <c r="I139">
        <v>1</v>
      </c>
      <c r="L139">
        <f t="shared" si="8"/>
        <v>1</v>
      </c>
      <c r="Q139" t="str">
        <f t="shared" si="9"/>
        <v>MC,ad343a6,995f402</v>
      </c>
      <c r="R139" t="str">
        <f t="shared" si="10"/>
        <v/>
      </c>
      <c r="S139" t="str">
        <f t="shared" si="11"/>
        <v/>
      </c>
    </row>
    <row r="140" spans="1:19">
      <c r="A140" t="s">
        <v>432</v>
      </c>
      <c r="B140" t="s">
        <v>775</v>
      </c>
      <c r="C140" t="s">
        <v>288</v>
      </c>
      <c r="D140" s="3">
        <v>40634.634675925925</v>
      </c>
      <c r="E140" s="8" t="s">
        <v>433</v>
      </c>
      <c r="F140" s="8" t="s">
        <v>434</v>
      </c>
      <c r="G140" s="4" t="s">
        <v>289</v>
      </c>
      <c r="H140" s="3">
        <v>40635.34306712963</v>
      </c>
      <c r="L140">
        <f t="shared" si="8"/>
        <v>0</v>
      </c>
      <c r="Q140" t="str">
        <f t="shared" si="9"/>
        <v/>
      </c>
      <c r="R140" t="str">
        <f t="shared" si="10"/>
        <v/>
      </c>
      <c r="S140" t="str">
        <f t="shared" si="11"/>
        <v/>
      </c>
    </row>
    <row r="141" spans="1:19">
      <c r="A141" t="s">
        <v>1000</v>
      </c>
      <c r="C141" t="s">
        <v>289</v>
      </c>
      <c r="D141" s="3">
        <v>40636.227476851855</v>
      </c>
      <c r="E141" s="8" t="s">
        <v>1001</v>
      </c>
      <c r="F141" s="8" t="s">
        <v>1002</v>
      </c>
      <c r="G141" s="2" t="s">
        <v>288</v>
      </c>
      <c r="H141" s="3">
        <v>40637.410833333335</v>
      </c>
      <c r="L141">
        <f t="shared" si="8"/>
        <v>0</v>
      </c>
      <c r="Q141" t="str">
        <f t="shared" si="9"/>
        <v/>
      </c>
      <c r="R141" t="str">
        <f t="shared" si="10"/>
        <v/>
      </c>
      <c r="S141" t="str">
        <f t="shared" si="11"/>
        <v/>
      </c>
    </row>
    <row r="142" spans="1:19">
      <c r="A142" t="s">
        <v>1178</v>
      </c>
      <c r="C142" t="s">
        <v>292</v>
      </c>
      <c r="D142" s="3">
        <v>40643.604108796295</v>
      </c>
      <c r="E142" s="8" t="s">
        <v>1179</v>
      </c>
      <c r="F142" s="8" t="s">
        <v>1180</v>
      </c>
      <c r="G142" s="2" t="s">
        <v>288</v>
      </c>
      <c r="H142" s="3">
        <v>40644.391863425924</v>
      </c>
      <c r="L142">
        <f t="shared" si="8"/>
        <v>0</v>
      </c>
      <c r="Q142" t="str">
        <f t="shared" si="9"/>
        <v/>
      </c>
      <c r="R142" t="str">
        <f t="shared" si="10"/>
        <v/>
      </c>
      <c r="S142" t="str">
        <f t="shared" si="11"/>
        <v/>
      </c>
    </row>
    <row r="143" spans="1:19">
      <c r="A143" t="s">
        <v>1042</v>
      </c>
      <c r="C143" t="s">
        <v>294</v>
      </c>
      <c r="D143" s="3">
        <v>40634.028726851851</v>
      </c>
      <c r="E143" s="8" t="s">
        <v>1043</v>
      </c>
      <c r="F143" s="8" t="s">
        <v>1044</v>
      </c>
      <c r="G143" s="2" t="s">
        <v>288</v>
      </c>
      <c r="H143" s="3">
        <v>40646.385740740741</v>
      </c>
      <c r="J143">
        <v>1</v>
      </c>
      <c r="L143">
        <f t="shared" si="8"/>
        <v>1</v>
      </c>
      <c r="Q143" t="str">
        <f t="shared" si="9"/>
        <v/>
      </c>
      <c r="R143" t="str">
        <f t="shared" si="10"/>
        <v>BC,54d9840,6065a95</v>
      </c>
      <c r="S143" t="str">
        <f t="shared" si="11"/>
        <v/>
      </c>
    </row>
    <row r="144" spans="1:19">
      <c r="A144" t="s">
        <v>1163</v>
      </c>
      <c r="C144" t="s">
        <v>288</v>
      </c>
      <c r="D144" s="3">
        <v>40648.731712962966</v>
      </c>
      <c r="E144" s="8" t="s">
        <v>1164</v>
      </c>
      <c r="F144" s="8" t="s">
        <v>1165</v>
      </c>
      <c r="G144" s="4" t="s">
        <v>336</v>
      </c>
      <c r="H144" s="3">
        <v>40648.841087962966</v>
      </c>
      <c r="I144">
        <v>1</v>
      </c>
      <c r="L144">
        <f t="shared" si="8"/>
        <v>1</v>
      </c>
      <c r="Q144" t="str">
        <f t="shared" si="9"/>
        <v>MC,5b0fcc6,d3d564c</v>
      </c>
      <c r="R144" t="str">
        <f t="shared" si="10"/>
        <v/>
      </c>
      <c r="S144" t="str">
        <f t="shared" si="11"/>
        <v/>
      </c>
    </row>
    <row r="145" spans="1:19">
      <c r="A145" t="s">
        <v>1131</v>
      </c>
      <c r="C145" t="s">
        <v>288</v>
      </c>
      <c r="D145" s="3">
        <v>40648.621666666666</v>
      </c>
      <c r="E145" s="8" t="s">
        <v>1132</v>
      </c>
      <c r="F145" s="8" t="s">
        <v>1133</v>
      </c>
      <c r="G145" s="2" t="s">
        <v>289</v>
      </c>
      <c r="H145" s="3">
        <v>40648.916319444441</v>
      </c>
      <c r="I145">
        <v>1</v>
      </c>
      <c r="L145">
        <f t="shared" si="8"/>
        <v>1</v>
      </c>
      <c r="Q145" t="str">
        <f t="shared" si="9"/>
        <v>MC,ff1f609,b8152f4</v>
      </c>
      <c r="R145" t="str">
        <f t="shared" si="10"/>
        <v/>
      </c>
      <c r="S145" t="str">
        <f t="shared" si="11"/>
        <v/>
      </c>
    </row>
    <row r="146" spans="1:19">
      <c r="A146" t="s">
        <v>1151</v>
      </c>
      <c r="C146" t="s">
        <v>288</v>
      </c>
      <c r="D146" s="3">
        <v>40648.902824074074</v>
      </c>
      <c r="E146" s="8" t="s">
        <v>1152</v>
      </c>
      <c r="F146" s="8" t="s">
        <v>1153</v>
      </c>
      <c r="G146" s="4" t="s">
        <v>336</v>
      </c>
      <c r="H146" s="3">
        <v>40648.935798611114</v>
      </c>
      <c r="L146">
        <f t="shared" si="8"/>
        <v>0</v>
      </c>
      <c r="Q146" t="str">
        <f t="shared" si="9"/>
        <v/>
      </c>
      <c r="R146" t="str">
        <f t="shared" si="10"/>
        <v/>
      </c>
      <c r="S146" t="str">
        <f t="shared" si="11"/>
        <v/>
      </c>
    </row>
    <row r="147" spans="1:19">
      <c r="A147" t="s">
        <v>1061</v>
      </c>
      <c r="C147" t="s">
        <v>288</v>
      </c>
      <c r="D147" s="3">
        <v>40648.955590277779</v>
      </c>
      <c r="E147" s="8" t="s">
        <v>1062</v>
      </c>
      <c r="F147" s="8" t="s">
        <v>538</v>
      </c>
      <c r="G147" s="4" t="s">
        <v>336</v>
      </c>
      <c r="H147" s="3">
        <v>40648.95753472222</v>
      </c>
      <c r="J147">
        <v>1</v>
      </c>
      <c r="L147">
        <f t="shared" si="8"/>
        <v>1</v>
      </c>
      <c r="Q147" t="str">
        <f t="shared" si="9"/>
        <v/>
      </c>
      <c r="R147" t="str">
        <f t="shared" si="10"/>
        <v>BC,fcf7f46,f3c44a0</v>
      </c>
      <c r="S147" t="str">
        <f t="shared" si="11"/>
        <v/>
      </c>
    </row>
    <row r="148" spans="1:19">
      <c r="A148" t="s">
        <v>537</v>
      </c>
      <c r="C148" t="s">
        <v>288</v>
      </c>
      <c r="D148" s="3">
        <v>40648.95753472222</v>
      </c>
      <c r="E148" s="8" t="s">
        <v>538</v>
      </c>
      <c r="F148" s="8" t="s">
        <v>539</v>
      </c>
      <c r="G148" s="4" t="s">
        <v>336</v>
      </c>
      <c r="H148" s="3">
        <v>40651.553437499999</v>
      </c>
      <c r="I148">
        <v>1</v>
      </c>
      <c r="L148">
        <f t="shared" si="8"/>
        <v>1</v>
      </c>
      <c r="Q148" t="str">
        <f t="shared" si="9"/>
        <v>MC,f3c44a0,31e7dae</v>
      </c>
      <c r="R148" t="str">
        <f t="shared" si="10"/>
        <v/>
      </c>
      <c r="S148" t="str">
        <f t="shared" si="11"/>
        <v/>
      </c>
    </row>
    <row r="149" spans="1:19">
      <c r="A149" t="s">
        <v>1477</v>
      </c>
      <c r="C149" t="s">
        <v>288</v>
      </c>
      <c r="D149" s="3">
        <v>40651.556504629632</v>
      </c>
      <c r="E149" s="8" t="s">
        <v>1478</v>
      </c>
      <c r="F149" s="8" t="s">
        <v>1479</v>
      </c>
      <c r="G149" s="4" t="s">
        <v>336</v>
      </c>
      <c r="H149" s="3">
        <v>40651.559212962966</v>
      </c>
      <c r="J149">
        <v>1</v>
      </c>
      <c r="L149">
        <f t="shared" si="8"/>
        <v>1</v>
      </c>
      <c r="Q149" t="str">
        <f t="shared" si="9"/>
        <v/>
      </c>
      <c r="R149" t="str">
        <f t="shared" si="10"/>
        <v>BC,5c21f12,0ecb07b</v>
      </c>
      <c r="S149" t="str">
        <f t="shared" si="11"/>
        <v/>
      </c>
    </row>
    <row r="150" spans="1:19">
      <c r="A150" t="s">
        <v>1023</v>
      </c>
      <c r="C150" t="s">
        <v>315</v>
      </c>
      <c r="D150" s="3">
        <v>40651.55940972222</v>
      </c>
      <c r="E150" s="8" t="s">
        <v>1024</v>
      </c>
      <c r="F150" s="8" t="s">
        <v>1025</v>
      </c>
      <c r="G150" s="2" t="s">
        <v>288</v>
      </c>
      <c r="H150" s="3">
        <v>40651.561539351853</v>
      </c>
      <c r="L150">
        <f t="shared" si="8"/>
        <v>0</v>
      </c>
      <c r="Q150" t="str">
        <f t="shared" si="9"/>
        <v/>
      </c>
      <c r="R150" t="str">
        <f t="shared" si="10"/>
        <v/>
      </c>
      <c r="S150" t="str">
        <f t="shared" si="11"/>
        <v/>
      </c>
    </row>
    <row r="151" spans="1:19">
      <c r="A151" t="s">
        <v>793</v>
      </c>
      <c r="C151" t="s">
        <v>288</v>
      </c>
      <c r="D151" s="3">
        <v>40651.562025462961</v>
      </c>
      <c r="E151" s="8" t="s">
        <v>794</v>
      </c>
      <c r="F151" s="8" t="s">
        <v>795</v>
      </c>
      <c r="G151" s="4" t="s">
        <v>336</v>
      </c>
      <c r="H151" s="3">
        <v>40651.562523148146</v>
      </c>
      <c r="I151">
        <v>1</v>
      </c>
      <c r="L151">
        <f t="shared" si="8"/>
        <v>1</v>
      </c>
      <c r="Q151" t="str">
        <f t="shared" si="9"/>
        <v>MC,4bf8f09,b013c4d</v>
      </c>
      <c r="R151" t="str">
        <f t="shared" si="10"/>
        <v/>
      </c>
      <c r="S151" t="str">
        <f t="shared" si="11"/>
        <v/>
      </c>
    </row>
    <row r="152" spans="1:19">
      <c r="A152" t="s">
        <v>594</v>
      </c>
      <c r="C152" t="s">
        <v>288</v>
      </c>
      <c r="D152" s="3">
        <v>40651.558622685188</v>
      </c>
      <c r="E152" s="8" t="s">
        <v>595</v>
      </c>
      <c r="F152" s="8" t="s">
        <v>596</v>
      </c>
      <c r="G152" s="2" t="s">
        <v>300</v>
      </c>
      <c r="H152" s="3">
        <v>40651.909675925926</v>
      </c>
      <c r="L152">
        <f t="shared" si="8"/>
        <v>0</v>
      </c>
      <c r="Q152" t="str">
        <f t="shared" si="9"/>
        <v/>
      </c>
      <c r="R152" t="str">
        <f t="shared" si="10"/>
        <v/>
      </c>
      <c r="S152" t="str">
        <f t="shared" si="11"/>
        <v/>
      </c>
    </row>
    <row r="153" spans="1:19">
      <c r="A153" t="s">
        <v>1091</v>
      </c>
      <c r="C153" t="s">
        <v>288</v>
      </c>
      <c r="D153" s="3">
        <v>40651.562523148146</v>
      </c>
      <c r="E153" s="8" t="s">
        <v>795</v>
      </c>
      <c r="F153" s="8" t="s">
        <v>1092</v>
      </c>
      <c r="G153" s="4" t="s">
        <v>336</v>
      </c>
      <c r="H153" s="3">
        <v>40651.918217592596</v>
      </c>
      <c r="I153">
        <v>1</v>
      </c>
      <c r="L153">
        <f t="shared" si="8"/>
        <v>1</v>
      </c>
      <c r="Q153" t="str">
        <f t="shared" si="9"/>
        <v>MC,b013c4d,1d4abe2</v>
      </c>
      <c r="R153" t="str">
        <f t="shared" si="10"/>
        <v/>
      </c>
      <c r="S153" t="str">
        <f t="shared" si="11"/>
        <v/>
      </c>
    </row>
    <row r="154" spans="1:19">
      <c r="A154" t="s">
        <v>1128</v>
      </c>
      <c r="C154" t="s">
        <v>288</v>
      </c>
      <c r="D154" s="3">
        <v>40651.918217592596</v>
      </c>
      <c r="E154" s="8" t="s">
        <v>1092</v>
      </c>
      <c r="F154" s="8" t="s">
        <v>1129</v>
      </c>
      <c r="G154" s="2" t="s">
        <v>1130</v>
      </c>
      <c r="H154" s="3">
        <v>40651.94122685185</v>
      </c>
      <c r="I154">
        <v>1</v>
      </c>
      <c r="J154">
        <v>1</v>
      </c>
      <c r="L154">
        <f t="shared" si="8"/>
        <v>2</v>
      </c>
      <c r="Q154" t="str">
        <f t="shared" si="9"/>
        <v>MC,1d4abe2,d1f862d</v>
      </c>
      <c r="R154" t="str">
        <f t="shared" si="10"/>
        <v>BC,1d4abe2,d1f862d</v>
      </c>
      <c r="S154" t="str">
        <f t="shared" si="11"/>
        <v/>
      </c>
    </row>
    <row r="155" spans="1:19">
      <c r="A155" t="s">
        <v>753</v>
      </c>
      <c r="C155" t="s">
        <v>288</v>
      </c>
      <c r="D155" s="3">
        <v>40652.437719907408</v>
      </c>
      <c r="E155" s="8" t="s">
        <v>754</v>
      </c>
      <c r="F155" s="8" t="s">
        <v>755</v>
      </c>
      <c r="G155" s="4" t="s">
        <v>336</v>
      </c>
      <c r="H155" s="3">
        <v>40652.485671296294</v>
      </c>
      <c r="I155">
        <v>1</v>
      </c>
      <c r="L155">
        <f t="shared" si="8"/>
        <v>1</v>
      </c>
      <c r="Q155" t="str">
        <f t="shared" si="9"/>
        <v>MC,1369c4f,31bb961</v>
      </c>
      <c r="R155" t="str">
        <f t="shared" si="10"/>
        <v/>
      </c>
      <c r="S155" t="str">
        <f t="shared" si="11"/>
        <v/>
      </c>
    </row>
    <row r="156" spans="1:19">
      <c r="A156" s="1" t="s">
        <v>805</v>
      </c>
      <c r="C156" t="s">
        <v>294</v>
      </c>
      <c r="D156" s="3">
        <v>40647.134837962964</v>
      </c>
      <c r="E156" s="8" t="s">
        <v>806</v>
      </c>
      <c r="F156" s="8" t="s">
        <v>807</v>
      </c>
      <c r="G156" s="2" t="s">
        <v>289</v>
      </c>
      <c r="H156" s="3">
        <v>40653.323194444441</v>
      </c>
      <c r="L156">
        <f t="shared" si="8"/>
        <v>0</v>
      </c>
      <c r="Q156" t="str">
        <f t="shared" si="9"/>
        <v/>
      </c>
      <c r="R156" t="str">
        <f t="shared" si="10"/>
        <v/>
      </c>
      <c r="S156" t="str">
        <f t="shared" si="11"/>
        <v/>
      </c>
    </row>
    <row r="157" spans="1:19">
      <c r="A157" t="s">
        <v>1494</v>
      </c>
      <c r="C157" t="s">
        <v>295</v>
      </c>
      <c r="D157" s="3">
        <v>40654.533437500002</v>
      </c>
      <c r="E157" s="8" t="s">
        <v>1495</v>
      </c>
      <c r="F157" s="8" t="s">
        <v>1496</v>
      </c>
      <c r="G157" s="2" t="s">
        <v>288</v>
      </c>
      <c r="H157" s="3">
        <v>40654.639826388891</v>
      </c>
      <c r="I157">
        <v>1</v>
      </c>
      <c r="L157">
        <f t="shared" si="8"/>
        <v>1</v>
      </c>
      <c r="Q157" t="str">
        <f t="shared" si="9"/>
        <v>MC,f28409e,f5209cd</v>
      </c>
      <c r="R157" t="str">
        <f t="shared" si="10"/>
        <v/>
      </c>
      <c r="S157" t="str">
        <f t="shared" si="11"/>
        <v/>
      </c>
    </row>
    <row r="158" spans="1:19">
      <c r="A158" t="s">
        <v>1058</v>
      </c>
      <c r="C158" t="s">
        <v>288</v>
      </c>
      <c r="D158" s="3">
        <v>40655.459537037037</v>
      </c>
      <c r="E158" s="8" t="s">
        <v>1059</v>
      </c>
      <c r="F158" s="8" t="s">
        <v>1060</v>
      </c>
      <c r="G158" s="4" t="s">
        <v>336</v>
      </c>
      <c r="H158" s="3">
        <v>40655.539456018516</v>
      </c>
      <c r="I158">
        <v>1</v>
      </c>
      <c r="L158">
        <f t="shared" si="8"/>
        <v>1</v>
      </c>
      <c r="Q158" t="str">
        <f t="shared" si="9"/>
        <v>MC,23daeee,2220b7f</v>
      </c>
      <c r="R158" t="str">
        <f t="shared" si="10"/>
        <v/>
      </c>
      <c r="S158" t="str">
        <f t="shared" si="11"/>
        <v/>
      </c>
    </row>
    <row r="159" spans="1:19">
      <c r="A159" t="s">
        <v>1104</v>
      </c>
      <c r="C159" t="s">
        <v>288</v>
      </c>
      <c r="D159" s="3">
        <v>40654.878101851849</v>
      </c>
      <c r="E159" s="8" t="s">
        <v>1105</v>
      </c>
      <c r="F159" s="8" t="s">
        <v>1106</v>
      </c>
      <c r="G159" s="2" t="s">
        <v>291</v>
      </c>
      <c r="H159" s="3">
        <v>40655.811886574076</v>
      </c>
      <c r="J159">
        <v>1</v>
      </c>
      <c r="L159">
        <f t="shared" si="8"/>
        <v>1</v>
      </c>
      <c r="Q159" t="str">
        <f t="shared" si="9"/>
        <v/>
      </c>
      <c r="R159" t="str">
        <f t="shared" si="10"/>
        <v>BC,50f7aa3,7c5da9b</v>
      </c>
      <c r="S159" t="str">
        <f t="shared" si="11"/>
        <v/>
      </c>
    </row>
    <row r="160" spans="1:19">
      <c r="A160" t="s">
        <v>853</v>
      </c>
      <c r="C160" t="s">
        <v>289</v>
      </c>
      <c r="D160" s="3">
        <v>40656.97011574074</v>
      </c>
      <c r="E160" s="8" t="s">
        <v>854</v>
      </c>
      <c r="F160" s="8" t="s">
        <v>855</v>
      </c>
      <c r="G160" s="2" t="s">
        <v>288</v>
      </c>
      <c r="H160" s="3">
        <v>40658.514502314814</v>
      </c>
      <c r="I160">
        <v>1</v>
      </c>
      <c r="K160">
        <v>1</v>
      </c>
      <c r="L160">
        <f t="shared" si="8"/>
        <v>2</v>
      </c>
      <c r="Q160" t="str">
        <f t="shared" si="9"/>
        <v>MC,7540d09,ac1c08c</v>
      </c>
      <c r="R160" t="str">
        <f t="shared" si="10"/>
        <v/>
      </c>
      <c r="S160" t="str">
        <f t="shared" si="11"/>
        <v>TC,7540d09,ac1c08c</v>
      </c>
    </row>
    <row r="161" spans="1:19">
      <c r="A161" t="s">
        <v>1471</v>
      </c>
      <c r="C161" t="s">
        <v>288</v>
      </c>
      <c r="D161" s="3">
        <v>40658.560115740744</v>
      </c>
      <c r="E161" s="8" t="s">
        <v>1472</v>
      </c>
      <c r="F161" s="8" t="s">
        <v>1473</v>
      </c>
      <c r="G161" s="2" t="s">
        <v>416</v>
      </c>
      <c r="H161" s="3">
        <v>40658.968773148146</v>
      </c>
      <c r="J161">
        <v>1</v>
      </c>
      <c r="L161">
        <f t="shared" si="8"/>
        <v>1</v>
      </c>
      <c r="Q161" t="str">
        <f t="shared" si="9"/>
        <v/>
      </c>
      <c r="R161" t="str">
        <f t="shared" si="10"/>
        <v>BC,307af57,95b9ff4</v>
      </c>
      <c r="S161" t="str">
        <f t="shared" si="11"/>
        <v/>
      </c>
    </row>
    <row r="162" spans="1:19">
      <c r="A162" t="s">
        <v>1053</v>
      </c>
      <c r="C162" t="s">
        <v>288</v>
      </c>
      <c r="D162" s="3">
        <v>40659.734965277778</v>
      </c>
      <c r="E162" s="8" t="s">
        <v>1054</v>
      </c>
      <c r="F162" s="8" t="s">
        <v>1055</v>
      </c>
      <c r="G162" s="2" t="s">
        <v>974</v>
      </c>
      <c r="H162" s="3">
        <v>40661.752569444441</v>
      </c>
      <c r="J162">
        <v>1</v>
      </c>
      <c r="L162">
        <f t="shared" si="8"/>
        <v>1</v>
      </c>
      <c r="Q162" t="str">
        <f t="shared" si="9"/>
        <v/>
      </c>
      <c r="R162" t="str">
        <f t="shared" si="10"/>
        <v>BC,8d29f47,539ea13</v>
      </c>
      <c r="S162" t="str">
        <f t="shared" si="11"/>
        <v/>
      </c>
    </row>
    <row r="163" spans="1:19">
      <c r="A163" t="s">
        <v>485</v>
      </c>
      <c r="B163" t="s">
        <v>631</v>
      </c>
      <c r="C163" t="s">
        <v>288</v>
      </c>
      <c r="D163" s="3">
        <v>40661.711574074077</v>
      </c>
      <c r="E163" s="8" t="s">
        <v>486</v>
      </c>
      <c r="F163" s="8" t="s">
        <v>487</v>
      </c>
      <c r="G163" s="4" t="s">
        <v>488</v>
      </c>
      <c r="H163" s="3">
        <v>40661.900243055556</v>
      </c>
      <c r="L163">
        <f t="shared" si="8"/>
        <v>0</v>
      </c>
      <c r="Q163" t="str">
        <f t="shared" si="9"/>
        <v/>
      </c>
      <c r="R163" t="str">
        <f t="shared" si="10"/>
        <v/>
      </c>
      <c r="S163" t="str">
        <f t="shared" si="11"/>
        <v/>
      </c>
    </row>
    <row r="164" spans="1:19">
      <c r="A164" t="s">
        <v>973</v>
      </c>
      <c r="C164" t="s">
        <v>974</v>
      </c>
      <c r="D164" s="3">
        <v>40661.754907407405</v>
      </c>
      <c r="E164" s="8" t="s">
        <v>975</v>
      </c>
      <c r="F164" s="8" t="s">
        <v>976</v>
      </c>
      <c r="G164" s="2" t="s">
        <v>651</v>
      </c>
      <c r="H164" s="3">
        <v>40661.934548611112</v>
      </c>
      <c r="L164">
        <f t="shared" si="8"/>
        <v>0</v>
      </c>
      <c r="Q164" t="str">
        <f t="shared" si="9"/>
        <v/>
      </c>
      <c r="R164" t="str">
        <f t="shared" si="10"/>
        <v/>
      </c>
      <c r="S164" t="str">
        <f t="shared" si="11"/>
        <v/>
      </c>
    </row>
    <row r="165" spans="1:19">
      <c r="A165" t="s">
        <v>650</v>
      </c>
      <c r="C165" t="s">
        <v>651</v>
      </c>
      <c r="D165" s="3">
        <v>40661.561041666668</v>
      </c>
      <c r="E165" s="8" t="s">
        <v>652</v>
      </c>
      <c r="F165" s="8" t="s">
        <v>653</v>
      </c>
      <c r="G165" s="2" t="s">
        <v>300</v>
      </c>
      <c r="H165" s="3">
        <v>40661.941874999997</v>
      </c>
      <c r="L165">
        <f t="shared" si="8"/>
        <v>0</v>
      </c>
      <c r="Q165" t="str">
        <f t="shared" si="9"/>
        <v/>
      </c>
      <c r="R165" t="str">
        <f t="shared" si="10"/>
        <v/>
      </c>
      <c r="S165" t="str">
        <f t="shared" si="11"/>
        <v/>
      </c>
    </row>
    <row r="166" spans="1:19">
      <c r="A166" t="s">
        <v>970</v>
      </c>
      <c r="C166" t="s">
        <v>325</v>
      </c>
      <c r="D166" s="3">
        <v>40659.490567129629</v>
      </c>
      <c r="E166" s="8" t="s">
        <v>971</v>
      </c>
      <c r="F166" s="8" t="s">
        <v>972</v>
      </c>
      <c r="G166" s="2" t="s">
        <v>300</v>
      </c>
      <c r="H166" s="3">
        <v>40662.050324074073</v>
      </c>
      <c r="I166">
        <v>1</v>
      </c>
      <c r="J166">
        <v>1</v>
      </c>
      <c r="L166">
        <f t="shared" si="8"/>
        <v>2</v>
      </c>
      <c r="Q166" t="str">
        <f t="shared" si="9"/>
        <v>MC,7b15c23,92606d7</v>
      </c>
      <c r="R166" t="str">
        <f t="shared" si="10"/>
        <v>BC,7b15c23,92606d7</v>
      </c>
      <c r="S166" t="str">
        <f t="shared" si="11"/>
        <v/>
      </c>
    </row>
    <row r="167" spans="1:19">
      <c r="A167" t="s">
        <v>1148</v>
      </c>
      <c r="C167" t="s">
        <v>294</v>
      </c>
      <c r="D167" s="3">
        <v>40653.032881944448</v>
      </c>
      <c r="E167" s="8" t="s">
        <v>1149</v>
      </c>
      <c r="F167" s="8" t="s">
        <v>1150</v>
      </c>
      <c r="G167" s="2" t="s">
        <v>300</v>
      </c>
      <c r="H167" s="3">
        <v>40662.427361111113</v>
      </c>
      <c r="L167">
        <f t="shared" si="8"/>
        <v>0</v>
      </c>
      <c r="Q167" t="str">
        <f t="shared" si="9"/>
        <v/>
      </c>
      <c r="R167" t="str">
        <f t="shared" si="10"/>
        <v/>
      </c>
      <c r="S167" t="str">
        <f t="shared" si="11"/>
        <v/>
      </c>
    </row>
    <row r="168" spans="1:19">
      <c r="A168" t="s">
        <v>1288</v>
      </c>
      <c r="C168" t="s">
        <v>294</v>
      </c>
      <c r="D168" s="3">
        <v>40664.292511574073</v>
      </c>
      <c r="E168" s="8" t="s">
        <v>1289</v>
      </c>
      <c r="F168" s="8" t="s">
        <v>1290</v>
      </c>
      <c r="G168" s="2" t="s">
        <v>288</v>
      </c>
      <c r="H168" s="3">
        <v>40664.63554398148</v>
      </c>
      <c r="L168">
        <f t="shared" si="8"/>
        <v>0</v>
      </c>
      <c r="Q168" t="str">
        <f t="shared" si="9"/>
        <v/>
      </c>
      <c r="R168" t="str">
        <f t="shared" si="10"/>
        <v/>
      </c>
      <c r="S168" t="str">
        <f t="shared" si="11"/>
        <v/>
      </c>
    </row>
    <row r="169" spans="1:19">
      <c r="A169" t="s">
        <v>1176</v>
      </c>
      <c r="C169" t="s">
        <v>300</v>
      </c>
      <c r="D169" s="3">
        <v>40662.427361111113</v>
      </c>
      <c r="E169" s="8" t="s">
        <v>1150</v>
      </c>
      <c r="F169" s="8" t="s">
        <v>1177</v>
      </c>
      <c r="G169" s="2" t="s">
        <v>294</v>
      </c>
      <c r="H169" s="3">
        <v>40664.665127314816</v>
      </c>
      <c r="L169">
        <f t="shared" si="8"/>
        <v>0</v>
      </c>
      <c r="Q169" t="str">
        <f t="shared" si="9"/>
        <v/>
      </c>
      <c r="R169" t="str">
        <f t="shared" si="10"/>
        <v/>
      </c>
      <c r="S169" t="str">
        <f t="shared" si="11"/>
        <v/>
      </c>
    </row>
    <row r="170" spans="1:19">
      <c r="A170" t="s">
        <v>560</v>
      </c>
      <c r="C170" t="s">
        <v>288</v>
      </c>
      <c r="D170" s="3">
        <v>40664.679166666669</v>
      </c>
      <c r="E170" s="8">
        <v>7149903</v>
      </c>
      <c r="F170" s="8" t="s">
        <v>561</v>
      </c>
      <c r="G170" s="4" t="s">
        <v>297</v>
      </c>
      <c r="H170" s="3">
        <v>40665.70380787037</v>
      </c>
      <c r="L170">
        <f t="shared" si="8"/>
        <v>0</v>
      </c>
      <c r="Q170" t="str">
        <f t="shared" si="9"/>
        <v/>
      </c>
      <c r="R170" t="str">
        <f t="shared" si="10"/>
        <v/>
      </c>
      <c r="S170" t="str">
        <f t="shared" si="11"/>
        <v/>
      </c>
    </row>
    <row r="171" spans="1:19">
      <c r="A171" t="s">
        <v>951</v>
      </c>
      <c r="C171" t="s">
        <v>288</v>
      </c>
      <c r="D171" s="3">
        <v>40664.537835648145</v>
      </c>
      <c r="E171" s="8" t="s">
        <v>952</v>
      </c>
      <c r="F171" s="8" t="s">
        <v>953</v>
      </c>
      <c r="G171" s="2" t="s">
        <v>297</v>
      </c>
      <c r="H171" s="3">
        <v>40666.702002314814</v>
      </c>
      <c r="L171">
        <f t="shared" si="8"/>
        <v>0</v>
      </c>
      <c r="Q171" t="str">
        <f t="shared" si="9"/>
        <v/>
      </c>
      <c r="R171" t="str">
        <f t="shared" si="10"/>
        <v/>
      </c>
      <c r="S171" t="str">
        <f t="shared" si="11"/>
        <v/>
      </c>
    </row>
    <row r="172" spans="1:19">
      <c r="A172" t="s">
        <v>1356</v>
      </c>
      <c r="C172" t="s">
        <v>300</v>
      </c>
      <c r="D172" s="3">
        <v>40666.330254629633</v>
      </c>
      <c r="E172" s="8" t="s">
        <v>1357</v>
      </c>
      <c r="F172" s="8" t="s">
        <v>1358</v>
      </c>
      <c r="G172" s="2" t="s">
        <v>297</v>
      </c>
      <c r="H172" s="3">
        <v>40666.706134259257</v>
      </c>
      <c r="L172">
        <f t="shared" si="8"/>
        <v>0</v>
      </c>
      <c r="Q172" t="str">
        <f t="shared" si="9"/>
        <v/>
      </c>
      <c r="R172" t="str">
        <f t="shared" si="10"/>
        <v/>
      </c>
      <c r="S172" t="str">
        <f t="shared" si="11"/>
        <v/>
      </c>
    </row>
    <row r="173" spans="1:19">
      <c r="A173" t="s">
        <v>1450</v>
      </c>
      <c r="C173" t="s">
        <v>300</v>
      </c>
      <c r="D173" s="3">
        <v>40666.334224537037</v>
      </c>
      <c r="E173" s="8" t="s">
        <v>1451</v>
      </c>
      <c r="F173" s="8" t="s">
        <v>1452</v>
      </c>
      <c r="G173" s="2" t="s">
        <v>297</v>
      </c>
      <c r="H173" s="3">
        <v>40666.717800925922</v>
      </c>
      <c r="K173">
        <v>1</v>
      </c>
      <c r="L173">
        <f t="shared" si="8"/>
        <v>1</v>
      </c>
      <c r="Q173" t="str">
        <f t="shared" si="9"/>
        <v/>
      </c>
      <c r="R173" t="str">
        <f t="shared" si="10"/>
        <v/>
      </c>
      <c r="S173" t="str">
        <f t="shared" si="11"/>
        <v>TC,69cdef2,e57f40d</v>
      </c>
    </row>
    <row r="174" spans="1:19">
      <c r="A174" t="s">
        <v>1380</v>
      </c>
      <c r="C174" t="s">
        <v>288</v>
      </c>
      <c r="D174" s="3">
        <v>40667.482488425929</v>
      </c>
      <c r="E174" s="8" t="s">
        <v>1381</v>
      </c>
      <c r="F174" s="8" t="s">
        <v>1382</v>
      </c>
      <c r="G174" s="2" t="s">
        <v>289</v>
      </c>
      <c r="H174" s="3">
        <v>40668.248437499999</v>
      </c>
      <c r="L174">
        <f t="shared" si="8"/>
        <v>0</v>
      </c>
      <c r="Q174" t="str">
        <f t="shared" si="9"/>
        <v/>
      </c>
      <c r="R174" t="str">
        <f t="shared" si="10"/>
        <v/>
      </c>
      <c r="S174" t="str">
        <f t="shared" si="11"/>
        <v/>
      </c>
    </row>
    <row r="175" spans="1:19">
      <c r="A175" t="s">
        <v>1365</v>
      </c>
      <c r="C175" t="s">
        <v>288</v>
      </c>
      <c r="D175" s="3">
        <v>40645.58189814815</v>
      </c>
      <c r="E175" s="8" t="s">
        <v>1366</v>
      </c>
      <c r="F175" s="8" t="s">
        <v>1367</v>
      </c>
      <c r="G175" s="2" t="s">
        <v>299</v>
      </c>
      <c r="H175" s="3">
        <v>40668.411736111113</v>
      </c>
      <c r="L175">
        <f t="shared" si="8"/>
        <v>0</v>
      </c>
      <c r="Q175" t="str">
        <f t="shared" si="9"/>
        <v/>
      </c>
      <c r="R175" t="str">
        <f t="shared" si="10"/>
        <v/>
      </c>
      <c r="S175" t="str">
        <f t="shared" si="11"/>
        <v/>
      </c>
    </row>
    <row r="176" spans="1:19">
      <c r="A176" t="s">
        <v>778</v>
      </c>
      <c r="C176" t="s">
        <v>297</v>
      </c>
      <c r="D176" s="3">
        <v>40668.705127314817</v>
      </c>
      <c r="E176" s="8" t="s">
        <v>779</v>
      </c>
      <c r="F176" s="8" t="s">
        <v>780</v>
      </c>
      <c r="G176" s="2" t="s">
        <v>289</v>
      </c>
      <c r="H176" s="3">
        <v>40668.809988425928</v>
      </c>
      <c r="L176">
        <f t="shared" si="8"/>
        <v>0</v>
      </c>
      <c r="Q176" t="str">
        <f t="shared" si="9"/>
        <v/>
      </c>
      <c r="R176" t="str">
        <f t="shared" si="10"/>
        <v/>
      </c>
      <c r="S176" t="str">
        <f t="shared" si="11"/>
        <v/>
      </c>
    </row>
    <row r="177" spans="1:19">
      <c r="A177" t="s">
        <v>901</v>
      </c>
      <c r="C177" t="s">
        <v>438</v>
      </c>
      <c r="D177" s="3">
        <v>40669.832905092589</v>
      </c>
      <c r="E177" s="8" t="s">
        <v>902</v>
      </c>
      <c r="F177" s="8">
        <v>7501670</v>
      </c>
      <c r="G177" s="2" t="s">
        <v>289</v>
      </c>
      <c r="H177" s="3">
        <v>40670.363796296297</v>
      </c>
      <c r="L177">
        <f t="shared" si="8"/>
        <v>0</v>
      </c>
      <c r="Q177" t="str">
        <f t="shared" si="9"/>
        <v/>
      </c>
      <c r="R177" t="str">
        <f t="shared" si="10"/>
        <v/>
      </c>
      <c r="S177" t="str">
        <f t="shared" si="11"/>
        <v/>
      </c>
    </row>
    <row r="178" spans="1:19">
      <c r="A178" t="s">
        <v>1416</v>
      </c>
      <c r="C178" t="s">
        <v>288</v>
      </c>
      <c r="D178" s="3">
        <v>40672.400185185186</v>
      </c>
      <c r="E178" s="8" t="s">
        <v>1417</v>
      </c>
      <c r="F178" s="8" t="s">
        <v>1418</v>
      </c>
      <c r="G178" s="2" t="s">
        <v>438</v>
      </c>
      <c r="H178" s="3">
        <v>40672.698553240742</v>
      </c>
      <c r="K178">
        <v>1</v>
      </c>
      <c r="L178">
        <f t="shared" si="8"/>
        <v>1</v>
      </c>
      <c r="Q178" t="str">
        <f t="shared" si="9"/>
        <v/>
      </c>
      <c r="R178" t="str">
        <f t="shared" si="10"/>
        <v/>
      </c>
      <c r="S178" t="str">
        <f t="shared" si="11"/>
        <v>TC,23da993,393e397</v>
      </c>
    </row>
    <row r="179" spans="1:19">
      <c r="A179" t="s">
        <v>672</v>
      </c>
      <c r="C179" t="s">
        <v>416</v>
      </c>
      <c r="D179" s="3">
        <v>40659.015879629631</v>
      </c>
      <c r="E179" s="8" t="s">
        <v>673</v>
      </c>
      <c r="F179" s="8" t="s">
        <v>674</v>
      </c>
      <c r="G179" s="2" t="s">
        <v>288</v>
      </c>
      <c r="H179" s="3">
        <v>40673.445381944446</v>
      </c>
      <c r="L179">
        <f t="shared" si="8"/>
        <v>0</v>
      </c>
      <c r="Q179" t="str">
        <f t="shared" si="9"/>
        <v/>
      </c>
      <c r="R179" t="str">
        <f t="shared" si="10"/>
        <v/>
      </c>
      <c r="S179" t="str">
        <f t="shared" si="11"/>
        <v/>
      </c>
    </row>
    <row r="180" spans="1:19">
      <c r="A180" t="s">
        <v>435</v>
      </c>
      <c r="B180" t="s">
        <v>1362</v>
      </c>
      <c r="C180" t="s">
        <v>294</v>
      </c>
      <c r="D180" s="3">
        <v>40673.141319444447</v>
      </c>
      <c r="E180" s="8" t="s">
        <v>436</v>
      </c>
      <c r="F180" s="8" t="s">
        <v>437</v>
      </c>
      <c r="G180" s="4" t="s">
        <v>438</v>
      </c>
      <c r="H180" s="3">
        <v>40673.486018518517</v>
      </c>
      <c r="L180">
        <f t="shared" si="8"/>
        <v>0</v>
      </c>
      <c r="Q180" t="str">
        <f t="shared" si="9"/>
        <v/>
      </c>
      <c r="R180" t="str">
        <f t="shared" si="10"/>
        <v/>
      </c>
      <c r="S180" t="str">
        <f t="shared" si="11"/>
        <v/>
      </c>
    </row>
    <row r="181" spans="1:19">
      <c r="A181" t="s">
        <v>470</v>
      </c>
      <c r="B181" t="s">
        <v>1294</v>
      </c>
      <c r="C181" t="s">
        <v>288</v>
      </c>
      <c r="D181" s="3">
        <v>40621.917812500003</v>
      </c>
      <c r="E181" s="8" t="s">
        <v>471</v>
      </c>
      <c r="F181" s="8" t="s">
        <v>472</v>
      </c>
      <c r="G181" s="4" t="s">
        <v>336</v>
      </c>
      <c r="H181" s="3">
        <v>40673.77412037037</v>
      </c>
      <c r="L181">
        <f t="shared" si="8"/>
        <v>0</v>
      </c>
      <c r="Q181" t="str">
        <f t="shared" si="9"/>
        <v/>
      </c>
      <c r="R181" t="str">
        <f t="shared" si="10"/>
        <v/>
      </c>
      <c r="S181" t="str">
        <f t="shared" si="11"/>
        <v/>
      </c>
    </row>
    <row r="182" spans="1:19">
      <c r="A182" t="s">
        <v>1119</v>
      </c>
      <c r="C182" t="s">
        <v>288</v>
      </c>
      <c r="D182" s="3">
        <v>40674.728252314817</v>
      </c>
      <c r="E182" s="8" t="s">
        <v>1120</v>
      </c>
      <c r="F182" s="8" t="s">
        <v>1121</v>
      </c>
      <c r="G182" s="2" t="s">
        <v>455</v>
      </c>
      <c r="H182" s="3">
        <v>40675.417928240742</v>
      </c>
      <c r="L182">
        <f t="shared" si="8"/>
        <v>0</v>
      </c>
      <c r="Q182" t="str">
        <f t="shared" si="9"/>
        <v/>
      </c>
      <c r="R182" t="str">
        <f t="shared" si="10"/>
        <v/>
      </c>
      <c r="S182" t="str">
        <f t="shared" si="11"/>
        <v/>
      </c>
    </row>
    <row r="183" spans="1:19">
      <c r="A183" t="s">
        <v>1376</v>
      </c>
      <c r="C183" t="s">
        <v>300</v>
      </c>
      <c r="D183" s="3">
        <v>40675.045011574075</v>
      </c>
      <c r="E183" s="8" t="s">
        <v>1173</v>
      </c>
      <c r="F183" s="8" t="s">
        <v>1875</v>
      </c>
      <c r="G183" s="2" t="s">
        <v>288</v>
      </c>
      <c r="H183" s="3">
        <v>40676.600868055553</v>
      </c>
      <c r="L183">
        <f t="shared" si="8"/>
        <v>0</v>
      </c>
      <c r="Q183" t="str">
        <f t="shared" si="9"/>
        <v/>
      </c>
      <c r="R183" t="str">
        <f t="shared" si="10"/>
        <v/>
      </c>
      <c r="S183" t="str">
        <f t="shared" si="11"/>
        <v/>
      </c>
    </row>
    <row r="184" spans="1:19">
      <c r="A184" t="s">
        <v>1172</v>
      </c>
      <c r="C184" t="s">
        <v>300</v>
      </c>
      <c r="D184" s="3">
        <v>40675.045011574075</v>
      </c>
      <c r="E184" s="8" t="s">
        <v>1173</v>
      </c>
      <c r="F184" s="8" t="s">
        <v>1174</v>
      </c>
      <c r="G184" s="2" t="s">
        <v>1175</v>
      </c>
      <c r="H184" s="3">
        <v>40676.62903935185</v>
      </c>
      <c r="K184">
        <v>1</v>
      </c>
      <c r="L184">
        <f t="shared" si="8"/>
        <v>1</v>
      </c>
      <c r="Q184" t="str">
        <f t="shared" si="9"/>
        <v/>
      </c>
      <c r="R184" t="str">
        <f t="shared" si="10"/>
        <v/>
      </c>
      <c r="S184" t="str">
        <f t="shared" si="11"/>
        <v>TC,68f4bd5,f10b5eb</v>
      </c>
    </row>
    <row r="185" spans="1:19">
      <c r="A185" t="s">
        <v>1263</v>
      </c>
      <c r="C185" t="s">
        <v>288</v>
      </c>
      <c r="D185" s="3">
        <v>40676.601805555554</v>
      </c>
      <c r="E185" s="8" t="s">
        <v>1264</v>
      </c>
      <c r="F185" s="8" t="s">
        <v>1265</v>
      </c>
      <c r="G185" s="4" t="s">
        <v>336</v>
      </c>
      <c r="H185" s="3">
        <v>40679.414722222224</v>
      </c>
      <c r="L185">
        <f t="shared" si="8"/>
        <v>0</v>
      </c>
      <c r="Q185" t="str">
        <f t="shared" si="9"/>
        <v/>
      </c>
      <c r="R185" t="str">
        <f t="shared" si="10"/>
        <v/>
      </c>
      <c r="S185" t="str">
        <f t="shared" si="11"/>
        <v/>
      </c>
    </row>
    <row r="186" spans="1:19">
      <c r="A186" t="s">
        <v>927</v>
      </c>
      <c r="C186" t="s">
        <v>288</v>
      </c>
      <c r="D186" s="3">
        <v>40679.608263888891</v>
      </c>
      <c r="E186" s="8">
        <v>2741433</v>
      </c>
      <c r="F186" s="8" t="s">
        <v>928</v>
      </c>
      <c r="G186" s="4" t="s">
        <v>336</v>
      </c>
      <c r="H186" s="3">
        <v>40679.624884259261</v>
      </c>
      <c r="L186">
        <f t="shared" si="8"/>
        <v>0</v>
      </c>
      <c r="Q186" t="str">
        <f t="shared" si="9"/>
        <v/>
      </c>
      <c r="R186" t="str">
        <f t="shared" si="10"/>
        <v/>
      </c>
      <c r="S186" t="str">
        <f t="shared" si="11"/>
        <v/>
      </c>
    </row>
    <row r="187" spans="1:19">
      <c r="A187" t="s">
        <v>1433</v>
      </c>
      <c r="C187" t="s">
        <v>651</v>
      </c>
      <c r="D187" s="3">
        <v>40676.914710648147</v>
      </c>
      <c r="E187" s="8" t="s">
        <v>1434</v>
      </c>
      <c r="F187" s="8" t="s">
        <v>1435</v>
      </c>
      <c r="G187" s="2" t="s">
        <v>288</v>
      </c>
      <c r="H187" s="3">
        <v>40679.646574074075</v>
      </c>
      <c r="J187">
        <v>1</v>
      </c>
      <c r="L187">
        <f t="shared" si="8"/>
        <v>1</v>
      </c>
      <c r="Q187" t="str">
        <f t="shared" si="9"/>
        <v/>
      </c>
      <c r="R187" t="str">
        <f t="shared" si="10"/>
        <v>BC,6ae77ed,872b4df</v>
      </c>
      <c r="S187" t="str">
        <f t="shared" si="11"/>
        <v/>
      </c>
    </row>
    <row r="188" spans="1:19">
      <c r="A188" t="s">
        <v>1276</v>
      </c>
      <c r="C188" t="s">
        <v>438</v>
      </c>
      <c r="D188" s="3">
        <v>40681.545416666668</v>
      </c>
      <c r="E188" s="8" t="s">
        <v>1277</v>
      </c>
      <c r="F188" s="8" t="s">
        <v>1278</v>
      </c>
      <c r="G188" s="2" t="s">
        <v>292</v>
      </c>
      <c r="H188" s="3">
        <v>40681.764039351852</v>
      </c>
      <c r="L188">
        <f t="shared" si="8"/>
        <v>0</v>
      </c>
      <c r="Q188" t="str">
        <f t="shared" si="9"/>
        <v/>
      </c>
      <c r="R188" t="str">
        <f t="shared" si="10"/>
        <v/>
      </c>
      <c r="S188" t="str">
        <f t="shared" si="11"/>
        <v/>
      </c>
    </row>
    <row r="189" spans="1:19">
      <c r="A189" t="s">
        <v>1081</v>
      </c>
      <c r="C189" t="s">
        <v>1082</v>
      </c>
      <c r="D189" s="3">
        <v>40680.06144675926</v>
      </c>
      <c r="E189" s="8" t="s">
        <v>1083</v>
      </c>
      <c r="F189" s="8" t="s">
        <v>1084</v>
      </c>
      <c r="G189" s="2" t="s">
        <v>438</v>
      </c>
      <c r="H189" s="3">
        <v>40682.430451388886</v>
      </c>
      <c r="L189">
        <f t="shared" si="8"/>
        <v>0</v>
      </c>
      <c r="Q189" t="str">
        <f t="shared" si="9"/>
        <v/>
      </c>
      <c r="R189" t="str">
        <f t="shared" si="10"/>
        <v/>
      </c>
      <c r="S189" t="str">
        <f t="shared" si="11"/>
        <v/>
      </c>
    </row>
    <row r="190" spans="1:19">
      <c r="A190" t="s">
        <v>473</v>
      </c>
      <c r="B190" t="s">
        <v>562</v>
      </c>
      <c r="C190" t="s">
        <v>292</v>
      </c>
      <c r="D190" s="3">
        <v>40677.722604166665</v>
      </c>
      <c r="E190" s="11" t="s">
        <v>1572</v>
      </c>
      <c r="F190" s="8" t="s">
        <v>474</v>
      </c>
      <c r="G190" s="4" t="s">
        <v>295</v>
      </c>
      <c r="H190" s="3">
        <v>40682.70412037037</v>
      </c>
      <c r="L190">
        <f t="shared" si="8"/>
        <v>0</v>
      </c>
      <c r="Q190" t="str">
        <f t="shared" si="9"/>
        <v/>
      </c>
      <c r="R190" t="str">
        <f t="shared" si="10"/>
        <v/>
      </c>
      <c r="S190" t="str">
        <f t="shared" si="11"/>
        <v/>
      </c>
    </row>
    <row r="191" spans="1:19">
      <c r="A191" t="s">
        <v>1467</v>
      </c>
      <c r="C191" t="s">
        <v>1468</v>
      </c>
      <c r="D191" s="3">
        <v>40676.419328703705</v>
      </c>
      <c r="E191" s="8" t="s">
        <v>1469</v>
      </c>
      <c r="F191" s="8" t="s">
        <v>1470</v>
      </c>
      <c r="G191" s="2" t="s">
        <v>295</v>
      </c>
      <c r="H191" s="3">
        <v>40682.712372685186</v>
      </c>
      <c r="L191">
        <f t="shared" si="8"/>
        <v>0</v>
      </c>
      <c r="Q191" t="str">
        <f t="shared" si="9"/>
        <v/>
      </c>
      <c r="R191" t="str">
        <f t="shared" si="10"/>
        <v/>
      </c>
      <c r="S191" t="str">
        <f t="shared" si="11"/>
        <v/>
      </c>
    </row>
    <row r="192" spans="1:19">
      <c r="A192" s="1" t="s">
        <v>452</v>
      </c>
      <c r="B192" t="s">
        <v>1157</v>
      </c>
      <c r="C192" t="s">
        <v>295</v>
      </c>
      <c r="D192" s="3">
        <v>40682.713622685187</v>
      </c>
      <c r="E192" s="8" t="s">
        <v>453</v>
      </c>
      <c r="F192" s="8" t="s">
        <v>454</v>
      </c>
      <c r="G192" s="4" t="s">
        <v>455</v>
      </c>
      <c r="H192" s="3">
        <v>40683.388124999998</v>
      </c>
      <c r="L192">
        <f t="shared" si="8"/>
        <v>0</v>
      </c>
      <c r="Q192" t="str">
        <f t="shared" si="9"/>
        <v/>
      </c>
      <c r="R192" t="str">
        <f t="shared" si="10"/>
        <v/>
      </c>
      <c r="S192" t="str">
        <f t="shared" si="11"/>
        <v/>
      </c>
    </row>
    <row r="193" spans="1:19">
      <c r="A193" t="s">
        <v>992</v>
      </c>
      <c r="C193" t="s">
        <v>293</v>
      </c>
      <c r="D193" s="3">
        <v>40685.882372685184</v>
      </c>
      <c r="E193" s="8" t="s">
        <v>993</v>
      </c>
      <c r="F193" s="8" t="s">
        <v>994</v>
      </c>
      <c r="G193" s="2" t="s">
        <v>288</v>
      </c>
      <c r="H193" s="3">
        <v>40685.921053240738</v>
      </c>
      <c r="L193">
        <f t="shared" si="8"/>
        <v>0</v>
      </c>
      <c r="Q193" t="str">
        <f t="shared" si="9"/>
        <v/>
      </c>
      <c r="R193" t="str">
        <f t="shared" si="10"/>
        <v/>
      </c>
      <c r="S193" t="str">
        <f t="shared" si="11"/>
        <v/>
      </c>
    </row>
    <row r="194" spans="1:19">
      <c r="A194" t="s">
        <v>1329</v>
      </c>
      <c r="C194" t="s">
        <v>385</v>
      </c>
      <c r="D194" s="3">
        <v>40685.980069444442</v>
      </c>
      <c r="E194" s="8" t="s">
        <v>1330</v>
      </c>
      <c r="F194" s="8" t="s">
        <v>1331</v>
      </c>
      <c r="G194" s="2" t="s">
        <v>1580</v>
      </c>
      <c r="H194" s="3">
        <v>40685.980069444442</v>
      </c>
      <c r="I194">
        <v>1</v>
      </c>
      <c r="L194">
        <f t="shared" ref="L194:L257" si="12">COUNTA(I194:K194)</f>
        <v>1</v>
      </c>
      <c r="Q194" t="str">
        <f t="shared" si="9"/>
        <v>MC,0cfbe3f,073734f</v>
      </c>
      <c r="R194" t="str">
        <f t="shared" si="10"/>
        <v/>
      </c>
      <c r="S194" t="str">
        <f t="shared" si="11"/>
        <v/>
      </c>
    </row>
    <row r="195" spans="1:19">
      <c r="A195" t="s">
        <v>1206</v>
      </c>
      <c r="C195" t="s">
        <v>288</v>
      </c>
      <c r="D195" s="3">
        <v>40686.084872685184</v>
      </c>
      <c r="E195" s="8" t="s">
        <v>1207</v>
      </c>
      <c r="F195" s="8" t="s">
        <v>1208</v>
      </c>
      <c r="G195" s="2" t="s">
        <v>455</v>
      </c>
      <c r="H195" s="3">
        <v>40686.401203703703</v>
      </c>
      <c r="L195">
        <f t="shared" si="12"/>
        <v>0</v>
      </c>
      <c r="Q195" t="str">
        <f t="shared" ref="Q195:Q258" si="13">IF(I195&gt;0,CONCATENATE("MC,",E195,",",F195),"")</f>
        <v/>
      </c>
      <c r="R195" t="str">
        <f t="shared" ref="R195:R258" si="14">IF(J195&gt;0,CONCATENATE("BC,",E195,",",F195),"")</f>
        <v/>
      </c>
      <c r="S195" t="str">
        <f t="shared" ref="S195:S258" si="15">IF(K195&gt;0,CONCATENATE("TC,",E195,",",F195),"")</f>
        <v/>
      </c>
    </row>
    <row r="196" spans="1:19">
      <c r="A196" t="s">
        <v>1446</v>
      </c>
      <c r="C196" t="s">
        <v>1447</v>
      </c>
      <c r="D196" s="3">
        <v>40666.680844907409</v>
      </c>
      <c r="E196" s="8" t="s">
        <v>1448</v>
      </c>
      <c r="F196" s="8" t="s">
        <v>1449</v>
      </c>
      <c r="G196" s="2" t="s">
        <v>295</v>
      </c>
      <c r="H196" s="3">
        <v>40686.47278935185</v>
      </c>
      <c r="J196">
        <v>1</v>
      </c>
      <c r="L196">
        <f t="shared" si="12"/>
        <v>1</v>
      </c>
      <c r="Q196" t="str">
        <f t="shared" si="13"/>
        <v/>
      </c>
      <c r="R196" t="str">
        <f t="shared" si="14"/>
        <v>BC,c565c56,c0628ee</v>
      </c>
      <c r="S196" t="str">
        <f t="shared" si="15"/>
        <v/>
      </c>
    </row>
    <row r="197" spans="1:19">
      <c r="A197" t="s">
        <v>1227</v>
      </c>
      <c r="C197" t="s">
        <v>455</v>
      </c>
      <c r="D197" s="3">
        <v>40686.694861111115</v>
      </c>
      <c r="E197" s="8" t="s">
        <v>1228</v>
      </c>
      <c r="F197" s="8" t="s">
        <v>1229</v>
      </c>
      <c r="G197" s="2" t="s">
        <v>300</v>
      </c>
      <c r="H197" s="3">
        <v>40687.451493055552</v>
      </c>
      <c r="L197">
        <f t="shared" si="12"/>
        <v>0</v>
      </c>
      <c r="Q197" t="str">
        <f t="shared" si="13"/>
        <v/>
      </c>
      <c r="R197" t="str">
        <f t="shared" si="14"/>
        <v/>
      </c>
      <c r="S197" t="str">
        <f t="shared" si="15"/>
        <v/>
      </c>
    </row>
    <row r="198" spans="1:19">
      <c r="A198" t="s">
        <v>690</v>
      </c>
      <c r="C198" t="s">
        <v>385</v>
      </c>
      <c r="D198" s="3">
        <v>40691.509375000001</v>
      </c>
      <c r="E198" s="8" t="s">
        <v>691</v>
      </c>
      <c r="F198" s="8" t="s">
        <v>692</v>
      </c>
      <c r="G198" s="2" t="s">
        <v>306</v>
      </c>
      <c r="H198" s="3">
        <v>40691.668310185189</v>
      </c>
      <c r="L198">
        <f t="shared" si="12"/>
        <v>0</v>
      </c>
      <c r="Q198" t="str">
        <f t="shared" si="13"/>
        <v/>
      </c>
      <c r="R198" t="str">
        <f t="shared" si="14"/>
        <v/>
      </c>
      <c r="S198" t="str">
        <f t="shared" si="15"/>
        <v/>
      </c>
    </row>
    <row r="199" spans="1:19">
      <c r="A199" t="s">
        <v>580</v>
      </c>
      <c r="C199" t="s">
        <v>385</v>
      </c>
      <c r="D199" s="3">
        <v>40691.705914351849</v>
      </c>
      <c r="E199" s="8" t="s">
        <v>581</v>
      </c>
      <c r="F199" s="8" t="s">
        <v>582</v>
      </c>
      <c r="G199" s="4" t="s">
        <v>583</v>
      </c>
      <c r="H199" s="3">
        <v>40691.739444444444</v>
      </c>
      <c r="L199">
        <f t="shared" si="12"/>
        <v>0</v>
      </c>
      <c r="Q199" t="str">
        <f t="shared" si="13"/>
        <v/>
      </c>
      <c r="R199" t="str">
        <f t="shared" si="14"/>
        <v/>
      </c>
      <c r="S199" t="str">
        <f t="shared" si="15"/>
        <v/>
      </c>
    </row>
    <row r="200" spans="1:19">
      <c r="A200" t="s">
        <v>893</v>
      </c>
      <c r="C200" t="s">
        <v>291</v>
      </c>
      <c r="D200" s="3">
        <v>40693.478541666664</v>
      </c>
      <c r="E200" s="8" t="s">
        <v>894</v>
      </c>
      <c r="F200" s="8" t="s">
        <v>895</v>
      </c>
      <c r="G200" s="2" t="s">
        <v>302</v>
      </c>
      <c r="H200" s="3">
        <v>40694.203912037039</v>
      </c>
      <c r="L200">
        <f t="shared" si="12"/>
        <v>0</v>
      </c>
      <c r="Q200" t="str">
        <f t="shared" si="13"/>
        <v/>
      </c>
      <c r="R200" t="str">
        <f t="shared" si="14"/>
        <v/>
      </c>
      <c r="S200" t="str">
        <f t="shared" si="15"/>
        <v/>
      </c>
    </row>
    <row r="201" spans="1:19">
      <c r="A201" t="s">
        <v>1230</v>
      </c>
      <c r="C201" t="s">
        <v>455</v>
      </c>
      <c r="D201" s="3">
        <v>40687.571516203701</v>
      </c>
      <c r="E201" s="8" t="s">
        <v>1231</v>
      </c>
      <c r="F201" s="8" t="s">
        <v>1232</v>
      </c>
      <c r="G201" s="2" t="s">
        <v>289</v>
      </c>
      <c r="H201" s="3">
        <v>40694.225011574075</v>
      </c>
      <c r="J201">
        <v>1</v>
      </c>
      <c r="L201">
        <f t="shared" si="12"/>
        <v>1</v>
      </c>
      <c r="Q201" t="str">
        <f t="shared" si="13"/>
        <v/>
      </c>
      <c r="R201" t="str">
        <f t="shared" si="14"/>
        <v>BC,0bc4655,5aa7229</v>
      </c>
      <c r="S201" t="str">
        <f t="shared" si="15"/>
        <v/>
      </c>
    </row>
    <row r="202" spans="1:19">
      <c r="A202" t="s">
        <v>719</v>
      </c>
      <c r="C202" t="s">
        <v>385</v>
      </c>
      <c r="D202" s="3">
        <v>40691.526828703703</v>
      </c>
      <c r="E202" s="8">
        <v>8714352</v>
      </c>
      <c r="F202" s="8">
        <v>6204016</v>
      </c>
      <c r="G202" s="2" t="s">
        <v>300</v>
      </c>
      <c r="H202" s="3">
        <v>40694.240520833337</v>
      </c>
      <c r="J202">
        <v>1</v>
      </c>
      <c r="L202">
        <f t="shared" si="12"/>
        <v>1</v>
      </c>
      <c r="Q202" t="str">
        <f t="shared" si="13"/>
        <v/>
      </c>
      <c r="R202" t="str">
        <f t="shared" si="14"/>
        <v>BC,8714352,6204016</v>
      </c>
      <c r="S202" t="str">
        <f t="shared" si="15"/>
        <v/>
      </c>
    </row>
    <row r="203" spans="1:19">
      <c r="A203" t="s">
        <v>1036</v>
      </c>
      <c r="C203" t="s">
        <v>289</v>
      </c>
      <c r="D203" s="3">
        <v>40693.818842592591</v>
      </c>
      <c r="E203" s="8" t="s">
        <v>1037</v>
      </c>
      <c r="F203" s="8" t="s">
        <v>1038</v>
      </c>
      <c r="G203" s="2" t="s">
        <v>385</v>
      </c>
      <c r="H203" s="3">
        <v>40694.421041666668</v>
      </c>
      <c r="L203">
        <f t="shared" si="12"/>
        <v>0</v>
      </c>
      <c r="Q203" t="str">
        <f t="shared" si="13"/>
        <v/>
      </c>
      <c r="R203" t="str">
        <f t="shared" si="14"/>
        <v/>
      </c>
      <c r="S203" t="str">
        <f t="shared" si="15"/>
        <v/>
      </c>
    </row>
    <row r="204" spans="1:19">
      <c r="A204" t="s">
        <v>1353</v>
      </c>
      <c r="C204" t="s">
        <v>302</v>
      </c>
      <c r="D204" s="3">
        <v>40694.271736111114</v>
      </c>
      <c r="E204" s="8" t="s">
        <v>1354</v>
      </c>
      <c r="F204" s="8" t="s">
        <v>1355</v>
      </c>
      <c r="G204" s="2" t="s">
        <v>300</v>
      </c>
      <c r="H204" s="3">
        <v>40694.632210648146</v>
      </c>
      <c r="L204">
        <f t="shared" si="12"/>
        <v>0</v>
      </c>
      <c r="Q204" t="str">
        <f t="shared" si="13"/>
        <v/>
      </c>
      <c r="R204" t="str">
        <f t="shared" si="14"/>
        <v/>
      </c>
      <c r="S204" t="str">
        <f t="shared" si="15"/>
        <v/>
      </c>
    </row>
    <row r="205" spans="1:19">
      <c r="A205" t="s">
        <v>383</v>
      </c>
      <c r="B205" t="s">
        <v>584</v>
      </c>
      <c r="C205" s="2" t="s">
        <v>300</v>
      </c>
      <c r="D205" s="3">
        <v>40694.674085648148</v>
      </c>
      <c r="E205" s="8" t="s">
        <v>384</v>
      </c>
      <c r="F205" s="8">
        <v>454682</v>
      </c>
      <c r="G205" s="4" t="s">
        <v>385</v>
      </c>
      <c r="H205" s="3">
        <v>40695.972395833334</v>
      </c>
      <c r="J205">
        <v>1</v>
      </c>
      <c r="L205">
        <f t="shared" si="12"/>
        <v>1</v>
      </c>
      <c r="Q205" t="str">
        <f t="shared" si="13"/>
        <v/>
      </c>
      <c r="R205" t="str">
        <f t="shared" si="14"/>
        <v>BC,b1926cf,454682</v>
      </c>
      <c r="S205" t="str">
        <f t="shared" si="15"/>
        <v/>
      </c>
    </row>
    <row r="206" spans="1:19">
      <c r="A206" t="s">
        <v>463</v>
      </c>
      <c r="B206" t="s">
        <v>1557</v>
      </c>
      <c r="C206" t="s">
        <v>292</v>
      </c>
      <c r="D206" s="3">
        <v>40684.61209490741</v>
      </c>
      <c r="E206" s="8" t="s">
        <v>464</v>
      </c>
      <c r="F206" s="8" t="s">
        <v>465</v>
      </c>
      <c r="G206" s="4" t="s">
        <v>293</v>
      </c>
      <c r="H206" s="3">
        <v>40696.686469907407</v>
      </c>
      <c r="L206">
        <f t="shared" si="12"/>
        <v>0</v>
      </c>
      <c r="Q206" t="str">
        <f t="shared" si="13"/>
        <v/>
      </c>
      <c r="R206" t="str">
        <f t="shared" si="14"/>
        <v/>
      </c>
      <c r="S206" t="str">
        <f t="shared" si="15"/>
        <v/>
      </c>
    </row>
    <row r="207" spans="1:19">
      <c r="A207" t="s">
        <v>1409</v>
      </c>
      <c r="C207" t="s">
        <v>292</v>
      </c>
      <c r="D207" s="3">
        <v>40684.61209490741</v>
      </c>
      <c r="E207" s="8" t="s">
        <v>464</v>
      </c>
      <c r="F207" s="8" t="s">
        <v>465</v>
      </c>
      <c r="G207" s="2" t="s">
        <v>293</v>
      </c>
      <c r="H207" s="3">
        <v>40696.686469907407</v>
      </c>
      <c r="J207">
        <v>1</v>
      </c>
      <c r="L207">
        <f t="shared" si="12"/>
        <v>1</v>
      </c>
      <c r="Q207" t="str">
        <f t="shared" si="13"/>
        <v/>
      </c>
      <c r="R207" t="str">
        <f t="shared" si="14"/>
        <v>BC,c4d9fe8,d5b8cf4</v>
      </c>
      <c r="S207" t="str">
        <f t="shared" si="15"/>
        <v/>
      </c>
    </row>
    <row r="208" spans="1:19">
      <c r="A208" t="s">
        <v>700</v>
      </c>
      <c r="C208" t="s">
        <v>302</v>
      </c>
      <c r="D208" s="3">
        <v>40696.952337962961</v>
      </c>
      <c r="E208" s="8" t="s">
        <v>701</v>
      </c>
      <c r="F208" s="8" t="s">
        <v>702</v>
      </c>
      <c r="G208" s="2" t="s">
        <v>1578</v>
      </c>
      <c r="H208" s="3">
        <v>40696.952337962961</v>
      </c>
      <c r="L208">
        <f t="shared" si="12"/>
        <v>0</v>
      </c>
      <c r="Q208" t="str">
        <f t="shared" si="13"/>
        <v/>
      </c>
      <c r="R208" t="str">
        <f t="shared" si="14"/>
        <v/>
      </c>
      <c r="S208" t="str">
        <f t="shared" si="15"/>
        <v/>
      </c>
    </row>
    <row r="209" spans="1:19">
      <c r="A209" t="s">
        <v>1012</v>
      </c>
      <c r="C209" t="s">
        <v>306</v>
      </c>
      <c r="D209" s="3">
        <v>40697.331620370373</v>
      </c>
      <c r="E209" s="8" t="s">
        <v>1013</v>
      </c>
      <c r="F209" s="8" t="s">
        <v>1014</v>
      </c>
      <c r="G209" s="2" t="s">
        <v>288</v>
      </c>
      <c r="H209" s="3">
        <v>40697.648645833331</v>
      </c>
      <c r="L209">
        <f t="shared" si="12"/>
        <v>0</v>
      </c>
      <c r="Q209" t="str">
        <f t="shared" si="13"/>
        <v/>
      </c>
      <c r="R209" t="str">
        <f t="shared" si="14"/>
        <v/>
      </c>
      <c r="S209" t="str">
        <f t="shared" si="15"/>
        <v/>
      </c>
    </row>
    <row r="210" spans="1:19">
      <c r="A210" t="s">
        <v>1085</v>
      </c>
      <c r="C210" t="s">
        <v>288</v>
      </c>
      <c r="D210" s="3">
        <v>40676.575289351851</v>
      </c>
      <c r="E210" s="8" t="s">
        <v>1086</v>
      </c>
      <c r="F210" s="8" t="s">
        <v>1087</v>
      </c>
      <c r="G210" s="2" t="s">
        <v>289</v>
      </c>
      <c r="H210" s="3">
        <v>40698.13212962963</v>
      </c>
      <c r="L210">
        <f t="shared" si="12"/>
        <v>0</v>
      </c>
      <c r="Q210" t="str">
        <f t="shared" si="13"/>
        <v/>
      </c>
      <c r="R210" t="str">
        <f t="shared" si="14"/>
        <v/>
      </c>
      <c r="S210" t="str">
        <f t="shared" si="15"/>
        <v/>
      </c>
    </row>
    <row r="211" spans="1:19">
      <c r="A211" t="s">
        <v>896</v>
      </c>
      <c r="C211" t="s">
        <v>292</v>
      </c>
      <c r="D211" s="3">
        <v>40697.853078703702</v>
      </c>
      <c r="E211" s="8" t="s">
        <v>897</v>
      </c>
      <c r="F211" s="8" t="s">
        <v>898</v>
      </c>
      <c r="G211" s="2" t="s">
        <v>288</v>
      </c>
      <c r="H211" s="3">
        <v>40698.44259259259</v>
      </c>
      <c r="L211">
        <f t="shared" si="12"/>
        <v>0</v>
      </c>
      <c r="Q211" t="str">
        <f t="shared" si="13"/>
        <v/>
      </c>
      <c r="R211" t="str">
        <f t="shared" si="14"/>
        <v/>
      </c>
      <c r="S211" t="str">
        <f t="shared" si="15"/>
        <v/>
      </c>
    </row>
    <row r="212" spans="1:19">
      <c r="A212" t="s">
        <v>890</v>
      </c>
      <c r="C212" t="s">
        <v>288</v>
      </c>
      <c r="D212" s="3">
        <v>40697.485046296293</v>
      </c>
      <c r="E212" s="8" t="s">
        <v>891</v>
      </c>
      <c r="F212" s="8" t="s">
        <v>892</v>
      </c>
      <c r="G212" s="4" t="s">
        <v>336</v>
      </c>
      <c r="H212" s="3">
        <v>40698.475648148145</v>
      </c>
      <c r="L212">
        <f t="shared" si="12"/>
        <v>0</v>
      </c>
      <c r="Q212" t="str">
        <f t="shared" si="13"/>
        <v/>
      </c>
      <c r="R212" t="str">
        <f t="shared" si="14"/>
        <v/>
      </c>
      <c r="S212" t="str">
        <f t="shared" si="15"/>
        <v/>
      </c>
    </row>
    <row r="213" spans="1:19">
      <c r="A213" t="s">
        <v>886</v>
      </c>
      <c r="C213" t="s">
        <v>887</v>
      </c>
      <c r="D213" s="3">
        <v>40699.548449074071</v>
      </c>
      <c r="E213" s="8" t="s">
        <v>888</v>
      </c>
      <c r="F213" s="8" t="s">
        <v>889</v>
      </c>
      <c r="G213" s="2" t="s">
        <v>288</v>
      </c>
      <c r="H213" s="3">
        <v>40699.677581018521</v>
      </c>
      <c r="L213">
        <f t="shared" si="12"/>
        <v>0</v>
      </c>
      <c r="Q213" t="str">
        <f t="shared" si="13"/>
        <v/>
      </c>
      <c r="R213" t="str">
        <f t="shared" si="14"/>
        <v/>
      </c>
      <c r="S213" t="str">
        <f t="shared" si="15"/>
        <v/>
      </c>
    </row>
    <row r="214" spans="1:19">
      <c r="A214" t="s">
        <v>964</v>
      </c>
      <c r="C214" t="s">
        <v>423</v>
      </c>
      <c r="D214" s="3">
        <v>40692.461423611108</v>
      </c>
      <c r="E214" s="8" t="s">
        <v>965</v>
      </c>
      <c r="F214" s="8" t="s">
        <v>966</v>
      </c>
      <c r="G214" s="2" t="s">
        <v>300</v>
      </c>
      <c r="H214" s="3">
        <v>40700.010196759256</v>
      </c>
      <c r="I214">
        <v>1</v>
      </c>
      <c r="L214">
        <f t="shared" si="12"/>
        <v>1</v>
      </c>
      <c r="Q214" t="str">
        <f t="shared" si="13"/>
        <v>MC,017e445,d9e6602</v>
      </c>
      <c r="R214" t="str">
        <f t="shared" si="14"/>
        <v/>
      </c>
      <c r="S214" t="str">
        <f t="shared" si="15"/>
        <v/>
      </c>
    </row>
    <row r="215" spans="1:19">
      <c r="A215" t="s">
        <v>393</v>
      </c>
      <c r="B215" t="s">
        <v>404</v>
      </c>
      <c r="C215" t="s">
        <v>288</v>
      </c>
      <c r="D215" s="3">
        <v>40700.679039351853</v>
      </c>
      <c r="E215" s="8" t="s">
        <v>394</v>
      </c>
      <c r="F215" s="8" t="s">
        <v>395</v>
      </c>
      <c r="G215" s="4" t="s">
        <v>300</v>
      </c>
      <c r="H215" s="3">
        <v>40700.932523148149</v>
      </c>
      <c r="I215">
        <v>1</v>
      </c>
      <c r="J215">
        <v>1</v>
      </c>
      <c r="L215">
        <f t="shared" si="12"/>
        <v>2</v>
      </c>
      <c r="Q215" t="str">
        <f t="shared" si="13"/>
        <v>MC,77290b9,5ea48db</v>
      </c>
      <c r="R215" t="str">
        <f t="shared" si="14"/>
        <v>BC,77290b9,5ea48db</v>
      </c>
      <c r="S215" t="str">
        <f t="shared" si="15"/>
        <v/>
      </c>
    </row>
    <row r="216" spans="1:19">
      <c r="A216" t="s">
        <v>919</v>
      </c>
      <c r="C216" t="s">
        <v>288</v>
      </c>
      <c r="D216" s="3">
        <v>40700.768090277779</v>
      </c>
      <c r="E216" s="8" t="s">
        <v>548</v>
      </c>
      <c r="F216" s="8" t="s">
        <v>920</v>
      </c>
      <c r="G216" s="2" t="s">
        <v>423</v>
      </c>
      <c r="H216" s="3">
        <v>40701.379791666666</v>
      </c>
      <c r="K216">
        <v>1</v>
      </c>
      <c r="L216">
        <f t="shared" si="12"/>
        <v>1</v>
      </c>
      <c r="Q216" t="str">
        <f t="shared" si="13"/>
        <v/>
      </c>
      <c r="R216" t="str">
        <f t="shared" si="14"/>
        <v/>
      </c>
      <c r="S216" t="str">
        <f t="shared" si="15"/>
        <v>TC,3fb0fb2,79eb909</v>
      </c>
    </row>
    <row r="217" spans="1:19">
      <c r="A217" t="s">
        <v>422</v>
      </c>
      <c r="B217" t="s">
        <v>1091</v>
      </c>
      <c r="C217" t="s">
        <v>423</v>
      </c>
      <c r="D217" s="3">
        <v>40701.404490740744</v>
      </c>
      <c r="E217" s="8" t="s">
        <v>424</v>
      </c>
      <c r="F217" s="8" t="s">
        <v>425</v>
      </c>
      <c r="G217" s="4" t="s">
        <v>288</v>
      </c>
      <c r="H217" s="3">
        <v>40701.436886574076</v>
      </c>
      <c r="I217">
        <v>1</v>
      </c>
      <c r="L217">
        <f t="shared" si="12"/>
        <v>1</v>
      </c>
      <c r="Q217" t="str">
        <f t="shared" si="13"/>
        <v>MC,dbe586c,8cd638a</v>
      </c>
      <c r="R217" t="str">
        <f t="shared" si="14"/>
        <v/>
      </c>
      <c r="S217" t="str">
        <f t="shared" si="15"/>
        <v/>
      </c>
    </row>
    <row r="218" spans="1:19">
      <c r="A218" t="s">
        <v>1261</v>
      </c>
      <c r="C218" t="s">
        <v>288</v>
      </c>
      <c r="D218" s="3">
        <v>40701.602673611109</v>
      </c>
      <c r="E218" s="8">
        <v>8291720</v>
      </c>
      <c r="F218" s="8" t="s">
        <v>1262</v>
      </c>
      <c r="G218" s="4" t="s">
        <v>336</v>
      </c>
      <c r="H218" s="3">
        <v>40701.623217592591</v>
      </c>
      <c r="L218">
        <f t="shared" si="12"/>
        <v>0</v>
      </c>
      <c r="Q218" t="str">
        <f t="shared" si="13"/>
        <v/>
      </c>
      <c r="R218" t="str">
        <f t="shared" si="14"/>
        <v/>
      </c>
      <c r="S218" t="str">
        <f t="shared" si="15"/>
        <v/>
      </c>
    </row>
    <row r="219" spans="1:19">
      <c r="A219" t="s">
        <v>547</v>
      </c>
      <c r="C219" t="s">
        <v>288</v>
      </c>
      <c r="D219" s="3">
        <v>40700.768090277779</v>
      </c>
      <c r="E219" s="8" t="s">
        <v>548</v>
      </c>
      <c r="F219" s="8" t="s">
        <v>549</v>
      </c>
      <c r="G219" s="4" t="s">
        <v>299</v>
      </c>
      <c r="H219" s="3">
        <v>40701.719953703701</v>
      </c>
      <c r="I219">
        <v>1</v>
      </c>
      <c r="L219">
        <f t="shared" si="12"/>
        <v>1</v>
      </c>
      <c r="Q219" t="str">
        <f t="shared" si="13"/>
        <v>MC,3fb0fb2,4f569c8</v>
      </c>
      <c r="R219" t="str">
        <f t="shared" si="14"/>
        <v/>
      </c>
      <c r="S219" t="str">
        <f t="shared" si="15"/>
        <v/>
      </c>
    </row>
    <row r="220" spans="1:19">
      <c r="A220" t="s">
        <v>1269</v>
      </c>
      <c r="C220" t="s">
        <v>918</v>
      </c>
      <c r="D220" s="3">
        <v>40687.690706018519</v>
      </c>
      <c r="E220" s="8" t="s">
        <v>1270</v>
      </c>
      <c r="F220" s="8" t="s">
        <v>1271</v>
      </c>
      <c r="G220" s="2" t="s">
        <v>299</v>
      </c>
      <c r="H220" s="3">
        <v>40701.719953703701</v>
      </c>
      <c r="J220">
        <v>1</v>
      </c>
      <c r="L220">
        <f t="shared" si="12"/>
        <v>1</v>
      </c>
      <c r="Q220" t="str">
        <f t="shared" si="13"/>
        <v/>
      </c>
      <c r="R220" t="str">
        <f t="shared" si="14"/>
        <v>BC,e7dc6f1,e78248c</v>
      </c>
      <c r="S220" t="str">
        <f t="shared" si="15"/>
        <v/>
      </c>
    </row>
    <row r="221" spans="1:19">
      <c r="A221" t="s">
        <v>1410</v>
      </c>
      <c r="C221" t="s">
        <v>423</v>
      </c>
      <c r="D221" s="3">
        <v>40702.422696759262</v>
      </c>
      <c r="E221" s="8" t="s">
        <v>1411</v>
      </c>
      <c r="F221" s="8" t="s">
        <v>1412</v>
      </c>
      <c r="G221" s="2" t="s">
        <v>300</v>
      </c>
      <c r="H221" s="3">
        <v>40702.462013888886</v>
      </c>
      <c r="K221">
        <v>1</v>
      </c>
      <c r="L221">
        <f t="shared" si="12"/>
        <v>1</v>
      </c>
      <c r="Q221" t="str">
        <f t="shared" si="13"/>
        <v/>
      </c>
      <c r="R221" t="str">
        <f t="shared" si="14"/>
        <v/>
      </c>
      <c r="S221" t="str">
        <f t="shared" si="15"/>
        <v>TC,bb06bd1,0aca5e5</v>
      </c>
    </row>
    <row r="222" spans="1:19">
      <c r="A222" t="s">
        <v>1344</v>
      </c>
      <c r="C222" t="s">
        <v>325</v>
      </c>
      <c r="D222" s="3">
        <v>40703.655185185184</v>
      </c>
      <c r="E222" s="8" t="s">
        <v>1345</v>
      </c>
      <c r="F222" s="8" t="s">
        <v>1346</v>
      </c>
      <c r="G222" s="2" t="s">
        <v>288</v>
      </c>
      <c r="H222" s="3">
        <v>40706.922083333331</v>
      </c>
      <c r="L222">
        <f t="shared" si="12"/>
        <v>0</v>
      </c>
      <c r="Q222" t="str">
        <f t="shared" si="13"/>
        <v/>
      </c>
      <c r="R222" t="str">
        <f t="shared" si="14"/>
        <v/>
      </c>
      <c r="S222" t="str">
        <f t="shared" si="15"/>
        <v/>
      </c>
    </row>
    <row r="223" spans="1:19">
      <c r="A223" t="s">
        <v>947</v>
      </c>
      <c r="C223" t="s">
        <v>288</v>
      </c>
      <c r="D223" s="3">
        <v>40705.777488425927</v>
      </c>
      <c r="E223" s="8" t="s">
        <v>948</v>
      </c>
      <c r="F223" s="8" t="s">
        <v>949</v>
      </c>
      <c r="G223" s="2" t="s">
        <v>950</v>
      </c>
      <c r="H223" s="3">
        <v>40707.271458333336</v>
      </c>
      <c r="L223">
        <f t="shared" si="12"/>
        <v>0</v>
      </c>
      <c r="Q223" t="str">
        <f t="shared" si="13"/>
        <v/>
      </c>
      <c r="R223" t="str">
        <f t="shared" si="14"/>
        <v/>
      </c>
      <c r="S223" t="str">
        <f t="shared" si="15"/>
        <v/>
      </c>
    </row>
    <row r="224" spans="1:19">
      <c r="A224" t="s">
        <v>644</v>
      </c>
      <c r="C224" t="s">
        <v>300</v>
      </c>
      <c r="D224" s="3">
        <v>40707.24287037037</v>
      </c>
      <c r="E224" s="8" t="s">
        <v>645</v>
      </c>
      <c r="F224" s="8" t="s">
        <v>646</v>
      </c>
      <c r="G224" s="2" t="s">
        <v>288</v>
      </c>
      <c r="H224" s="3">
        <v>40707.390694444446</v>
      </c>
      <c r="I224">
        <v>1</v>
      </c>
      <c r="L224">
        <f t="shared" si="12"/>
        <v>1</v>
      </c>
      <c r="Q224" t="str">
        <f t="shared" si="13"/>
        <v>MC,8007d83,c61ffdd</v>
      </c>
      <c r="R224" t="str">
        <f t="shared" si="14"/>
        <v/>
      </c>
      <c r="S224" t="str">
        <f t="shared" si="15"/>
        <v/>
      </c>
    </row>
    <row r="225" spans="1:19">
      <c r="A225" t="s">
        <v>1497</v>
      </c>
      <c r="C225" t="s">
        <v>288</v>
      </c>
      <c r="D225" s="3">
        <v>40707.402453703704</v>
      </c>
      <c r="E225" s="8">
        <v>6464917</v>
      </c>
      <c r="F225" s="8" t="s">
        <v>1498</v>
      </c>
      <c r="G225" s="2" t="s">
        <v>1499</v>
      </c>
      <c r="H225" s="3">
        <v>40707.935057870367</v>
      </c>
      <c r="L225">
        <f t="shared" si="12"/>
        <v>0</v>
      </c>
      <c r="Q225" t="str">
        <f t="shared" si="13"/>
        <v/>
      </c>
      <c r="R225" t="str">
        <f t="shared" si="14"/>
        <v/>
      </c>
      <c r="S225" t="str">
        <f t="shared" si="15"/>
        <v/>
      </c>
    </row>
    <row r="226" spans="1:19">
      <c r="A226" t="s">
        <v>1511</v>
      </c>
      <c r="C226" t="s">
        <v>325</v>
      </c>
      <c r="D226" s="3">
        <v>40707.867256944446</v>
      </c>
      <c r="E226" s="8" t="s">
        <v>1512</v>
      </c>
      <c r="F226" s="8">
        <v>3059872</v>
      </c>
      <c r="G226" s="2" t="s">
        <v>300</v>
      </c>
      <c r="H226" s="3">
        <v>40708.062604166669</v>
      </c>
      <c r="J226">
        <v>1</v>
      </c>
      <c r="L226">
        <f t="shared" si="12"/>
        <v>1</v>
      </c>
      <c r="Q226" t="str">
        <f t="shared" si="13"/>
        <v/>
      </c>
      <c r="R226" t="str">
        <f t="shared" si="14"/>
        <v>BC,985f378,3059872</v>
      </c>
      <c r="S226" t="str">
        <f t="shared" si="15"/>
        <v/>
      </c>
    </row>
    <row r="227" spans="1:19">
      <c r="A227" t="s">
        <v>1029</v>
      </c>
      <c r="C227" t="s">
        <v>1030</v>
      </c>
      <c r="D227" s="3">
        <v>40704.275393518517</v>
      </c>
      <c r="E227" s="8" t="s">
        <v>1031</v>
      </c>
      <c r="F227" s="8" t="s">
        <v>1032</v>
      </c>
      <c r="G227" s="2" t="s">
        <v>300</v>
      </c>
      <c r="H227" s="3">
        <v>40708.528703703705</v>
      </c>
      <c r="L227">
        <f t="shared" si="12"/>
        <v>0</v>
      </c>
      <c r="Q227" t="str">
        <f t="shared" si="13"/>
        <v/>
      </c>
      <c r="R227" t="str">
        <f t="shared" si="14"/>
        <v/>
      </c>
      <c r="S227" t="str">
        <f t="shared" si="15"/>
        <v/>
      </c>
    </row>
    <row r="228" spans="1:19">
      <c r="A228" t="s">
        <v>1303</v>
      </c>
      <c r="C228" t="s">
        <v>291</v>
      </c>
      <c r="D228" s="3">
        <v>40704.956805555557</v>
      </c>
      <c r="E228" s="8" t="s">
        <v>1304</v>
      </c>
      <c r="F228" s="8" t="s">
        <v>1305</v>
      </c>
      <c r="G228" s="2" t="s">
        <v>295</v>
      </c>
      <c r="H228" s="3">
        <v>40708.73978009259</v>
      </c>
      <c r="L228">
        <f t="shared" si="12"/>
        <v>0</v>
      </c>
      <c r="Q228" t="str">
        <f t="shared" si="13"/>
        <v/>
      </c>
      <c r="R228" t="str">
        <f t="shared" si="14"/>
        <v/>
      </c>
      <c r="S228" t="str">
        <f t="shared" si="15"/>
        <v/>
      </c>
    </row>
    <row r="229" spans="1:19">
      <c r="A229" t="s">
        <v>1078</v>
      </c>
      <c r="C229" t="s">
        <v>300</v>
      </c>
      <c r="D229" s="3">
        <v>40710.669398148151</v>
      </c>
      <c r="E229" s="8" t="s">
        <v>1079</v>
      </c>
      <c r="F229" s="8" t="s">
        <v>1080</v>
      </c>
      <c r="G229" s="2" t="s">
        <v>812</v>
      </c>
      <c r="H229" s="3">
        <v>40711.008900462963</v>
      </c>
      <c r="L229">
        <f t="shared" si="12"/>
        <v>0</v>
      </c>
      <c r="Q229" t="str">
        <f t="shared" si="13"/>
        <v/>
      </c>
      <c r="R229" t="str">
        <f t="shared" si="14"/>
        <v/>
      </c>
      <c r="S229" t="str">
        <f t="shared" si="15"/>
        <v/>
      </c>
    </row>
    <row r="230" spans="1:19">
      <c r="A230" t="s">
        <v>1190</v>
      </c>
      <c r="C230" t="s">
        <v>288</v>
      </c>
      <c r="D230" s="3">
        <v>40711.476921296293</v>
      </c>
      <c r="E230" s="8" t="s">
        <v>1191</v>
      </c>
      <c r="F230" s="8" t="s">
        <v>1192</v>
      </c>
      <c r="G230" s="4" t="s">
        <v>336</v>
      </c>
      <c r="H230" s="3">
        <v>40711.575810185182</v>
      </c>
      <c r="I230">
        <v>1</v>
      </c>
      <c r="L230">
        <f t="shared" si="12"/>
        <v>1</v>
      </c>
      <c r="Q230" t="str">
        <f t="shared" si="13"/>
        <v>MC,a3354b1,7b20516</v>
      </c>
      <c r="R230" t="str">
        <f t="shared" si="14"/>
        <v/>
      </c>
      <c r="S230" t="str">
        <f t="shared" si="15"/>
        <v/>
      </c>
    </row>
    <row r="231" spans="1:19">
      <c r="A231" t="s">
        <v>1003</v>
      </c>
      <c r="C231" t="s">
        <v>288</v>
      </c>
      <c r="D231" s="3">
        <v>40711.777349537035</v>
      </c>
      <c r="E231" s="8" t="s">
        <v>1004</v>
      </c>
      <c r="F231" s="8" t="s">
        <v>1005</v>
      </c>
      <c r="G231" s="4" t="s">
        <v>336</v>
      </c>
      <c r="H231" s="3">
        <v>40711.911956018521</v>
      </c>
      <c r="I231">
        <v>1</v>
      </c>
      <c r="L231">
        <f t="shared" si="12"/>
        <v>1</v>
      </c>
      <c r="Q231" t="str">
        <f t="shared" si="13"/>
        <v>MC,26fc0c8,5dddebc</v>
      </c>
      <c r="R231" t="str">
        <f t="shared" si="14"/>
        <v/>
      </c>
      <c r="S231" t="str">
        <f t="shared" si="15"/>
        <v/>
      </c>
    </row>
    <row r="232" spans="1:19">
      <c r="A232" t="s">
        <v>1312</v>
      </c>
      <c r="C232" t="s">
        <v>288</v>
      </c>
      <c r="D232" s="3">
        <v>40711.925393518519</v>
      </c>
      <c r="E232" s="8" t="s">
        <v>1313</v>
      </c>
      <c r="F232" s="8" t="s">
        <v>1314</v>
      </c>
      <c r="G232" s="4" t="s">
        <v>336</v>
      </c>
      <c r="H232" s="3">
        <v>40711.972175925926</v>
      </c>
      <c r="L232">
        <f t="shared" si="12"/>
        <v>0</v>
      </c>
      <c r="Q232" t="str">
        <f t="shared" si="13"/>
        <v/>
      </c>
      <c r="R232" t="str">
        <f t="shared" si="14"/>
        <v/>
      </c>
      <c r="S232" t="str">
        <f t="shared" si="15"/>
        <v/>
      </c>
    </row>
    <row r="233" spans="1:19">
      <c r="A233" t="s">
        <v>808</v>
      </c>
      <c r="C233" t="s">
        <v>288</v>
      </c>
      <c r="D233" s="3">
        <v>40711.972210648149</v>
      </c>
      <c r="E233" s="8" t="s">
        <v>809</v>
      </c>
      <c r="F233" s="8" t="s">
        <v>810</v>
      </c>
      <c r="G233" s="4" t="s">
        <v>336</v>
      </c>
      <c r="H233" s="3">
        <v>40712.394745370373</v>
      </c>
      <c r="L233">
        <f t="shared" si="12"/>
        <v>0</v>
      </c>
      <c r="Q233" t="str">
        <f t="shared" si="13"/>
        <v/>
      </c>
      <c r="R233" t="str">
        <f t="shared" si="14"/>
        <v/>
      </c>
      <c r="S233" t="str">
        <f t="shared" si="15"/>
        <v/>
      </c>
    </row>
    <row r="234" spans="1:19">
      <c r="A234" t="s">
        <v>1315</v>
      </c>
      <c r="C234" t="s">
        <v>288</v>
      </c>
      <c r="D234" s="3">
        <v>40711.972210648149</v>
      </c>
      <c r="E234" s="8" t="s">
        <v>809</v>
      </c>
      <c r="F234" s="8" t="s">
        <v>1316</v>
      </c>
      <c r="G234" s="2" t="s">
        <v>416</v>
      </c>
      <c r="H234" s="3">
        <v>40713.964016203703</v>
      </c>
      <c r="L234">
        <f t="shared" si="12"/>
        <v>0</v>
      </c>
      <c r="Q234" t="str">
        <f t="shared" si="13"/>
        <v/>
      </c>
      <c r="R234" t="str">
        <f t="shared" si="14"/>
        <v/>
      </c>
      <c r="S234" t="str">
        <f t="shared" si="15"/>
        <v/>
      </c>
    </row>
    <row r="235" spans="1:19">
      <c r="A235" t="s">
        <v>799</v>
      </c>
      <c r="C235" t="s">
        <v>731</v>
      </c>
      <c r="D235" s="3">
        <v>40700.962083333332</v>
      </c>
      <c r="E235" s="8" t="s">
        <v>800</v>
      </c>
      <c r="F235" s="8" t="s">
        <v>801</v>
      </c>
      <c r="G235" s="2" t="s">
        <v>288</v>
      </c>
      <c r="H235" s="3">
        <v>40714.46402777778</v>
      </c>
      <c r="L235">
        <f t="shared" si="12"/>
        <v>0</v>
      </c>
      <c r="Q235" t="str">
        <f t="shared" si="13"/>
        <v/>
      </c>
      <c r="R235" t="str">
        <f t="shared" si="14"/>
        <v/>
      </c>
      <c r="S235" t="str">
        <f t="shared" si="15"/>
        <v/>
      </c>
    </row>
    <row r="236" spans="1:19">
      <c r="A236" t="s">
        <v>730</v>
      </c>
      <c r="C236" t="s">
        <v>731</v>
      </c>
      <c r="D236" s="3">
        <v>40714.548356481479</v>
      </c>
      <c r="E236" s="8" t="s">
        <v>732</v>
      </c>
      <c r="F236" s="8" t="s">
        <v>733</v>
      </c>
      <c r="G236" s="2" t="s">
        <v>288</v>
      </c>
      <c r="H236" s="3">
        <v>40714.74690972222</v>
      </c>
      <c r="L236">
        <f t="shared" si="12"/>
        <v>0</v>
      </c>
      <c r="Q236" t="str">
        <f t="shared" si="13"/>
        <v/>
      </c>
      <c r="R236" t="str">
        <f t="shared" si="14"/>
        <v/>
      </c>
      <c r="S236" t="str">
        <f t="shared" si="15"/>
        <v/>
      </c>
    </row>
    <row r="237" spans="1:19">
      <c r="A237" t="s">
        <v>380</v>
      </c>
      <c r="B237" t="s">
        <v>1134</v>
      </c>
      <c r="C237" s="2" t="s">
        <v>288</v>
      </c>
      <c r="D237" s="3">
        <v>40714.46398148148</v>
      </c>
      <c r="E237" s="8" t="s">
        <v>381</v>
      </c>
      <c r="F237" s="8" t="s">
        <v>382</v>
      </c>
      <c r="G237" s="4" t="s">
        <v>289</v>
      </c>
      <c r="H237" s="3">
        <v>40715.065335648149</v>
      </c>
      <c r="J237">
        <v>1</v>
      </c>
      <c r="L237">
        <f t="shared" si="12"/>
        <v>1</v>
      </c>
      <c r="Q237" t="str">
        <f t="shared" si="13"/>
        <v/>
      </c>
      <c r="R237" t="str">
        <f t="shared" si="14"/>
        <v>BC,556ef07,855f0db</v>
      </c>
      <c r="S237" t="str">
        <f t="shared" si="15"/>
        <v/>
      </c>
    </row>
    <row r="238" spans="1:19">
      <c r="A238" t="s">
        <v>1256</v>
      </c>
      <c r="C238" t="s">
        <v>288</v>
      </c>
      <c r="D238" s="3">
        <v>40712.396724537037</v>
      </c>
      <c r="E238" s="8" t="s">
        <v>1257</v>
      </c>
      <c r="F238" s="8" t="s">
        <v>541</v>
      </c>
      <c r="G238" s="2" t="s">
        <v>306</v>
      </c>
      <c r="H238" s="3">
        <v>40715.608356481483</v>
      </c>
      <c r="J238">
        <v>1</v>
      </c>
      <c r="L238">
        <f t="shared" si="12"/>
        <v>1</v>
      </c>
      <c r="Q238" t="str">
        <f t="shared" si="13"/>
        <v/>
      </c>
      <c r="R238" t="str">
        <f t="shared" si="14"/>
        <v>BC,06b1009,9323b34</v>
      </c>
      <c r="S238" t="str">
        <f t="shared" si="15"/>
        <v/>
      </c>
    </row>
    <row r="239" spans="1:19">
      <c r="A239" t="s">
        <v>540</v>
      </c>
      <c r="C239" t="s">
        <v>306</v>
      </c>
      <c r="D239" s="3">
        <v>40715.608356481483</v>
      </c>
      <c r="E239" s="8" t="s">
        <v>541</v>
      </c>
      <c r="F239" s="8" t="s">
        <v>542</v>
      </c>
      <c r="G239" s="4" t="s">
        <v>543</v>
      </c>
      <c r="H239" s="3">
        <v>40715.68204861111</v>
      </c>
      <c r="L239">
        <f t="shared" si="12"/>
        <v>0</v>
      </c>
      <c r="Q239" t="str">
        <f t="shared" si="13"/>
        <v/>
      </c>
      <c r="R239" t="str">
        <f t="shared" si="14"/>
        <v/>
      </c>
      <c r="S239" t="str">
        <f t="shared" si="15"/>
        <v/>
      </c>
    </row>
    <row r="240" spans="1:19">
      <c r="A240" t="s">
        <v>402</v>
      </c>
      <c r="B240" t="s">
        <v>1494</v>
      </c>
      <c r="C240" t="s">
        <v>300</v>
      </c>
      <c r="D240" s="3">
        <v>40715.608993055554</v>
      </c>
      <c r="E240" s="8" t="s">
        <v>1573</v>
      </c>
      <c r="F240" s="8" t="s">
        <v>403</v>
      </c>
      <c r="G240" s="4" t="s">
        <v>288</v>
      </c>
      <c r="H240" s="3">
        <v>40715.710081018522</v>
      </c>
      <c r="L240">
        <f t="shared" si="12"/>
        <v>0</v>
      </c>
      <c r="Q240" t="str">
        <f t="shared" si="13"/>
        <v/>
      </c>
      <c r="R240" t="str">
        <f t="shared" si="14"/>
        <v/>
      </c>
      <c r="S240" t="str">
        <f t="shared" si="15"/>
        <v/>
      </c>
    </row>
    <row r="241" spans="1:19">
      <c r="A241" t="s">
        <v>938</v>
      </c>
      <c r="C241" t="s">
        <v>300</v>
      </c>
      <c r="D241" s="3">
        <v>40716.568391203706</v>
      </c>
      <c r="E241" s="8" t="s">
        <v>939</v>
      </c>
      <c r="F241" s="8" t="s">
        <v>940</v>
      </c>
      <c r="G241" s="2" t="s">
        <v>385</v>
      </c>
      <c r="H241" s="3">
        <v>40717.465046296296</v>
      </c>
      <c r="L241">
        <f t="shared" si="12"/>
        <v>0</v>
      </c>
      <c r="Q241" t="str">
        <f t="shared" si="13"/>
        <v/>
      </c>
      <c r="R241" t="str">
        <f t="shared" si="14"/>
        <v/>
      </c>
      <c r="S241" t="str">
        <f t="shared" si="15"/>
        <v/>
      </c>
    </row>
    <row r="242" spans="1:19">
      <c r="A242" t="s">
        <v>811</v>
      </c>
      <c r="C242" t="s">
        <v>812</v>
      </c>
      <c r="D242" s="3">
        <v>40713.057766203703</v>
      </c>
      <c r="E242" s="8" t="s">
        <v>813</v>
      </c>
      <c r="F242" s="8" t="s">
        <v>814</v>
      </c>
      <c r="G242" s="2" t="s">
        <v>293</v>
      </c>
      <c r="H242" s="3">
        <v>40718.919259259259</v>
      </c>
      <c r="I242">
        <v>1</v>
      </c>
      <c r="L242">
        <f t="shared" si="12"/>
        <v>1</v>
      </c>
      <c r="Q242" t="str">
        <f t="shared" si="13"/>
        <v>MC,547c8d6,89bd7cd</v>
      </c>
      <c r="R242" t="str">
        <f t="shared" si="14"/>
        <v/>
      </c>
      <c r="S242" t="str">
        <f t="shared" si="15"/>
        <v/>
      </c>
    </row>
    <row r="243" spans="1:19">
      <c r="A243" t="s">
        <v>856</v>
      </c>
      <c r="C243" t="s">
        <v>857</v>
      </c>
      <c r="D243" s="3">
        <v>40716.208645833336</v>
      </c>
      <c r="E243" s="8" t="s">
        <v>858</v>
      </c>
      <c r="F243" s="8" t="s">
        <v>859</v>
      </c>
      <c r="G243" s="2" t="s">
        <v>288</v>
      </c>
      <c r="H243" s="3">
        <v>40721.417511574073</v>
      </c>
      <c r="J243">
        <v>1</v>
      </c>
      <c r="L243">
        <f t="shared" si="12"/>
        <v>1</v>
      </c>
      <c r="Q243" t="str">
        <f t="shared" si="13"/>
        <v/>
      </c>
      <c r="R243" t="str">
        <f t="shared" si="14"/>
        <v>BC,591cbfd,9f526b3</v>
      </c>
      <c r="S243" t="str">
        <f t="shared" si="15"/>
        <v/>
      </c>
    </row>
    <row r="244" spans="1:19">
      <c r="A244" t="s">
        <v>997</v>
      </c>
      <c r="C244" t="s">
        <v>288</v>
      </c>
      <c r="D244" s="3">
        <v>40722.973796296297</v>
      </c>
      <c r="E244" s="8" t="s">
        <v>998</v>
      </c>
      <c r="F244" s="8" t="s">
        <v>999</v>
      </c>
      <c r="G244" s="2" t="s">
        <v>918</v>
      </c>
      <c r="H244" s="3">
        <v>40723.671377314815</v>
      </c>
      <c r="L244">
        <f t="shared" si="12"/>
        <v>0</v>
      </c>
      <c r="Q244" t="str">
        <f t="shared" si="13"/>
        <v/>
      </c>
      <c r="R244" t="str">
        <f t="shared" si="14"/>
        <v/>
      </c>
      <c r="S244" t="str">
        <f t="shared" si="15"/>
        <v/>
      </c>
    </row>
    <row r="245" spans="1:19">
      <c r="A245" t="s">
        <v>1246</v>
      </c>
      <c r="C245" t="s">
        <v>288</v>
      </c>
      <c r="D245" s="3">
        <v>40725.768738425926</v>
      </c>
      <c r="E245" s="8" t="s">
        <v>1247</v>
      </c>
      <c r="F245" s="8" t="s">
        <v>1248</v>
      </c>
      <c r="G245" s="2" t="s">
        <v>293</v>
      </c>
      <c r="H245" s="3">
        <v>40726.535034722219</v>
      </c>
      <c r="L245">
        <f t="shared" si="12"/>
        <v>0</v>
      </c>
      <c r="Q245" t="str">
        <f t="shared" si="13"/>
        <v/>
      </c>
      <c r="R245" t="str">
        <f t="shared" si="14"/>
        <v/>
      </c>
      <c r="S245" t="str">
        <f t="shared" si="15"/>
        <v/>
      </c>
    </row>
    <row r="246" spans="1:19">
      <c r="A246" t="s">
        <v>359</v>
      </c>
      <c r="B246" t="s">
        <v>1160</v>
      </c>
      <c r="C246" s="2" t="s">
        <v>293</v>
      </c>
      <c r="D246" s="3">
        <v>40727.574374999997</v>
      </c>
      <c r="E246" s="8" t="s">
        <v>360</v>
      </c>
      <c r="F246" s="8" t="s">
        <v>361</v>
      </c>
      <c r="G246" s="4" t="s">
        <v>289</v>
      </c>
      <c r="H246" s="3">
        <v>40728.555694444447</v>
      </c>
      <c r="J246">
        <v>1</v>
      </c>
      <c r="L246">
        <f t="shared" si="12"/>
        <v>1</v>
      </c>
      <c r="Q246" t="str">
        <f t="shared" si="13"/>
        <v/>
      </c>
      <c r="R246" t="str">
        <f t="shared" si="14"/>
        <v>BC,65678ad,ee077a0</v>
      </c>
      <c r="S246" t="str">
        <f t="shared" si="15"/>
        <v/>
      </c>
    </row>
    <row r="247" spans="1:19">
      <c r="A247" s="1" t="s">
        <v>703</v>
      </c>
      <c r="C247" t="s">
        <v>704</v>
      </c>
      <c r="D247" s="3">
        <v>40729.27447916667</v>
      </c>
      <c r="E247" s="8" t="s">
        <v>705</v>
      </c>
      <c r="F247" s="8" t="s">
        <v>706</v>
      </c>
      <c r="G247" s="2" t="s">
        <v>288</v>
      </c>
      <c r="H247" s="3">
        <v>40729.389236111114</v>
      </c>
      <c r="L247">
        <f t="shared" si="12"/>
        <v>0</v>
      </c>
      <c r="Q247" t="str">
        <f t="shared" si="13"/>
        <v/>
      </c>
      <c r="R247" t="str">
        <f t="shared" si="14"/>
        <v/>
      </c>
      <c r="S247" t="str">
        <f t="shared" si="15"/>
        <v/>
      </c>
    </row>
    <row r="248" spans="1:19">
      <c r="A248" t="s">
        <v>724</v>
      </c>
      <c r="C248" t="s">
        <v>293</v>
      </c>
      <c r="D248" s="3">
        <v>40728.8440162037</v>
      </c>
      <c r="E248" s="8" t="s">
        <v>725</v>
      </c>
      <c r="F248" s="8" t="s">
        <v>726</v>
      </c>
      <c r="G248" s="2" t="s">
        <v>727</v>
      </c>
      <c r="H248" s="3">
        <v>40729.441365740742</v>
      </c>
      <c r="L248">
        <f t="shared" si="12"/>
        <v>0</v>
      </c>
      <c r="Q248" t="str">
        <f t="shared" si="13"/>
        <v/>
      </c>
      <c r="R248" t="str">
        <f t="shared" si="14"/>
        <v/>
      </c>
      <c r="S248" t="str">
        <f t="shared" si="15"/>
        <v/>
      </c>
    </row>
    <row r="249" spans="1:19">
      <c r="A249" t="s">
        <v>1519</v>
      </c>
      <c r="C249" t="s">
        <v>300</v>
      </c>
      <c r="D249" s="3">
        <v>40729.421712962961</v>
      </c>
      <c r="E249" s="8" t="s">
        <v>1520</v>
      </c>
      <c r="F249" s="8" t="s">
        <v>1521</v>
      </c>
      <c r="G249" s="2" t="s">
        <v>288</v>
      </c>
      <c r="H249" s="3">
        <v>40729.492534722223</v>
      </c>
      <c r="L249">
        <f t="shared" si="12"/>
        <v>0</v>
      </c>
      <c r="Q249" t="str">
        <f t="shared" si="13"/>
        <v/>
      </c>
      <c r="R249" t="str">
        <f t="shared" si="14"/>
        <v/>
      </c>
      <c r="S249" t="str">
        <f t="shared" si="15"/>
        <v/>
      </c>
    </row>
    <row r="250" spans="1:19">
      <c r="A250" t="s">
        <v>957</v>
      </c>
      <c r="C250" t="s">
        <v>958</v>
      </c>
      <c r="D250" s="3">
        <v>40723.714687500003</v>
      </c>
      <c r="E250" s="8" t="s">
        <v>959</v>
      </c>
      <c r="F250" s="8" t="s">
        <v>960</v>
      </c>
      <c r="G250" s="2" t="s">
        <v>288</v>
      </c>
      <c r="H250" s="3">
        <v>40729.518090277779</v>
      </c>
      <c r="L250">
        <f t="shared" si="12"/>
        <v>0</v>
      </c>
      <c r="Q250" t="str">
        <f t="shared" si="13"/>
        <v/>
      </c>
      <c r="R250" t="str">
        <f t="shared" si="14"/>
        <v/>
      </c>
      <c r="S250" t="str">
        <f t="shared" si="15"/>
        <v/>
      </c>
    </row>
    <row r="251" spans="1:19">
      <c r="A251" t="s">
        <v>880</v>
      </c>
      <c r="C251" t="s">
        <v>288</v>
      </c>
      <c r="D251" s="3">
        <v>40726.89167824074</v>
      </c>
      <c r="E251" s="8" t="s">
        <v>881</v>
      </c>
      <c r="F251" s="8" t="s">
        <v>882</v>
      </c>
      <c r="G251" s="4" t="s">
        <v>336</v>
      </c>
      <c r="H251" s="3">
        <v>40729.793842592589</v>
      </c>
      <c r="I251">
        <v>1</v>
      </c>
      <c r="L251">
        <f t="shared" si="12"/>
        <v>1</v>
      </c>
      <c r="Q251" t="str">
        <f t="shared" si="13"/>
        <v>MC,ce27914,4f0ea9d</v>
      </c>
      <c r="R251" t="str">
        <f t="shared" si="14"/>
        <v/>
      </c>
      <c r="S251" t="str">
        <f t="shared" si="15"/>
        <v/>
      </c>
    </row>
    <row r="252" spans="1:19">
      <c r="A252" t="s">
        <v>1377</v>
      </c>
      <c r="C252" t="s">
        <v>869</v>
      </c>
      <c r="D252" s="3">
        <v>40732.869780092595</v>
      </c>
      <c r="E252" s="8" t="s">
        <v>1378</v>
      </c>
      <c r="F252" s="8" t="s">
        <v>1379</v>
      </c>
      <c r="G252" s="2" t="s">
        <v>288</v>
      </c>
      <c r="H252" s="3">
        <v>40732.913495370369</v>
      </c>
      <c r="J252">
        <v>1</v>
      </c>
      <c r="L252">
        <f t="shared" si="12"/>
        <v>1</v>
      </c>
      <c r="Q252" t="str">
        <f t="shared" si="13"/>
        <v/>
      </c>
      <c r="R252" t="str">
        <f t="shared" si="14"/>
        <v>BC,ad413c5,c3bafa4</v>
      </c>
      <c r="S252" t="str">
        <f t="shared" si="15"/>
        <v/>
      </c>
    </row>
    <row r="253" spans="1:19">
      <c r="A253" t="s">
        <v>909</v>
      </c>
      <c r="C253" t="s">
        <v>288</v>
      </c>
      <c r="D253" s="3">
        <v>40735.583032407405</v>
      </c>
      <c r="E253" s="8" t="s">
        <v>910</v>
      </c>
      <c r="F253" s="8" t="s">
        <v>911</v>
      </c>
      <c r="G253" s="2" t="s">
        <v>289</v>
      </c>
      <c r="H253" s="3">
        <v>40736.017476851855</v>
      </c>
      <c r="L253">
        <f t="shared" si="12"/>
        <v>0</v>
      </c>
      <c r="Q253" t="str">
        <f t="shared" si="13"/>
        <v/>
      </c>
      <c r="R253" t="str">
        <f t="shared" si="14"/>
        <v/>
      </c>
      <c r="S253" t="str">
        <f t="shared" si="15"/>
        <v/>
      </c>
    </row>
    <row r="254" spans="1:19">
      <c r="A254" t="s">
        <v>873</v>
      </c>
      <c r="C254" t="s">
        <v>288</v>
      </c>
      <c r="D254" s="3">
        <v>40741.261932870373</v>
      </c>
      <c r="E254" s="8" t="s">
        <v>874</v>
      </c>
      <c r="F254" s="8" t="s">
        <v>875</v>
      </c>
      <c r="G254" s="2" t="s">
        <v>293</v>
      </c>
      <c r="H254" s="3">
        <v>40741.504999999997</v>
      </c>
      <c r="L254">
        <f t="shared" si="12"/>
        <v>0</v>
      </c>
      <c r="Q254" t="str">
        <f t="shared" si="13"/>
        <v/>
      </c>
      <c r="R254" t="str">
        <f t="shared" si="14"/>
        <v/>
      </c>
      <c r="S254" t="str">
        <f t="shared" si="15"/>
        <v/>
      </c>
    </row>
    <row r="255" spans="1:19">
      <c r="A255" t="s">
        <v>1359</v>
      </c>
      <c r="C255" t="s">
        <v>293</v>
      </c>
      <c r="D255" s="3">
        <v>40741.976666666669</v>
      </c>
      <c r="E255" s="8" t="s">
        <v>1360</v>
      </c>
      <c r="F255" s="8" t="s">
        <v>1361</v>
      </c>
      <c r="G255" s="2" t="s">
        <v>288</v>
      </c>
      <c r="H255" s="3">
        <v>40742.039513888885</v>
      </c>
      <c r="L255">
        <f t="shared" si="12"/>
        <v>0</v>
      </c>
      <c r="Q255" t="str">
        <f t="shared" si="13"/>
        <v/>
      </c>
      <c r="R255" t="str">
        <f t="shared" si="14"/>
        <v/>
      </c>
      <c r="S255" t="str">
        <f t="shared" si="15"/>
        <v/>
      </c>
    </row>
    <row r="256" spans="1:19">
      <c r="A256" t="s">
        <v>557</v>
      </c>
      <c r="C256" t="s">
        <v>288</v>
      </c>
      <c r="D256" s="3">
        <v>40747.64603009259</v>
      </c>
      <c r="E256" s="8" t="s">
        <v>558</v>
      </c>
      <c r="F256" s="8" t="s">
        <v>559</v>
      </c>
      <c r="G256" s="4" t="s">
        <v>293</v>
      </c>
      <c r="H256" s="3">
        <v>40748.018553240741</v>
      </c>
      <c r="I256">
        <v>1</v>
      </c>
      <c r="L256">
        <f t="shared" si="12"/>
        <v>1</v>
      </c>
      <c r="Q256" t="str">
        <f t="shared" si="13"/>
        <v>MC,289e8b4,5853b54</v>
      </c>
      <c r="R256" t="str">
        <f t="shared" si="14"/>
        <v/>
      </c>
      <c r="S256" t="str">
        <f t="shared" si="15"/>
        <v/>
      </c>
    </row>
    <row r="257" spans="1:19">
      <c r="A257" t="s">
        <v>1522</v>
      </c>
      <c r="C257" t="s">
        <v>293</v>
      </c>
      <c r="D257" s="3">
        <v>40744.869687500002</v>
      </c>
      <c r="E257" s="8" t="s">
        <v>1523</v>
      </c>
      <c r="F257" s="8" t="s">
        <v>1524</v>
      </c>
      <c r="G257" s="2" t="s">
        <v>288</v>
      </c>
      <c r="H257" s="3">
        <v>40749.539479166669</v>
      </c>
      <c r="J257">
        <v>1</v>
      </c>
      <c r="L257">
        <f t="shared" si="12"/>
        <v>1</v>
      </c>
      <c r="Q257" t="str">
        <f t="shared" si="13"/>
        <v/>
      </c>
      <c r="R257" t="str">
        <f t="shared" si="14"/>
        <v>BC,315d2b6,a70e867</v>
      </c>
      <c r="S257" t="str">
        <f t="shared" si="15"/>
        <v/>
      </c>
    </row>
    <row r="258" spans="1:19">
      <c r="A258" t="s">
        <v>1113</v>
      </c>
      <c r="C258" t="s">
        <v>293</v>
      </c>
      <c r="D258" s="3">
        <v>40749.572280092594</v>
      </c>
      <c r="E258" s="8" t="s">
        <v>1114</v>
      </c>
      <c r="F258" s="8" t="s">
        <v>1115</v>
      </c>
      <c r="G258" s="2" t="s">
        <v>288</v>
      </c>
      <c r="H258" s="3">
        <v>40749.582939814813</v>
      </c>
      <c r="L258">
        <f t="shared" ref="L258:L321" si="16">COUNTA(I258:K258)</f>
        <v>0</v>
      </c>
      <c r="Q258" t="str">
        <f t="shared" si="13"/>
        <v/>
      </c>
      <c r="R258" t="str">
        <f t="shared" si="14"/>
        <v/>
      </c>
      <c r="S258" t="str">
        <f t="shared" si="15"/>
        <v/>
      </c>
    </row>
    <row r="259" spans="1:19">
      <c r="A259" t="s">
        <v>734</v>
      </c>
      <c r="C259" t="s">
        <v>288</v>
      </c>
      <c r="D259" s="3">
        <v>40749.689664351848</v>
      </c>
      <c r="E259" s="8" t="s">
        <v>735</v>
      </c>
      <c r="F259" s="8">
        <v>9034092</v>
      </c>
      <c r="G259" s="4" t="s">
        <v>336</v>
      </c>
      <c r="H259" s="3">
        <v>40749.761701388888</v>
      </c>
      <c r="I259">
        <v>1</v>
      </c>
      <c r="L259">
        <f t="shared" si="16"/>
        <v>1</v>
      </c>
      <c r="Q259" t="str">
        <f t="shared" ref="Q259:Q322" si="17">IF(I259&gt;0,CONCATENATE("MC,",E259,",",F259),"")</f>
        <v>MC,2ad3dfc,9034092</v>
      </c>
      <c r="R259" t="str">
        <f t="shared" ref="R259:R322" si="18">IF(J259&gt;0,CONCATENATE("BC,",E259,",",F259),"")</f>
        <v/>
      </c>
      <c r="S259" t="str">
        <f t="shared" ref="S259:S322" si="19">IF(K259&gt;0,CONCATENATE("TC,",E259,",",F259),"")</f>
        <v/>
      </c>
    </row>
    <row r="260" spans="1:19">
      <c r="A260" t="s">
        <v>883</v>
      </c>
      <c r="C260" t="s">
        <v>292</v>
      </c>
      <c r="D260" s="3">
        <v>40751.886944444443</v>
      </c>
      <c r="E260" s="8" t="s">
        <v>884</v>
      </c>
      <c r="F260" s="8" t="s">
        <v>885</v>
      </c>
      <c r="G260" s="2" t="s">
        <v>288</v>
      </c>
      <c r="H260" s="3">
        <v>40751.93509259259</v>
      </c>
      <c r="L260">
        <f t="shared" si="16"/>
        <v>0</v>
      </c>
      <c r="Q260" t="str">
        <f t="shared" si="17"/>
        <v/>
      </c>
      <c r="R260" t="str">
        <f t="shared" si="18"/>
        <v/>
      </c>
      <c r="S260" t="str">
        <f t="shared" si="19"/>
        <v/>
      </c>
    </row>
    <row r="261" spans="1:19">
      <c r="A261" t="s">
        <v>1500</v>
      </c>
      <c r="C261" t="s">
        <v>288</v>
      </c>
      <c r="D261" s="3">
        <v>40753.463310185187</v>
      </c>
      <c r="E261" s="8" t="s">
        <v>1501</v>
      </c>
      <c r="F261" s="8" t="s">
        <v>1502</v>
      </c>
      <c r="G261" s="2" t="s">
        <v>694</v>
      </c>
      <c r="H261" s="3">
        <v>40753.997835648152</v>
      </c>
      <c r="L261">
        <f t="shared" si="16"/>
        <v>0</v>
      </c>
      <c r="Q261" t="str">
        <f t="shared" si="17"/>
        <v/>
      </c>
      <c r="R261" t="str">
        <f t="shared" si="18"/>
        <v/>
      </c>
      <c r="S261" t="str">
        <f t="shared" si="19"/>
        <v/>
      </c>
    </row>
    <row r="262" spans="1:19">
      <c r="A262" t="s">
        <v>1406</v>
      </c>
      <c r="C262" t="s">
        <v>295</v>
      </c>
      <c r="D262" s="3">
        <v>40753.649652777778</v>
      </c>
      <c r="E262" s="8" t="s">
        <v>1407</v>
      </c>
      <c r="F262" s="8" t="s">
        <v>1408</v>
      </c>
      <c r="G262" s="2" t="s">
        <v>293</v>
      </c>
      <c r="H262" s="3">
        <v>40756.817372685182</v>
      </c>
      <c r="L262">
        <f t="shared" si="16"/>
        <v>0</v>
      </c>
      <c r="Q262" t="str">
        <f t="shared" si="17"/>
        <v/>
      </c>
      <c r="R262" t="str">
        <f t="shared" si="18"/>
        <v/>
      </c>
      <c r="S262" t="str">
        <f t="shared" si="19"/>
        <v/>
      </c>
    </row>
    <row r="263" spans="1:19">
      <c r="A263" t="s">
        <v>716</v>
      </c>
      <c r="C263" t="s">
        <v>288</v>
      </c>
      <c r="D263" s="3">
        <v>40756.487199074072</v>
      </c>
      <c r="E263" s="8" t="s">
        <v>717</v>
      </c>
      <c r="F263" s="8" t="s">
        <v>718</v>
      </c>
      <c r="G263" s="2" t="s">
        <v>293</v>
      </c>
      <c r="H263" s="3">
        <v>40756.82885416667</v>
      </c>
      <c r="L263">
        <f t="shared" si="16"/>
        <v>0</v>
      </c>
      <c r="Q263" t="str">
        <f t="shared" si="17"/>
        <v/>
      </c>
      <c r="R263" t="str">
        <f t="shared" si="18"/>
        <v/>
      </c>
      <c r="S263" t="str">
        <f t="shared" si="19"/>
        <v/>
      </c>
    </row>
    <row r="264" spans="1:19">
      <c r="A264" t="s">
        <v>647</v>
      </c>
      <c r="C264" t="s">
        <v>300</v>
      </c>
      <c r="D264" s="3">
        <v>40757.960844907408</v>
      </c>
      <c r="E264" s="8" t="s">
        <v>648</v>
      </c>
      <c r="F264" s="8" t="s">
        <v>649</v>
      </c>
      <c r="G264" s="2" t="s">
        <v>289</v>
      </c>
      <c r="H264" s="3">
        <v>40758.264201388891</v>
      </c>
      <c r="L264">
        <f t="shared" si="16"/>
        <v>0</v>
      </c>
      <c r="Q264" t="str">
        <f t="shared" si="17"/>
        <v/>
      </c>
      <c r="R264" t="str">
        <f t="shared" si="18"/>
        <v/>
      </c>
      <c r="S264" t="str">
        <f t="shared" si="19"/>
        <v/>
      </c>
    </row>
    <row r="265" spans="1:19">
      <c r="A265" t="s">
        <v>1266</v>
      </c>
      <c r="C265" t="s">
        <v>288</v>
      </c>
      <c r="D265" s="3">
        <v>40763.401064814818</v>
      </c>
      <c r="E265" s="8" t="s">
        <v>1267</v>
      </c>
      <c r="F265" s="8" t="s">
        <v>1268</v>
      </c>
      <c r="G265" s="4" t="s">
        <v>336</v>
      </c>
      <c r="H265" s="3">
        <v>40763.455682870372</v>
      </c>
      <c r="L265">
        <f t="shared" si="16"/>
        <v>0</v>
      </c>
      <c r="Q265" t="str">
        <f t="shared" si="17"/>
        <v/>
      </c>
      <c r="R265" t="str">
        <f t="shared" si="18"/>
        <v/>
      </c>
      <c r="S265" t="str">
        <f t="shared" si="19"/>
        <v/>
      </c>
    </row>
    <row r="266" spans="1:19">
      <c r="A266" t="s">
        <v>1279</v>
      </c>
      <c r="C266" t="s">
        <v>288</v>
      </c>
      <c r="D266" s="3">
        <v>40671.269270833334</v>
      </c>
      <c r="E266" s="8" t="s">
        <v>1280</v>
      </c>
      <c r="F266" s="8" t="s">
        <v>1281</v>
      </c>
      <c r="G266" s="2" t="s">
        <v>438</v>
      </c>
      <c r="H266" s="3">
        <v>40763.612500000003</v>
      </c>
      <c r="I266">
        <v>1</v>
      </c>
      <c r="L266">
        <f t="shared" si="16"/>
        <v>1</v>
      </c>
      <c r="Q266" t="str">
        <f t="shared" si="17"/>
        <v>MC,58d2024,82e57cb</v>
      </c>
      <c r="R266" t="str">
        <f t="shared" si="18"/>
        <v/>
      </c>
      <c r="S266" t="str">
        <f t="shared" si="19"/>
        <v/>
      </c>
    </row>
    <row r="267" spans="1:19">
      <c r="A267" t="s">
        <v>906</v>
      </c>
      <c r="C267" t="s">
        <v>288</v>
      </c>
      <c r="D267" s="3">
        <v>40764.633148148147</v>
      </c>
      <c r="E267" s="8" t="s">
        <v>907</v>
      </c>
      <c r="F267" s="8" t="s">
        <v>908</v>
      </c>
      <c r="G267" s="4" t="s">
        <v>336</v>
      </c>
      <c r="H267" s="3">
        <v>40764.640104166669</v>
      </c>
      <c r="L267">
        <f t="shared" si="16"/>
        <v>0</v>
      </c>
      <c r="Q267" t="str">
        <f t="shared" si="17"/>
        <v/>
      </c>
      <c r="R267" t="str">
        <f t="shared" si="18"/>
        <v/>
      </c>
      <c r="S267" t="str">
        <f t="shared" si="19"/>
        <v/>
      </c>
    </row>
    <row r="268" spans="1:19">
      <c r="A268" t="s">
        <v>1122</v>
      </c>
      <c r="C268" t="s">
        <v>1123</v>
      </c>
      <c r="D268" s="3">
        <v>40766.492326388892</v>
      </c>
      <c r="E268" s="8" t="s">
        <v>1124</v>
      </c>
      <c r="F268" s="8" t="s">
        <v>1125</v>
      </c>
      <c r="G268" s="2" t="s">
        <v>293</v>
      </c>
      <c r="H268" s="3">
        <v>40768.869560185187</v>
      </c>
      <c r="L268">
        <f t="shared" si="16"/>
        <v>0</v>
      </c>
      <c r="Q268" t="str">
        <f t="shared" si="17"/>
        <v/>
      </c>
      <c r="R268" t="str">
        <f t="shared" si="18"/>
        <v/>
      </c>
      <c r="S268" t="str">
        <f t="shared" si="19"/>
        <v/>
      </c>
    </row>
    <row r="269" spans="1:19">
      <c r="A269" t="s">
        <v>1528</v>
      </c>
      <c r="C269" t="s">
        <v>293</v>
      </c>
      <c r="D269" s="3">
        <v>40770.602858796294</v>
      </c>
      <c r="E269" s="8" t="s">
        <v>1529</v>
      </c>
      <c r="F269" s="8" t="s">
        <v>1530</v>
      </c>
      <c r="G269" s="2" t="s">
        <v>288</v>
      </c>
      <c r="H269" s="3">
        <v>40770.896192129629</v>
      </c>
      <c r="L269">
        <f t="shared" si="16"/>
        <v>0</v>
      </c>
      <c r="Q269" t="str">
        <f t="shared" si="17"/>
        <v/>
      </c>
      <c r="R269" t="str">
        <f t="shared" si="18"/>
        <v/>
      </c>
      <c r="S269" t="str">
        <f t="shared" si="19"/>
        <v/>
      </c>
    </row>
    <row r="270" spans="1:19">
      <c r="A270" t="s">
        <v>1225</v>
      </c>
      <c r="C270" t="s">
        <v>288</v>
      </c>
      <c r="D270" s="3">
        <v>40772.708854166667</v>
      </c>
      <c r="E270" s="8">
        <v>3623629</v>
      </c>
      <c r="F270" s="8" t="s">
        <v>1226</v>
      </c>
      <c r="G270" s="2" t="s">
        <v>325</v>
      </c>
      <c r="H270" s="3">
        <v>40772.860972222225</v>
      </c>
      <c r="L270">
        <f t="shared" si="16"/>
        <v>0</v>
      </c>
      <c r="Q270" t="str">
        <f t="shared" si="17"/>
        <v/>
      </c>
      <c r="R270" t="str">
        <f t="shared" si="18"/>
        <v/>
      </c>
      <c r="S270" t="str">
        <f t="shared" si="19"/>
        <v/>
      </c>
    </row>
    <row r="271" spans="1:19">
      <c r="A271" t="s">
        <v>636</v>
      </c>
      <c r="C271" t="s">
        <v>309</v>
      </c>
      <c r="D271" s="3">
        <v>40774.399918981479</v>
      </c>
      <c r="E271" s="8" t="s">
        <v>637</v>
      </c>
      <c r="F271" s="8">
        <v>1490624</v>
      </c>
      <c r="G271" s="2" t="s">
        <v>288</v>
      </c>
      <c r="H271" s="3">
        <v>40774.436284722222</v>
      </c>
      <c r="L271">
        <f t="shared" si="16"/>
        <v>0</v>
      </c>
      <c r="Q271" t="str">
        <f t="shared" si="17"/>
        <v/>
      </c>
      <c r="R271" t="str">
        <f t="shared" si="18"/>
        <v/>
      </c>
      <c r="S271" t="str">
        <f t="shared" si="19"/>
        <v/>
      </c>
    </row>
    <row r="272" spans="1:19">
      <c r="A272" t="s">
        <v>1566</v>
      </c>
      <c r="C272" t="s">
        <v>288</v>
      </c>
      <c r="D272" s="3">
        <v>40778.970057870371</v>
      </c>
      <c r="E272" s="8" t="s">
        <v>1567</v>
      </c>
      <c r="F272" s="8" t="s">
        <v>1568</v>
      </c>
      <c r="G272" s="4" t="s">
        <v>336</v>
      </c>
      <c r="H272" s="3">
        <v>40779.39199074074</v>
      </c>
      <c r="I272">
        <v>1</v>
      </c>
      <c r="K272">
        <v>1</v>
      </c>
      <c r="L272">
        <f t="shared" si="16"/>
        <v>2</v>
      </c>
      <c r="Q272" t="str">
        <f t="shared" si="17"/>
        <v>MC,9522cec,bcdff8c</v>
      </c>
      <c r="R272" t="str">
        <f t="shared" si="18"/>
        <v/>
      </c>
      <c r="S272" t="str">
        <f t="shared" si="19"/>
        <v>TC,9522cec,bcdff8c</v>
      </c>
    </row>
    <row r="273" spans="1:19">
      <c r="A273" t="s">
        <v>575</v>
      </c>
      <c r="C273" t="s">
        <v>288</v>
      </c>
      <c r="D273" s="3">
        <v>40779.396412037036</v>
      </c>
      <c r="E273" s="8" t="s">
        <v>576</v>
      </c>
      <c r="F273" s="8" t="s">
        <v>577</v>
      </c>
      <c r="G273" s="4" t="s">
        <v>306</v>
      </c>
      <c r="H273" s="3">
        <v>40779.428680555553</v>
      </c>
      <c r="L273">
        <f t="shared" si="16"/>
        <v>0</v>
      </c>
      <c r="Q273" t="str">
        <f t="shared" si="17"/>
        <v/>
      </c>
      <c r="R273" t="str">
        <f t="shared" si="18"/>
        <v/>
      </c>
      <c r="S273" t="str">
        <f t="shared" si="19"/>
        <v/>
      </c>
    </row>
    <row r="274" spans="1:19">
      <c r="A274" t="s">
        <v>1033</v>
      </c>
      <c r="C274" t="s">
        <v>790</v>
      </c>
      <c r="D274" s="3">
        <v>40781.660810185182</v>
      </c>
      <c r="E274" s="8" t="s">
        <v>1034</v>
      </c>
      <c r="F274" s="8" t="s">
        <v>1035</v>
      </c>
      <c r="G274" s="2" t="s">
        <v>723</v>
      </c>
      <c r="H274" s="3">
        <v>40782.015740740739</v>
      </c>
      <c r="L274">
        <f t="shared" si="16"/>
        <v>0</v>
      </c>
      <c r="Q274" t="str">
        <f t="shared" si="17"/>
        <v/>
      </c>
      <c r="R274" t="str">
        <f t="shared" si="18"/>
        <v/>
      </c>
      <c r="S274" t="str">
        <f t="shared" si="19"/>
        <v/>
      </c>
    </row>
    <row r="275" spans="1:19">
      <c r="A275" t="s">
        <v>1413</v>
      </c>
      <c r="C275" t="s">
        <v>290</v>
      </c>
      <c r="D275" s="3">
        <v>40614.774409722224</v>
      </c>
      <c r="E275" s="8" t="s">
        <v>1414</v>
      </c>
      <c r="F275" s="8" t="s">
        <v>1415</v>
      </c>
      <c r="G275" s="2" t="s">
        <v>288</v>
      </c>
      <c r="H275" s="3">
        <v>40784.438368055555</v>
      </c>
      <c r="L275">
        <f t="shared" si="16"/>
        <v>0</v>
      </c>
      <c r="Q275" t="str">
        <f t="shared" si="17"/>
        <v/>
      </c>
      <c r="R275" t="str">
        <f t="shared" si="18"/>
        <v/>
      </c>
      <c r="S275" t="str">
        <f t="shared" si="19"/>
        <v/>
      </c>
    </row>
    <row r="276" spans="1:19">
      <c r="A276" t="s">
        <v>713</v>
      </c>
      <c r="C276" t="s">
        <v>288</v>
      </c>
      <c r="D276" s="3">
        <v>40782.376134259262</v>
      </c>
      <c r="E276" s="8" t="s">
        <v>714</v>
      </c>
      <c r="F276" s="8" t="s">
        <v>715</v>
      </c>
      <c r="G276" s="4" t="s">
        <v>336</v>
      </c>
      <c r="H276" s="3">
        <v>40784.438391203701</v>
      </c>
      <c r="L276">
        <f t="shared" si="16"/>
        <v>0</v>
      </c>
      <c r="Q276" t="str">
        <f t="shared" si="17"/>
        <v/>
      </c>
      <c r="R276" t="str">
        <f t="shared" si="18"/>
        <v/>
      </c>
      <c r="S276" t="str">
        <f t="shared" si="19"/>
        <v/>
      </c>
    </row>
    <row r="277" spans="1:19">
      <c r="A277" t="s">
        <v>870</v>
      </c>
      <c r="C277" t="s">
        <v>288</v>
      </c>
      <c r="D277" s="3">
        <v>40784.491018518522</v>
      </c>
      <c r="E277" s="8" t="s">
        <v>871</v>
      </c>
      <c r="F277" s="8" t="s">
        <v>872</v>
      </c>
      <c r="G277" s="4" t="s">
        <v>336</v>
      </c>
      <c r="H277" s="3">
        <v>40784.493680555555</v>
      </c>
      <c r="I277">
        <v>1</v>
      </c>
      <c r="L277">
        <f t="shared" si="16"/>
        <v>1</v>
      </c>
      <c r="Q277" t="str">
        <f t="shared" si="17"/>
        <v>MC,2dbe144,244ff56</v>
      </c>
      <c r="R277" t="str">
        <f t="shared" si="18"/>
        <v/>
      </c>
      <c r="S277" t="str">
        <f t="shared" si="19"/>
        <v/>
      </c>
    </row>
    <row r="278" spans="1:19">
      <c r="A278" t="s">
        <v>961</v>
      </c>
      <c r="C278" t="s">
        <v>790</v>
      </c>
      <c r="D278" s="3">
        <v>40784.578622685185</v>
      </c>
      <c r="E278" s="8" t="s">
        <v>962</v>
      </c>
      <c r="F278" s="8" t="s">
        <v>963</v>
      </c>
      <c r="G278" s="2" t="s">
        <v>288</v>
      </c>
      <c r="H278" s="3">
        <v>40784.654236111113</v>
      </c>
      <c r="L278">
        <f t="shared" si="16"/>
        <v>0</v>
      </c>
      <c r="Q278" t="str">
        <f t="shared" si="17"/>
        <v/>
      </c>
      <c r="R278" t="str">
        <f t="shared" si="18"/>
        <v/>
      </c>
      <c r="S278" t="str">
        <f t="shared" si="19"/>
        <v/>
      </c>
    </row>
    <row r="279" spans="1:19">
      <c r="A279" t="s">
        <v>1347</v>
      </c>
      <c r="C279" t="s">
        <v>288</v>
      </c>
      <c r="D279" s="3">
        <v>40786.68922453704</v>
      </c>
      <c r="E279" s="8" t="s">
        <v>1348</v>
      </c>
      <c r="F279" s="8" t="s">
        <v>1349</v>
      </c>
      <c r="G279" s="2" t="s">
        <v>290</v>
      </c>
      <c r="H279" s="3">
        <v>40786.834803240738</v>
      </c>
      <c r="L279">
        <f t="shared" si="16"/>
        <v>0</v>
      </c>
      <c r="Q279" t="str">
        <f t="shared" si="17"/>
        <v/>
      </c>
      <c r="R279" t="str">
        <f t="shared" si="18"/>
        <v/>
      </c>
      <c r="S279" t="str">
        <f t="shared" si="19"/>
        <v/>
      </c>
    </row>
    <row r="280" spans="1:19">
      <c r="A280" t="s">
        <v>1419</v>
      </c>
      <c r="C280" t="s">
        <v>1420</v>
      </c>
      <c r="D280" s="3">
        <v>40790.742222222223</v>
      </c>
      <c r="E280" s="8" t="s">
        <v>1421</v>
      </c>
      <c r="F280" s="8" t="s">
        <v>1422</v>
      </c>
      <c r="G280" s="2" t="s">
        <v>302</v>
      </c>
      <c r="H280" s="3">
        <v>40791.370671296296</v>
      </c>
      <c r="L280">
        <f t="shared" si="16"/>
        <v>0</v>
      </c>
      <c r="Q280" t="str">
        <f t="shared" si="17"/>
        <v/>
      </c>
      <c r="R280" t="str">
        <f t="shared" si="18"/>
        <v/>
      </c>
      <c r="S280" t="str">
        <f t="shared" si="19"/>
        <v/>
      </c>
    </row>
    <row r="281" spans="1:19">
      <c r="A281" t="s">
        <v>903</v>
      </c>
      <c r="C281" t="s">
        <v>658</v>
      </c>
      <c r="D281" s="3">
        <v>40789.899872685186</v>
      </c>
      <c r="E281" s="8" t="s">
        <v>904</v>
      </c>
      <c r="F281" s="8" t="s">
        <v>905</v>
      </c>
      <c r="G281" s="2" t="s">
        <v>298</v>
      </c>
      <c r="H281" s="3">
        <v>40791.925011574072</v>
      </c>
      <c r="L281">
        <f t="shared" si="16"/>
        <v>0</v>
      </c>
      <c r="Q281" t="str">
        <f t="shared" si="17"/>
        <v/>
      </c>
      <c r="R281" t="str">
        <f t="shared" si="18"/>
        <v/>
      </c>
      <c r="S281" t="str">
        <f t="shared" si="19"/>
        <v/>
      </c>
    </row>
    <row r="282" spans="1:19">
      <c r="A282" t="s">
        <v>426</v>
      </c>
      <c r="B282" t="s">
        <v>557</v>
      </c>
      <c r="C282" t="s">
        <v>289</v>
      </c>
      <c r="D282" s="3">
        <v>40789.063935185186</v>
      </c>
      <c r="E282" s="8" t="s">
        <v>427</v>
      </c>
      <c r="F282" s="8" t="s">
        <v>428</v>
      </c>
      <c r="G282" s="4" t="s">
        <v>301</v>
      </c>
      <c r="H282" s="3">
        <v>40792.022164351853</v>
      </c>
      <c r="L282">
        <f t="shared" si="16"/>
        <v>0</v>
      </c>
      <c r="Q282" t="str">
        <f t="shared" si="17"/>
        <v/>
      </c>
      <c r="R282" t="str">
        <f t="shared" si="18"/>
        <v/>
      </c>
      <c r="S282" t="str">
        <f t="shared" si="19"/>
        <v/>
      </c>
    </row>
    <row r="283" spans="1:19">
      <c r="A283" t="s">
        <v>954</v>
      </c>
      <c r="C283" t="s">
        <v>288</v>
      </c>
      <c r="D283" s="3">
        <v>40792.550451388888</v>
      </c>
      <c r="E283" s="8" t="s">
        <v>955</v>
      </c>
      <c r="F283" s="8" t="s">
        <v>956</v>
      </c>
      <c r="G283" s="4" t="s">
        <v>336</v>
      </c>
      <c r="H283" s="3">
        <v>40792.566412037035</v>
      </c>
      <c r="L283">
        <f t="shared" si="16"/>
        <v>0</v>
      </c>
      <c r="Q283" t="str">
        <f t="shared" si="17"/>
        <v/>
      </c>
      <c r="R283" t="str">
        <f t="shared" si="18"/>
        <v/>
      </c>
      <c r="S283" t="str">
        <f t="shared" si="19"/>
        <v/>
      </c>
    </row>
    <row r="284" spans="1:19">
      <c r="A284" t="s">
        <v>982</v>
      </c>
      <c r="C284" t="s">
        <v>288</v>
      </c>
      <c r="D284" s="3">
        <v>40792.506030092591</v>
      </c>
      <c r="E284" s="8" t="s">
        <v>983</v>
      </c>
      <c r="F284" s="8" t="s">
        <v>984</v>
      </c>
      <c r="G284" s="2" t="s">
        <v>293</v>
      </c>
      <c r="H284" s="3">
        <v>40792.850046296298</v>
      </c>
      <c r="L284">
        <f t="shared" si="16"/>
        <v>0</v>
      </c>
      <c r="Q284" t="str">
        <f t="shared" si="17"/>
        <v/>
      </c>
      <c r="R284" t="str">
        <f t="shared" si="18"/>
        <v/>
      </c>
      <c r="S284" t="str">
        <f t="shared" si="19"/>
        <v/>
      </c>
    </row>
    <row r="285" spans="1:19">
      <c r="A285" t="s">
        <v>1209</v>
      </c>
      <c r="C285" t="s">
        <v>288</v>
      </c>
      <c r="D285" s="3">
        <v>40792.566932870373</v>
      </c>
      <c r="E285" s="8">
        <v>9349370</v>
      </c>
      <c r="F285" s="8" t="s">
        <v>1210</v>
      </c>
      <c r="G285" s="2" t="s">
        <v>723</v>
      </c>
      <c r="H285" s="3">
        <v>40792.967766203707</v>
      </c>
      <c r="L285">
        <f t="shared" si="16"/>
        <v>0</v>
      </c>
      <c r="Q285" t="str">
        <f t="shared" si="17"/>
        <v/>
      </c>
      <c r="R285" t="str">
        <f t="shared" si="18"/>
        <v/>
      </c>
      <c r="S285" t="str">
        <f t="shared" si="19"/>
        <v/>
      </c>
    </row>
    <row r="286" spans="1:19">
      <c r="A286" t="s">
        <v>460</v>
      </c>
      <c r="B286" t="s">
        <v>811</v>
      </c>
      <c r="C286" t="s">
        <v>288</v>
      </c>
      <c r="D286" s="3">
        <v>40786.731226851851</v>
      </c>
      <c r="E286" s="8" t="s">
        <v>461</v>
      </c>
      <c r="F286" s="8" t="s">
        <v>462</v>
      </c>
      <c r="G286" s="4" t="s">
        <v>300</v>
      </c>
      <c r="H286" s="3">
        <v>40793.058969907404</v>
      </c>
      <c r="L286">
        <f t="shared" si="16"/>
        <v>0</v>
      </c>
      <c r="Q286" t="str">
        <f t="shared" si="17"/>
        <v/>
      </c>
      <c r="R286" t="str">
        <f t="shared" si="18"/>
        <v/>
      </c>
      <c r="S286" t="str">
        <f t="shared" si="19"/>
        <v/>
      </c>
    </row>
    <row r="287" spans="1:19">
      <c r="A287" t="s">
        <v>399</v>
      </c>
      <c r="B287" t="s">
        <v>569</v>
      </c>
      <c r="C287" t="s">
        <v>288</v>
      </c>
      <c r="D287" s="3">
        <v>40794.693182870367</v>
      </c>
      <c r="E287" s="8" t="s">
        <v>400</v>
      </c>
      <c r="F287" s="8" t="s">
        <v>401</v>
      </c>
      <c r="G287" s="4" t="s">
        <v>336</v>
      </c>
      <c r="H287" s="3">
        <v>40794.742708333331</v>
      </c>
      <c r="I287">
        <v>1</v>
      </c>
      <c r="L287">
        <f t="shared" si="16"/>
        <v>1</v>
      </c>
      <c r="Q287" t="str">
        <f t="shared" si="17"/>
        <v>MC,9a3b928,e981264</v>
      </c>
      <c r="R287" t="str">
        <f t="shared" si="18"/>
        <v/>
      </c>
      <c r="S287" t="str">
        <f t="shared" si="19"/>
        <v/>
      </c>
    </row>
    <row r="288" spans="1:19">
      <c r="A288" t="s">
        <v>1545</v>
      </c>
      <c r="C288" t="s">
        <v>288</v>
      </c>
      <c r="D288" s="3">
        <v>40795.389502314814</v>
      </c>
      <c r="E288" s="8" t="s">
        <v>1546</v>
      </c>
      <c r="F288" s="8" t="s">
        <v>1547</v>
      </c>
      <c r="G288" s="2" t="s">
        <v>1082</v>
      </c>
      <c r="H288" s="3">
        <v>40797.675104166665</v>
      </c>
      <c r="J288">
        <v>1</v>
      </c>
      <c r="L288">
        <f t="shared" si="16"/>
        <v>1</v>
      </c>
      <c r="Q288" t="str">
        <f t="shared" si="17"/>
        <v/>
      </c>
      <c r="R288" t="str">
        <f t="shared" si="18"/>
        <v>BC,8b7b11a,ec43fae</v>
      </c>
      <c r="S288" t="str">
        <f t="shared" si="19"/>
        <v/>
      </c>
    </row>
    <row r="289" spans="1:19">
      <c r="A289" t="s">
        <v>554</v>
      </c>
      <c r="C289" t="s">
        <v>288</v>
      </c>
      <c r="D289" s="3">
        <v>40797.820752314816</v>
      </c>
      <c r="E289" s="8" t="s">
        <v>555</v>
      </c>
      <c r="F289" s="8" t="s">
        <v>556</v>
      </c>
      <c r="G289" s="4" t="s">
        <v>336</v>
      </c>
      <c r="H289" s="3">
        <v>40797.823379629626</v>
      </c>
      <c r="L289">
        <f t="shared" si="16"/>
        <v>0</v>
      </c>
      <c r="Q289" t="str">
        <f t="shared" si="17"/>
        <v/>
      </c>
      <c r="R289" t="str">
        <f t="shared" si="18"/>
        <v/>
      </c>
      <c r="S289" t="str">
        <f t="shared" si="19"/>
        <v/>
      </c>
    </row>
    <row r="290" spans="1:19">
      <c r="A290" t="s">
        <v>1015</v>
      </c>
      <c r="C290" t="s">
        <v>306</v>
      </c>
      <c r="D290" s="3">
        <v>40800.410868055558</v>
      </c>
      <c r="E290" s="8" t="s">
        <v>1016</v>
      </c>
      <c r="F290" s="8" t="s">
        <v>1017</v>
      </c>
      <c r="G290" s="2" t="s">
        <v>309</v>
      </c>
      <c r="H290" s="3">
        <v>40801.327928240738</v>
      </c>
      <c r="L290">
        <f t="shared" si="16"/>
        <v>0</v>
      </c>
      <c r="Q290" t="str">
        <f t="shared" si="17"/>
        <v/>
      </c>
      <c r="R290" t="str">
        <f t="shared" si="18"/>
        <v/>
      </c>
      <c r="S290" t="str">
        <f t="shared" si="19"/>
        <v/>
      </c>
    </row>
    <row r="291" spans="1:19">
      <c r="A291" t="s">
        <v>1489</v>
      </c>
      <c r="C291" t="s">
        <v>288</v>
      </c>
      <c r="D291" s="3">
        <v>40805.775694444441</v>
      </c>
      <c r="E291" s="8" t="s">
        <v>1490</v>
      </c>
      <c r="F291" s="8" t="s">
        <v>1491</v>
      </c>
      <c r="G291" s="2" t="s">
        <v>294</v>
      </c>
      <c r="H291" s="3">
        <v>40806.044537037036</v>
      </c>
      <c r="J291">
        <v>1</v>
      </c>
      <c r="L291">
        <f t="shared" si="16"/>
        <v>1</v>
      </c>
      <c r="Q291" t="str">
        <f t="shared" si="17"/>
        <v/>
      </c>
      <c r="R291" t="str">
        <f t="shared" si="18"/>
        <v>BC,9ce4d7c,23c2176</v>
      </c>
      <c r="S291" t="str">
        <f t="shared" si="19"/>
        <v/>
      </c>
    </row>
    <row r="292" spans="1:19">
      <c r="A292" t="s">
        <v>591</v>
      </c>
      <c r="C292" t="s">
        <v>288</v>
      </c>
      <c r="D292" s="3">
        <v>40805.775393518517</v>
      </c>
      <c r="E292" s="8" t="s">
        <v>592</v>
      </c>
      <c r="F292" s="8" t="s">
        <v>593</v>
      </c>
      <c r="G292" s="2" t="s">
        <v>289</v>
      </c>
      <c r="H292" s="3">
        <v>40806.108773148146</v>
      </c>
      <c r="L292">
        <f t="shared" si="16"/>
        <v>0</v>
      </c>
      <c r="Q292" t="str">
        <f t="shared" si="17"/>
        <v/>
      </c>
      <c r="R292" t="str">
        <f t="shared" si="18"/>
        <v/>
      </c>
      <c r="S292" t="str">
        <f t="shared" si="19"/>
        <v/>
      </c>
    </row>
    <row r="293" spans="1:19">
      <c r="A293" t="s">
        <v>775</v>
      </c>
      <c r="C293" t="s">
        <v>288</v>
      </c>
      <c r="D293" s="3">
        <v>40524.97923611111</v>
      </c>
      <c r="E293" s="8" t="s">
        <v>776</v>
      </c>
      <c r="F293" s="8" t="s">
        <v>777</v>
      </c>
      <c r="G293" s="2" t="s">
        <v>289</v>
      </c>
      <c r="H293" s="3">
        <v>40807.654166666667</v>
      </c>
      <c r="I293">
        <v>1</v>
      </c>
      <c r="L293">
        <f t="shared" si="16"/>
        <v>1</v>
      </c>
      <c r="Q293" t="str">
        <f t="shared" si="17"/>
        <v>MC,731c8aa,f67476c</v>
      </c>
      <c r="R293" t="str">
        <f t="shared" si="18"/>
        <v/>
      </c>
      <c r="S293" t="str">
        <f t="shared" si="19"/>
        <v/>
      </c>
    </row>
    <row r="294" spans="1:19">
      <c r="A294" t="s">
        <v>1273</v>
      </c>
      <c r="C294" t="s">
        <v>1274</v>
      </c>
      <c r="D294" s="3">
        <v>40786.827418981484</v>
      </c>
      <c r="E294" s="8" t="s">
        <v>1275</v>
      </c>
      <c r="F294" s="8">
        <v>9127640</v>
      </c>
      <c r="G294" s="2" t="s">
        <v>288</v>
      </c>
      <c r="H294" s="3">
        <v>40808.614560185182</v>
      </c>
      <c r="L294">
        <f t="shared" si="16"/>
        <v>0</v>
      </c>
      <c r="Q294" t="str">
        <f t="shared" si="17"/>
        <v/>
      </c>
      <c r="R294" t="str">
        <f t="shared" si="18"/>
        <v/>
      </c>
      <c r="S294" t="str">
        <f t="shared" si="19"/>
        <v/>
      </c>
    </row>
    <row r="295" spans="1:19">
      <c r="A295" t="s">
        <v>837</v>
      </c>
      <c r="C295" t="s">
        <v>289</v>
      </c>
      <c r="D295" s="3">
        <v>40808.505381944444</v>
      </c>
      <c r="E295" s="8" t="s">
        <v>838</v>
      </c>
      <c r="F295" s="8" t="s">
        <v>839</v>
      </c>
      <c r="G295" s="2" t="s">
        <v>840</v>
      </c>
      <c r="H295" s="3">
        <v>40808.816863425927</v>
      </c>
      <c r="L295">
        <f t="shared" si="16"/>
        <v>0</v>
      </c>
      <c r="Q295" t="str">
        <f t="shared" si="17"/>
        <v/>
      </c>
      <c r="R295" t="str">
        <f t="shared" si="18"/>
        <v/>
      </c>
      <c r="S295" t="str">
        <f t="shared" si="19"/>
        <v/>
      </c>
    </row>
    <row r="296" spans="1:19">
      <c r="A296" s="1" t="s">
        <v>844</v>
      </c>
      <c r="C296" t="s">
        <v>288</v>
      </c>
      <c r="D296" s="3">
        <v>40809.309490740743</v>
      </c>
      <c r="E296" s="8" t="s">
        <v>845</v>
      </c>
      <c r="F296" s="8" t="s">
        <v>846</v>
      </c>
      <c r="G296" s="4" t="s">
        <v>336</v>
      </c>
      <c r="H296" s="3">
        <v>40809.499386574076</v>
      </c>
      <c r="L296">
        <f t="shared" si="16"/>
        <v>0</v>
      </c>
      <c r="Q296" t="str">
        <f t="shared" si="17"/>
        <v/>
      </c>
      <c r="R296" t="str">
        <f t="shared" si="18"/>
        <v/>
      </c>
      <c r="S296" t="str">
        <f t="shared" si="19"/>
        <v/>
      </c>
    </row>
    <row r="297" spans="1:19">
      <c r="A297" t="s">
        <v>1282</v>
      </c>
      <c r="C297" t="s">
        <v>325</v>
      </c>
      <c r="D297" s="3">
        <v>40809.580011574071</v>
      </c>
      <c r="E297" s="8" t="s">
        <v>1283</v>
      </c>
      <c r="F297" s="8" t="s">
        <v>1284</v>
      </c>
      <c r="G297" s="2" t="s">
        <v>288</v>
      </c>
      <c r="H297" s="3">
        <v>40809.650543981479</v>
      </c>
      <c r="L297">
        <f t="shared" si="16"/>
        <v>0</v>
      </c>
      <c r="Q297" t="str">
        <f t="shared" si="17"/>
        <v/>
      </c>
      <c r="R297" t="str">
        <f t="shared" si="18"/>
        <v/>
      </c>
      <c r="S297" t="str">
        <f t="shared" si="19"/>
        <v/>
      </c>
    </row>
    <row r="298" spans="1:19">
      <c r="A298" t="s">
        <v>1539</v>
      </c>
      <c r="C298" t="s">
        <v>918</v>
      </c>
      <c r="D298" s="3">
        <v>40809.566307870373</v>
      </c>
      <c r="E298" s="8" t="s">
        <v>1540</v>
      </c>
      <c r="F298" s="8" t="s">
        <v>1541</v>
      </c>
      <c r="G298" s="2" t="s">
        <v>300</v>
      </c>
      <c r="H298" s="3">
        <v>40809.921388888892</v>
      </c>
      <c r="L298">
        <f t="shared" si="16"/>
        <v>0</v>
      </c>
      <c r="Q298" t="str">
        <f t="shared" si="17"/>
        <v/>
      </c>
      <c r="R298" t="str">
        <f t="shared" si="18"/>
        <v/>
      </c>
      <c r="S298" t="str">
        <f t="shared" si="19"/>
        <v/>
      </c>
    </row>
    <row r="299" spans="1:19">
      <c r="A299" t="s">
        <v>661</v>
      </c>
      <c r="C299" t="s">
        <v>288</v>
      </c>
      <c r="D299" s="3">
        <v>40809.955243055556</v>
      </c>
      <c r="E299" s="8" t="s">
        <v>662</v>
      </c>
      <c r="F299" s="8" t="s">
        <v>663</v>
      </c>
      <c r="G299" s="4" t="s">
        <v>336</v>
      </c>
      <c r="H299" s="3">
        <v>40809.983622685184</v>
      </c>
      <c r="L299">
        <f t="shared" si="16"/>
        <v>0</v>
      </c>
      <c r="Q299" t="str">
        <f t="shared" si="17"/>
        <v/>
      </c>
      <c r="R299" t="str">
        <f t="shared" si="18"/>
        <v/>
      </c>
      <c r="S299" t="str">
        <f t="shared" si="19"/>
        <v/>
      </c>
    </row>
    <row r="300" spans="1:19">
      <c r="A300" t="s">
        <v>1350</v>
      </c>
      <c r="C300" t="s">
        <v>302</v>
      </c>
      <c r="D300" s="3">
        <v>40812.102662037039</v>
      </c>
      <c r="E300" s="8" t="s">
        <v>1351</v>
      </c>
      <c r="F300" s="8" t="s">
        <v>1352</v>
      </c>
      <c r="G300" s="2" t="s">
        <v>288</v>
      </c>
      <c r="H300" s="3">
        <v>40812.389594907407</v>
      </c>
      <c r="L300">
        <f t="shared" si="16"/>
        <v>0</v>
      </c>
      <c r="Q300" t="str">
        <f t="shared" si="17"/>
        <v/>
      </c>
      <c r="R300" t="str">
        <f t="shared" si="18"/>
        <v/>
      </c>
      <c r="S300" t="str">
        <f t="shared" si="19"/>
        <v/>
      </c>
    </row>
    <row r="301" spans="1:19">
      <c r="A301" t="s">
        <v>1116</v>
      </c>
      <c r="C301" t="s">
        <v>293</v>
      </c>
      <c r="D301" s="3">
        <v>40811.916875000003</v>
      </c>
      <c r="E301" s="8" t="s">
        <v>1117</v>
      </c>
      <c r="F301" s="8" t="s">
        <v>1118</v>
      </c>
      <c r="G301" s="2" t="s">
        <v>918</v>
      </c>
      <c r="H301" s="3">
        <v>40812.461006944446</v>
      </c>
      <c r="L301">
        <f t="shared" si="16"/>
        <v>0</v>
      </c>
      <c r="Q301" t="str">
        <f t="shared" si="17"/>
        <v/>
      </c>
      <c r="R301" t="str">
        <f t="shared" si="18"/>
        <v/>
      </c>
      <c r="S301" t="str">
        <f t="shared" si="19"/>
        <v/>
      </c>
    </row>
    <row r="302" spans="1:19">
      <c r="A302" t="s">
        <v>1166</v>
      </c>
      <c r="C302" t="s">
        <v>288</v>
      </c>
      <c r="D302" s="3">
        <v>40812.389641203707</v>
      </c>
      <c r="E302" s="8" t="s">
        <v>1167</v>
      </c>
      <c r="F302" s="8" t="s">
        <v>1168</v>
      </c>
      <c r="G302" s="2" t="s">
        <v>1169</v>
      </c>
      <c r="H302" s="3">
        <v>40812.681296296294</v>
      </c>
      <c r="K302">
        <v>1</v>
      </c>
      <c r="L302">
        <f t="shared" si="16"/>
        <v>1</v>
      </c>
      <c r="Q302" t="str">
        <f t="shared" si="17"/>
        <v/>
      </c>
      <c r="R302" t="str">
        <f t="shared" si="18"/>
        <v/>
      </c>
      <c r="S302" t="str">
        <f t="shared" si="19"/>
        <v>TC,d6ef420,a97c918</v>
      </c>
    </row>
    <row r="303" spans="1:19">
      <c r="A303" t="s">
        <v>341</v>
      </c>
      <c r="B303" t="s">
        <v>1107</v>
      </c>
      <c r="C303" s="2" t="s">
        <v>288</v>
      </c>
      <c r="D303" s="3">
        <v>40812.621030092596</v>
      </c>
      <c r="E303" s="8" t="s">
        <v>342</v>
      </c>
      <c r="F303" s="8" t="s">
        <v>343</v>
      </c>
      <c r="G303" s="4" t="s">
        <v>306</v>
      </c>
      <c r="H303" s="3">
        <v>40812.903668981482</v>
      </c>
      <c r="L303">
        <f t="shared" si="16"/>
        <v>0</v>
      </c>
      <c r="Q303" t="str">
        <f t="shared" si="17"/>
        <v/>
      </c>
      <c r="R303" t="str">
        <f t="shared" si="18"/>
        <v/>
      </c>
      <c r="S303" t="str">
        <f t="shared" si="19"/>
        <v/>
      </c>
    </row>
    <row r="304" spans="1:19">
      <c r="A304" t="s">
        <v>1425</v>
      </c>
      <c r="C304" t="s">
        <v>325</v>
      </c>
      <c r="D304" s="3">
        <v>40812.874212962961</v>
      </c>
      <c r="E304" s="8" t="s">
        <v>1426</v>
      </c>
      <c r="F304" s="8" t="s">
        <v>1427</v>
      </c>
      <c r="G304" s="2" t="s">
        <v>289</v>
      </c>
      <c r="H304" s="3">
        <v>40813.474594907406</v>
      </c>
      <c r="J304">
        <v>1</v>
      </c>
      <c r="L304">
        <f t="shared" si="16"/>
        <v>1</v>
      </c>
      <c r="Q304" t="str">
        <f t="shared" si="17"/>
        <v/>
      </c>
      <c r="R304" t="str">
        <f t="shared" si="18"/>
        <v>BC,00410a8,0fc7a71</v>
      </c>
      <c r="S304" t="str">
        <f t="shared" si="19"/>
        <v/>
      </c>
    </row>
    <row r="305" spans="1:19">
      <c r="A305" t="s">
        <v>1066</v>
      </c>
      <c r="C305" t="s">
        <v>306</v>
      </c>
      <c r="D305" s="3">
        <v>40813.609803240739</v>
      </c>
      <c r="E305" s="8" t="s">
        <v>1067</v>
      </c>
      <c r="F305" s="8">
        <v>1143736</v>
      </c>
      <c r="G305" s="2" t="s">
        <v>1068</v>
      </c>
      <c r="H305" s="3">
        <v>40814.639189814814</v>
      </c>
      <c r="L305">
        <f t="shared" si="16"/>
        <v>0</v>
      </c>
      <c r="Q305" t="str">
        <f t="shared" si="17"/>
        <v/>
      </c>
      <c r="R305" t="str">
        <f t="shared" si="18"/>
        <v/>
      </c>
      <c r="S305" t="str">
        <f t="shared" si="19"/>
        <v/>
      </c>
    </row>
    <row r="306" spans="1:19">
      <c r="A306" t="s">
        <v>1199</v>
      </c>
      <c r="C306" t="s">
        <v>1200</v>
      </c>
      <c r="D306" s="3">
        <v>40809.433495370373</v>
      </c>
      <c r="E306" s="8" t="s">
        <v>1201</v>
      </c>
      <c r="F306" s="8" t="s">
        <v>1202</v>
      </c>
      <c r="G306" s="2" t="s">
        <v>288</v>
      </c>
      <c r="H306" s="3">
        <v>40814.726620370369</v>
      </c>
      <c r="L306">
        <f t="shared" si="16"/>
        <v>0</v>
      </c>
      <c r="Q306" t="str">
        <f t="shared" si="17"/>
        <v/>
      </c>
      <c r="R306" t="str">
        <f t="shared" si="18"/>
        <v/>
      </c>
      <c r="S306" t="str">
        <f t="shared" si="19"/>
        <v/>
      </c>
    </row>
    <row r="307" spans="1:19">
      <c r="A307" t="s">
        <v>492</v>
      </c>
      <c r="B307" t="s">
        <v>644</v>
      </c>
      <c r="C307" t="s">
        <v>301</v>
      </c>
      <c r="D307" s="3">
        <v>40814.727361111109</v>
      </c>
      <c r="E307" s="8" t="s">
        <v>493</v>
      </c>
      <c r="F307" s="8" t="s">
        <v>494</v>
      </c>
      <c r="G307" s="4" t="s">
        <v>288</v>
      </c>
      <c r="H307" s="3">
        <v>40814.876134259262</v>
      </c>
      <c r="L307">
        <f t="shared" si="16"/>
        <v>0</v>
      </c>
      <c r="Q307" t="str">
        <f t="shared" si="17"/>
        <v/>
      </c>
      <c r="R307" t="str">
        <f t="shared" si="18"/>
        <v/>
      </c>
      <c r="S307" t="str">
        <f t="shared" si="19"/>
        <v/>
      </c>
    </row>
    <row r="308" spans="1:19">
      <c r="A308" t="s">
        <v>1126</v>
      </c>
      <c r="C308" t="s">
        <v>288</v>
      </c>
      <c r="D308" s="3">
        <v>40814.703425925924</v>
      </c>
      <c r="E308" s="8">
        <v>2247444</v>
      </c>
      <c r="F308" s="8" t="s">
        <v>1127</v>
      </c>
      <c r="G308" s="2" t="s">
        <v>298</v>
      </c>
      <c r="H308" s="3">
        <v>40815.022060185183</v>
      </c>
      <c r="L308">
        <f t="shared" si="16"/>
        <v>0</v>
      </c>
      <c r="Q308" t="str">
        <f t="shared" si="17"/>
        <v/>
      </c>
      <c r="R308" t="str">
        <f t="shared" si="18"/>
        <v/>
      </c>
      <c r="S308" t="str">
        <f t="shared" si="19"/>
        <v/>
      </c>
    </row>
    <row r="309" spans="1:19">
      <c r="A309" t="s">
        <v>1096</v>
      </c>
      <c r="C309" t="s">
        <v>1097</v>
      </c>
      <c r="D309" s="3">
        <v>40814.131412037037</v>
      </c>
      <c r="E309" s="8" t="s">
        <v>1098</v>
      </c>
      <c r="F309" s="8" t="s">
        <v>1099</v>
      </c>
      <c r="G309" s="2" t="s">
        <v>289</v>
      </c>
      <c r="H309" s="3">
        <v>40815.23337962963</v>
      </c>
      <c r="L309">
        <f t="shared" si="16"/>
        <v>0</v>
      </c>
      <c r="Q309" t="str">
        <f t="shared" si="17"/>
        <v/>
      </c>
      <c r="R309" t="str">
        <f t="shared" si="18"/>
        <v/>
      </c>
      <c r="S309" t="str">
        <f t="shared" si="19"/>
        <v/>
      </c>
    </row>
    <row r="310" spans="1:19">
      <c r="A310" t="s">
        <v>784</v>
      </c>
      <c r="C310" t="s">
        <v>300</v>
      </c>
      <c r="D310" s="3">
        <v>40816.207175925927</v>
      </c>
      <c r="E310" s="8" t="s">
        <v>785</v>
      </c>
      <c r="F310" s="8" t="s">
        <v>786</v>
      </c>
      <c r="G310" s="2" t="s">
        <v>771</v>
      </c>
      <c r="H310" s="3">
        <v>40816.391724537039</v>
      </c>
      <c r="L310">
        <f t="shared" si="16"/>
        <v>0</v>
      </c>
      <c r="Q310" t="str">
        <f t="shared" si="17"/>
        <v/>
      </c>
      <c r="R310" t="str">
        <f t="shared" si="18"/>
        <v/>
      </c>
      <c r="S310" t="str">
        <f t="shared" si="19"/>
        <v/>
      </c>
    </row>
    <row r="311" spans="1:19">
      <c r="A311" t="s">
        <v>767</v>
      </c>
      <c r="C311" t="s">
        <v>768</v>
      </c>
      <c r="D311" s="3">
        <v>40816.404965277776</v>
      </c>
      <c r="E311" s="8" t="s">
        <v>769</v>
      </c>
      <c r="F311" s="8" t="s">
        <v>770</v>
      </c>
      <c r="G311" s="2" t="s">
        <v>771</v>
      </c>
      <c r="H311" s="3">
        <v>40816.426701388889</v>
      </c>
      <c r="L311">
        <f t="shared" si="16"/>
        <v>0</v>
      </c>
      <c r="Q311" t="str">
        <f t="shared" si="17"/>
        <v/>
      </c>
      <c r="R311" t="str">
        <f t="shared" si="18"/>
        <v/>
      </c>
      <c r="S311" t="str">
        <f t="shared" si="19"/>
        <v/>
      </c>
    </row>
    <row r="312" spans="1:19">
      <c r="A312" t="s">
        <v>995</v>
      </c>
      <c r="C312" t="s">
        <v>301</v>
      </c>
      <c r="D312" s="3">
        <v>40813.768680555557</v>
      </c>
      <c r="E312" s="8">
        <v>9912235</v>
      </c>
      <c r="F312" s="8" t="s">
        <v>996</v>
      </c>
      <c r="G312" s="2" t="s">
        <v>768</v>
      </c>
      <c r="H312" s="3">
        <v>40816.449270833335</v>
      </c>
      <c r="I312">
        <v>1</v>
      </c>
      <c r="L312">
        <f t="shared" si="16"/>
        <v>1</v>
      </c>
      <c r="Q312" t="str">
        <f t="shared" si="17"/>
        <v>MC,9912235,cb0a95e</v>
      </c>
      <c r="R312" t="str">
        <f t="shared" si="18"/>
        <v/>
      </c>
      <c r="S312" t="str">
        <f t="shared" si="19"/>
        <v/>
      </c>
    </row>
    <row r="313" spans="1:19">
      <c r="A313" t="s">
        <v>720</v>
      </c>
      <c r="C313" t="s">
        <v>298</v>
      </c>
      <c r="D313" s="3">
        <v>40815.970486111109</v>
      </c>
      <c r="E313" s="8" t="s">
        <v>721</v>
      </c>
      <c r="F313" s="8" t="s">
        <v>722</v>
      </c>
      <c r="G313" s="2" t="s">
        <v>723</v>
      </c>
      <c r="H313" s="3">
        <v>40816.517650462964</v>
      </c>
      <c r="L313">
        <f t="shared" si="16"/>
        <v>0</v>
      </c>
      <c r="Q313" t="str">
        <f t="shared" si="17"/>
        <v/>
      </c>
      <c r="R313" t="str">
        <f t="shared" si="18"/>
        <v/>
      </c>
      <c r="S313" t="str">
        <f t="shared" si="19"/>
        <v/>
      </c>
    </row>
    <row r="314" spans="1:19">
      <c r="A314" t="s">
        <v>507</v>
      </c>
      <c r="C314" t="s">
        <v>289</v>
      </c>
      <c r="D314" s="3">
        <v>40817.477442129632</v>
      </c>
      <c r="E314" s="8" t="s">
        <v>508</v>
      </c>
      <c r="F314" s="8" t="s">
        <v>509</v>
      </c>
      <c r="G314" s="4" t="s">
        <v>288</v>
      </c>
      <c r="H314" s="3">
        <v>40817.868773148148</v>
      </c>
      <c r="L314">
        <f t="shared" si="16"/>
        <v>0</v>
      </c>
      <c r="Q314" t="str">
        <f t="shared" si="17"/>
        <v/>
      </c>
      <c r="R314" t="str">
        <f t="shared" si="18"/>
        <v/>
      </c>
      <c r="S314" t="str">
        <f t="shared" si="19"/>
        <v/>
      </c>
    </row>
    <row r="315" spans="1:19">
      <c r="A315" t="s">
        <v>866</v>
      </c>
      <c r="C315" t="s">
        <v>288</v>
      </c>
      <c r="D315" s="3">
        <v>40817.920787037037</v>
      </c>
      <c r="E315" s="8" t="s">
        <v>867</v>
      </c>
      <c r="F315" s="8" t="s">
        <v>868</v>
      </c>
      <c r="G315" s="2" t="s">
        <v>869</v>
      </c>
      <c r="H315" s="3">
        <v>40818.913854166669</v>
      </c>
      <c r="J315">
        <v>1</v>
      </c>
      <c r="L315">
        <f t="shared" si="16"/>
        <v>1</v>
      </c>
      <c r="Q315" t="str">
        <f t="shared" si="17"/>
        <v/>
      </c>
      <c r="R315" t="str">
        <f t="shared" si="18"/>
        <v>BC,f994a4c,db30b67</v>
      </c>
      <c r="S315" t="str">
        <f t="shared" si="19"/>
        <v/>
      </c>
    </row>
    <row r="316" spans="1:19">
      <c r="A316" t="s">
        <v>1272</v>
      </c>
      <c r="C316" t="s">
        <v>301</v>
      </c>
      <c r="D316" s="3">
        <v>40820.994583333333</v>
      </c>
      <c r="E316" s="8">
        <v>4366658</v>
      </c>
      <c r="F316" s="8" t="s">
        <v>1877</v>
      </c>
      <c r="G316" s="2" t="s">
        <v>918</v>
      </c>
      <c r="H316" s="3">
        <v>40821.502962962964</v>
      </c>
      <c r="L316">
        <f t="shared" si="16"/>
        <v>0</v>
      </c>
      <c r="Q316" t="str">
        <f t="shared" si="17"/>
        <v/>
      </c>
      <c r="R316" t="str">
        <f t="shared" si="18"/>
        <v/>
      </c>
      <c r="S316" t="str">
        <f t="shared" si="19"/>
        <v/>
      </c>
    </row>
    <row r="317" spans="1:19">
      <c r="A317" t="s">
        <v>519</v>
      </c>
      <c r="C317" t="s">
        <v>302</v>
      </c>
      <c r="D317" s="3">
        <v>40821.277881944443</v>
      </c>
      <c r="E317" s="8" t="s">
        <v>520</v>
      </c>
      <c r="F317" s="8" t="s">
        <v>521</v>
      </c>
      <c r="G317" s="4" t="s">
        <v>1578</v>
      </c>
      <c r="H317" s="3">
        <v>40821.579155092593</v>
      </c>
      <c r="L317">
        <f t="shared" si="16"/>
        <v>0</v>
      </c>
      <c r="Q317" t="str">
        <f t="shared" si="17"/>
        <v/>
      </c>
      <c r="R317" t="str">
        <f t="shared" si="18"/>
        <v/>
      </c>
      <c r="S317" t="str">
        <f t="shared" si="19"/>
        <v/>
      </c>
    </row>
    <row r="318" spans="1:19">
      <c r="A318" t="s">
        <v>1233</v>
      </c>
      <c r="C318" t="s">
        <v>293</v>
      </c>
      <c r="D318" s="3">
        <v>40820.428935185184</v>
      </c>
      <c r="E318" s="8" t="s">
        <v>1234</v>
      </c>
      <c r="F318" s="8" t="s">
        <v>1235</v>
      </c>
      <c r="G318" s="2" t="s">
        <v>300</v>
      </c>
      <c r="H318" s="3">
        <v>40823.590208333335</v>
      </c>
      <c r="K318">
        <v>1</v>
      </c>
      <c r="L318">
        <f t="shared" si="16"/>
        <v>1</v>
      </c>
      <c r="Q318" t="str">
        <f t="shared" si="17"/>
        <v/>
      </c>
      <c r="R318" t="str">
        <f t="shared" si="18"/>
        <v/>
      </c>
      <c r="S318" t="str">
        <f t="shared" si="19"/>
        <v>TC,7f82940,0d660f0</v>
      </c>
    </row>
    <row r="319" spans="1:19">
      <c r="A319" t="s">
        <v>396</v>
      </c>
      <c r="B319" t="s">
        <v>547</v>
      </c>
      <c r="C319" t="s">
        <v>288</v>
      </c>
      <c r="D319" s="3">
        <v>40825.671736111108</v>
      </c>
      <c r="E319" s="8" t="s">
        <v>397</v>
      </c>
      <c r="F319" s="8" t="s">
        <v>398</v>
      </c>
      <c r="G319" s="4" t="s">
        <v>336</v>
      </c>
      <c r="H319" s="3">
        <v>40826.270995370367</v>
      </c>
      <c r="I319">
        <v>1</v>
      </c>
      <c r="J319">
        <v>1</v>
      </c>
      <c r="L319">
        <f t="shared" si="16"/>
        <v>2</v>
      </c>
      <c r="Q319" t="str">
        <f t="shared" si="17"/>
        <v>MC,2b7cbeb,d2c9d73</v>
      </c>
      <c r="R319" t="str">
        <f t="shared" si="18"/>
        <v>BC,2b7cbeb,d2c9d73</v>
      </c>
      <c r="S319" t="str">
        <f t="shared" si="19"/>
        <v/>
      </c>
    </row>
    <row r="320" spans="1:19">
      <c r="A320" t="s">
        <v>1507</v>
      </c>
      <c r="C320" t="s">
        <v>301</v>
      </c>
      <c r="D320" s="3">
        <v>40812.481168981481</v>
      </c>
      <c r="E320" s="8" t="s">
        <v>1508</v>
      </c>
      <c r="F320" s="8" t="s">
        <v>1509</v>
      </c>
      <c r="G320" s="2" t="s">
        <v>1510</v>
      </c>
      <c r="H320" s="3">
        <v>40827.883310185185</v>
      </c>
      <c r="L320">
        <f t="shared" si="16"/>
        <v>0</v>
      </c>
      <c r="Q320" t="str">
        <f t="shared" si="17"/>
        <v/>
      </c>
      <c r="R320" t="str">
        <f t="shared" si="18"/>
        <v/>
      </c>
      <c r="S320" t="str">
        <f t="shared" si="19"/>
        <v/>
      </c>
    </row>
    <row r="321" spans="1:19">
      <c r="A321" t="s">
        <v>572</v>
      </c>
      <c r="C321" t="s">
        <v>288</v>
      </c>
      <c r="D321" s="3">
        <v>40827.376296296294</v>
      </c>
      <c r="E321" s="8" t="s">
        <v>573</v>
      </c>
      <c r="F321" s="8" t="s">
        <v>574</v>
      </c>
      <c r="G321" s="4" t="s">
        <v>301</v>
      </c>
      <c r="H321" s="3">
        <v>40828.461111111108</v>
      </c>
      <c r="L321">
        <f t="shared" si="16"/>
        <v>0</v>
      </c>
      <c r="Q321" t="str">
        <f t="shared" si="17"/>
        <v/>
      </c>
      <c r="R321" t="str">
        <f t="shared" si="18"/>
        <v/>
      </c>
      <c r="S321" t="str">
        <f t="shared" si="19"/>
        <v/>
      </c>
    </row>
    <row r="322" spans="1:19">
      <c r="A322" t="s">
        <v>1474</v>
      </c>
      <c r="C322" t="s">
        <v>299</v>
      </c>
      <c r="D322" s="3">
        <v>40823.459490740737</v>
      </c>
      <c r="E322" s="8" t="s">
        <v>1475</v>
      </c>
      <c r="F322" s="8" t="s">
        <v>1476</v>
      </c>
      <c r="G322" s="2" t="s">
        <v>302</v>
      </c>
      <c r="H322" s="3">
        <v>40829.069675925923</v>
      </c>
      <c r="J322">
        <v>1</v>
      </c>
      <c r="L322">
        <f t="shared" ref="L322:L385" si="20">COUNTA(I322:K322)</f>
        <v>1</v>
      </c>
      <c r="Q322" t="str">
        <f t="shared" si="17"/>
        <v/>
      </c>
      <c r="R322" t="str">
        <f t="shared" si="18"/>
        <v>BC,e672bf0,2b461b1</v>
      </c>
      <c r="S322" t="str">
        <f t="shared" si="19"/>
        <v/>
      </c>
    </row>
    <row r="323" spans="1:19">
      <c r="A323" t="s">
        <v>495</v>
      </c>
      <c r="B323" t="s">
        <v>1163</v>
      </c>
      <c r="C323" t="s">
        <v>306</v>
      </c>
      <c r="D323" s="3">
        <v>40828.484594907408</v>
      </c>
      <c r="E323" s="8" t="s">
        <v>496</v>
      </c>
      <c r="F323" s="8" t="s">
        <v>497</v>
      </c>
      <c r="G323" s="4" t="s">
        <v>1578</v>
      </c>
      <c r="H323" s="3">
        <v>40829.071168981478</v>
      </c>
      <c r="L323">
        <f t="shared" si="20"/>
        <v>0</v>
      </c>
      <c r="Q323" t="str">
        <f t="shared" ref="Q323:Q386" si="21">IF(I323&gt;0,CONCATENATE("MC,",E323,",",F323),"")</f>
        <v/>
      </c>
      <c r="R323" t="str">
        <f t="shared" ref="R323:R386" si="22">IF(J323&gt;0,CONCATENATE("BC,",E323,",",F323),"")</f>
        <v/>
      </c>
      <c r="S323" t="str">
        <f t="shared" ref="S323:S386" si="23">IF(K323&gt;0,CONCATENATE("TC,",E323,",",F323),"")</f>
        <v/>
      </c>
    </row>
    <row r="324" spans="1:19">
      <c r="A324" t="s">
        <v>1569</v>
      </c>
      <c r="C324" t="s">
        <v>289</v>
      </c>
      <c r="D324" s="3">
        <v>40832.682870370372</v>
      </c>
      <c r="E324" s="8" t="s">
        <v>1570</v>
      </c>
      <c r="F324" s="8" t="s">
        <v>1571</v>
      </c>
      <c r="G324" s="2" t="s">
        <v>294</v>
      </c>
      <c r="H324" s="3">
        <v>40832.972951388889</v>
      </c>
      <c r="K324">
        <v>1</v>
      </c>
      <c r="L324">
        <f t="shared" si="20"/>
        <v>1</v>
      </c>
      <c r="Q324" t="str">
        <f t="shared" si="21"/>
        <v/>
      </c>
      <c r="R324" t="str">
        <f t="shared" si="22"/>
        <v/>
      </c>
      <c r="S324" t="str">
        <f t="shared" si="23"/>
        <v>TC,623bcc8,bfb579a</v>
      </c>
    </row>
    <row r="325" spans="1:19">
      <c r="A325" t="s">
        <v>638</v>
      </c>
      <c r="C325" t="s">
        <v>289</v>
      </c>
      <c r="D325" s="3">
        <v>40833.914120370369</v>
      </c>
      <c r="E325" s="8" t="s">
        <v>639</v>
      </c>
      <c r="F325" s="8" t="s">
        <v>640</v>
      </c>
      <c r="G325" s="2" t="s">
        <v>299</v>
      </c>
      <c r="H325" s="3">
        <v>40835.692615740743</v>
      </c>
      <c r="L325">
        <f t="shared" si="20"/>
        <v>0</v>
      </c>
      <c r="Q325" t="str">
        <f t="shared" si="21"/>
        <v/>
      </c>
      <c r="R325" t="str">
        <f t="shared" si="22"/>
        <v/>
      </c>
      <c r="S325" t="str">
        <f t="shared" si="23"/>
        <v/>
      </c>
    </row>
    <row r="326" spans="1:19">
      <c r="A326" t="s">
        <v>608</v>
      </c>
      <c r="C326" t="s">
        <v>301</v>
      </c>
      <c r="D326" s="3">
        <v>40834.597314814811</v>
      </c>
      <c r="E326" s="8" t="s">
        <v>609</v>
      </c>
      <c r="F326" s="8" t="s">
        <v>610</v>
      </c>
      <c r="G326" s="2" t="s">
        <v>299</v>
      </c>
      <c r="H326" s="3">
        <v>40836.435740740744</v>
      </c>
      <c r="L326">
        <f t="shared" si="20"/>
        <v>0</v>
      </c>
      <c r="Q326" t="str">
        <f t="shared" si="21"/>
        <v/>
      </c>
      <c r="R326" t="str">
        <f t="shared" si="22"/>
        <v/>
      </c>
      <c r="S326" t="str">
        <f t="shared" si="23"/>
        <v/>
      </c>
    </row>
    <row r="327" spans="1:19">
      <c r="A327" t="s">
        <v>1551</v>
      </c>
      <c r="C327" t="s">
        <v>289</v>
      </c>
      <c r="D327" s="3">
        <v>40836.230706018519</v>
      </c>
      <c r="E327" s="8" t="s">
        <v>1552</v>
      </c>
      <c r="F327" s="8" t="s">
        <v>1553</v>
      </c>
      <c r="G327" s="2" t="s">
        <v>301</v>
      </c>
      <c r="H327" s="3">
        <v>40836.698564814818</v>
      </c>
      <c r="I327">
        <v>1</v>
      </c>
      <c r="K327">
        <v>1</v>
      </c>
      <c r="L327">
        <f t="shared" si="20"/>
        <v>2</v>
      </c>
      <c r="Q327" t="str">
        <f t="shared" si="21"/>
        <v>MC,c236f9d,e31dbf7</v>
      </c>
      <c r="R327" t="str">
        <f t="shared" si="22"/>
        <v/>
      </c>
      <c r="S327" t="str">
        <f t="shared" si="23"/>
        <v>TC,c236f9d,e31dbf7</v>
      </c>
    </row>
    <row r="328" spans="1:19">
      <c r="A328" t="s">
        <v>620</v>
      </c>
      <c r="C328" t="s">
        <v>621</v>
      </c>
      <c r="D328" s="3">
        <v>40829.989664351851</v>
      </c>
      <c r="E328" s="8" t="s">
        <v>622</v>
      </c>
      <c r="F328" s="8">
        <v>5247178</v>
      </c>
      <c r="G328" s="2" t="s">
        <v>289</v>
      </c>
      <c r="H328" s="3">
        <v>40836.909618055557</v>
      </c>
      <c r="L328">
        <f t="shared" si="20"/>
        <v>0</v>
      </c>
      <c r="Q328" t="str">
        <f t="shared" si="21"/>
        <v/>
      </c>
      <c r="R328" t="str">
        <f t="shared" si="22"/>
        <v/>
      </c>
      <c r="S328" t="str">
        <f t="shared" si="23"/>
        <v/>
      </c>
    </row>
    <row r="329" spans="1:19">
      <c r="A329" t="s">
        <v>626</v>
      </c>
      <c r="C329" t="s">
        <v>627</v>
      </c>
      <c r="D329" s="3">
        <v>40836.485312500001</v>
      </c>
      <c r="E329" s="8" t="s">
        <v>628</v>
      </c>
      <c r="F329" s="8" t="s">
        <v>629</v>
      </c>
      <c r="G329" s="2" t="s">
        <v>630</v>
      </c>
      <c r="H329" s="3">
        <v>40837.480173611111</v>
      </c>
      <c r="L329">
        <f t="shared" si="20"/>
        <v>0</v>
      </c>
      <c r="Q329" t="str">
        <f t="shared" si="21"/>
        <v/>
      </c>
      <c r="R329" t="str">
        <f t="shared" si="22"/>
        <v/>
      </c>
      <c r="S329" t="str">
        <f t="shared" si="23"/>
        <v/>
      </c>
    </row>
    <row r="330" spans="1:19">
      <c r="A330" t="s">
        <v>772</v>
      </c>
      <c r="C330" t="s">
        <v>293</v>
      </c>
      <c r="D330" s="3">
        <v>40839.490682870368</v>
      </c>
      <c r="E330" s="8" t="s">
        <v>773</v>
      </c>
      <c r="F330" s="8" t="s">
        <v>774</v>
      </c>
      <c r="G330" s="2" t="s">
        <v>288</v>
      </c>
      <c r="H330" s="3">
        <v>40839.946168981478</v>
      </c>
      <c r="L330">
        <f t="shared" si="20"/>
        <v>0</v>
      </c>
      <c r="Q330" t="str">
        <f t="shared" si="21"/>
        <v/>
      </c>
      <c r="R330" t="str">
        <f t="shared" si="22"/>
        <v/>
      </c>
      <c r="S330" t="str">
        <f t="shared" si="23"/>
        <v/>
      </c>
    </row>
    <row r="331" spans="1:19">
      <c r="A331" t="s">
        <v>522</v>
      </c>
      <c r="C331" t="s">
        <v>523</v>
      </c>
      <c r="D331" s="3">
        <v>40799.748761574076</v>
      </c>
      <c r="E331" s="8" t="s">
        <v>524</v>
      </c>
      <c r="F331" s="8" t="s">
        <v>525</v>
      </c>
      <c r="G331" s="4" t="s">
        <v>288</v>
      </c>
      <c r="H331" s="3">
        <v>40840.33421296296</v>
      </c>
      <c r="L331">
        <f t="shared" si="20"/>
        <v>0</v>
      </c>
      <c r="Q331" t="str">
        <f t="shared" si="21"/>
        <v/>
      </c>
      <c r="R331" t="str">
        <f t="shared" si="22"/>
        <v/>
      </c>
      <c r="S331" t="str">
        <f t="shared" si="23"/>
        <v/>
      </c>
    </row>
    <row r="332" spans="1:19">
      <c r="A332" t="s">
        <v>680</v>
      </c>
      <c r="C332" t="s">
        <v>288</v>
      </c>
      <c r="D332" s="3">
        <v>40840.333611111113</v>
      </c>
      <c r="E332" s="8" t="s">
        <v>681</v>
      </c>
      <c r="F332" s="8" t="s">
        <v>682</v>
      </c>
      <c r="G332" s="2" t="s">
        <v>289</v>
      </c>
      <c r="H332" s="3">
        <v>40840.943518518521</v>
      </c>
      <c r="L332">
        <f t="shared" si="20"/>
        <v>0</v>
      </c>
      <c r="Q332" t="str">
        <f t="shared" si="21"/>
        <v/>
      </c>
      <c r="R332" t="str">
        <f t="shared" si="22"/>
        <v/>
      </c>
      <c r="S332" t="str">
        <f t="shared" si="23"/>
        <v/>
      </c>
    </row>
    <row r="333" spans="1:19">
      <c r="A333" t="s">
        <v>544</v>
      </c>
      <c r="C333" t="s">
        <v>288</v>
      </c>
      <c r="D333" s="3">
        <v>40837.495370370372</v>
      </c>
      <c r="E333" s="8" t="s">
        <v>545</v>
      </c>
      <c r="F333" s="8" t="s">
        <v>546</v>
      </c>
      <c r="G333" s="4" t="s">
        <v>314</v>
      </c>
      <c r="H333" s="3">
        <v>40841.594814814816</v>
      </c>
      <c r="L333">
        <f t="shared" si="20"/>
        <v>0</v>
      </c>
      <c r="Q333" t="str">
        <f t="shared" si="21"/>
        <v/>
      </c>
      <c r="R333" t="str">
        <f t="shared" si="22"/>
        <v/>
      </c>
      <c r="S333" t="str">
        <f t="shared" si="23"/>
        <v/>
      </c>
    </row>
    <row r="334" spans="1:19">
      <c r="A334" t="s">
        <v>1439</v>
      </c>
      <c r="C334" t="s">
        <v>379</v>
      </c>
      <c r="D334" s="3">
        <v>40842.872199074074</v>
      </c>
      <c r="E334" s="8" t="s">
        <v>1440</v>
      </c>
      <c r="F334" s="8" t="s">
        <v>1441</v>
      </c>
      <c r="G334" s="2" t="s">
        <v>293</v>
      </c>
      <c r="H334" s="3">
        <v>40842.98878472222</v>
      </c>
      <c r="K334">
        <v>1</v>
      </c>
      <c r="L334">
        <f t="shared" si="20"/>
        <v>1</v>
      </c>
      <c r="Q334" t="str">
        <f t="shared" si="21"/>
        <v/>
      </c>
      <c r="R334" t="str">
        <f t="shared" si="22"/>
        <v/>
      </c>
      <c r="S334" t="str">
        <f t="shared" si="23"/>
        <v>TC,f2401d1,609b321</v>
      </c>
    </row>
    <row r="335" spans="1:19">
      <c r="A335" t="s">
        <v>697</v>
      </c>
      <c r="C335" t="s">
        <v>288</v>
      </c>
      <c r="D335" s="3">
        <v>40844.730393518519</v>
      </c>
      <c r="E335" s="8" t="s">
        <v>698</v>
      </c>
      <c r="F335" s="8" t="s">
        <v>699</v>
      </c>
      <c r="G335" s="2" t="s">
        <v>306</v>
      </c>
      <c r="H335" s="3">
        <v>40844.959861111114</v>
      </c>
      <c r="L335">
        <f t="shared" si="20"/>
        <v>0</v>
      </c>
      <c r="Q335" t="str">
        <f t="shared" si="21"/>
        <v/>
      </c>
      <c r="R335" t="str">
        <f t="shared" si="22"/>
        <v/>
      </c>
      <c r="S335" t="str">
        <f t="shared" si="23"/>
        <v/>
      </c>
    </row>
    <row r="336" spans="1:19">
      <c r="A336" t="s">
        <v>351</v>
      </c>
      <c r="B336" t="s">
        <v>1536</v>
      </c>
      <c r="C336" s="2" t="s">
        <v>288</v>
      </c>
      <c r="D336" s="3">
        <v>40845.428414351853</v>
      </c>
      <c r="E336" s="8" t="s">
        <v>352</v>
      </c>
      <c r="F336" s="8" t="s">
        <v>353</v>
      </c>
      <c r="G336" s="4" t="s">
        <v>354</v>
      </c>
      <c r="H336" s="3">
        <v>40845.619953703703</v>
      </c>
      <c r="J336">
        <v>1</v>
      </c>
      <c r="L336">
        <f t="shared" si="20"/>
        <v>1</v>
      </c>
      <c r="Q336" t="str">
        <f t="shared" si="21"/>
        <v/>
      </c>
      <c r="R336" t="str">
        <f t="shared" si="22"/>
        <v>BC,4745dbc,ccdbd83</v>
      </c>
      <c r="S336" t="str">
        <f t="shared" si="23"/>
        <v/>
      </c>
    </row>
    <row r="337" spans="1:19">
      <c r="A337" t="s">
        <v>985</v>
      </c>
      <c r="C337" t="s">
        <v>301</v>
      </c>
      <c r="D337" s="3">
        <v>40840.979745370372</v>
      </c>
      <c r="E337" s="8" t="s">
        <v>986</v>
      </c>
      <c r="F337" s="8" t="s">
        <v>987</v>
      </c>
      <c r="G337" s="2" t="s">
        <v>293</v>
      </c>
      <c r="H337" s="3">
        <v>40846.495497685188</v>
      </c>
      <c r="L337">
        <f t="shared" si="20"/>
        <v>0</v>
      </c>
      <c r="Q337" t="str">
        <f t="shared" si="21"/>
        <v/>
      </c>
      <c r="R337" t="str">
        <f t="shared" si="22"/>
        <v/>
      </c>
      <c r="S337" t="str">
        <f t="shared" si="23"/>
        <v/>
      </c>
    </row>
    <row r="338" spans="1:19">
      <c r="A338" t="s">
        <v>1291</v>
      </c>
      <c r="C338" t="s">
        <v>288</v>
      </c>
      <c r="D338" s="3">
        <v>40846.791851851849</v>
      </c>
      <c r="E338" s="8" t="s">
        <v>1292</v>
      </c>
      <c r="F338" s="8" t="s">
        <v>1293</v>
      </c>
      <c r="G338" s="4" t="s">
        <v>336</v>
      </c>
      <c r="H338" s="3">
        <v>40847.397650462961</v>
      </c>
      <c r="L338">
        <f t="shared" si="20"/>
        <v>0</v>
      </c>
      <c r="Q338" t="str">
        <f t="shared" si="21"/>
        <v/>
      </c>
      <c r="R338" t="str">
        <f t="shared" si="22"/>
        <v/>
      </c>
      <c r="S338" t="str">
        <f t="shared" si="23"/>
        <v/>
      </c>
    </row>
    <row r="339" spans="1:19">
      <c r="A339" t="s">
        <v>841</v>
      </c>
      <c r="C339" t="s">
        <v>288</v>
      </c>
      <c r="D339" s="3">
        <v>40854.603796296295</v>
      </c>
      <c r="E339" s="8" t="s">
        <v>842</v>
      </c>
      <c r="F339" s="8" t="s">
        <v>843</v>
      </c>
      <c r="G339" s="4" t="s">
        <v>336</v>
      </c>
      <c r="H339" s="3">
        <v>40854.60633101852</v>
      </c>
      <c r="L339">
        <f t="shared" si="20"/>
        <v>0</v>
      </c>
      <c r="Q339" t="str">
        <f t="shared" si="21"/>
        <v/>
      </c>
      <c r="R339" t="str">
        <f t="shared" si="22"/>
        <v/>
      </c>
      <c r="S339" t="str">
        <f t="shared" si="23"/>
        <v/>
      </c>
    </row>
    <row r="340" spans="1:19">
      <c r="A340" t="s">
        <v>1258</v>
      </c>
      <c r="C340" t="s">
        <v>288</v>
      </c>
      <c r="D340" s="3">
        <v>40854.606180555558</v>
      </c>
      <c r="E340" s="8" t="s">
        <v>1259</v>
      </c>
      <c r="F340" s="8" t="s">
        <v>1260</v>
      </c>
      <c r="G340" s="2" t="s">
        <v>306</v>
      </c>
      <c r="H340" s="3">
        <v>40854.645856481482</v>
      </c>
      <c r="L340">
        <f t="shared" si="20"/>
        <v>0</v>
      </c>
      <c r="Q340" t="str">
        <f t="shared" si="21"/>
        <v/>
      </c>
      <c r="R340" t="str">
        <f t="shared" si="22"/>
        <v/>
      </c>
      <c r="S340" t="str">
        <f t="shared" si="23"/>
        <v/>
      </c>
    </row>
    <row r="341" spans="1:19">
      <c r="A341" t="s">
        <v>820</v>
      </c>
      <c r="C341" t="s">
        <v>621</v>
      </c>
      <c r="D341" s="3">
        <v>40856.043391203704</v>
      </c>
      <c r="E341" s="8" t="s">
        <v>821</v>
      </c>
      <c r="F341" s="8" t="s">
        <v>822</v>
      </c>
      <c r="G341" s="2" t="s">
        <v>288</v>
      </c>
      <c r="H341" s="3">
        <v>40856.546215277776</v>
      </c>
      <c r="L341">
        <f t="shared" si="20"/>
        <v>0</v>
      </c>
      <c r="Q341" t="str">
        <f t="shared" si="21"/>
        <v/>
      </c>
      <c r="R341" t="str">
        <f t="shared" si="22"/>
        <v/>
      </c>
      <c r="S341" t="str">
        <f t="shared" si="23"/>
        <v/>
      </c>
    </row>
    <row r="342" spans="1:19">
      <c r="A342" t="s">
        <v>823</v>
      </c>
      <c r="C342" t="s">
        <v>630</v>
      </c>
      <c r="D342" s="3">
        <v>40820.555347222224</v>
      </c>
      <c r="E342" s="8" t="s">
        <v>824</v>
      </c>
      <c r="F342" s="8" t="s">
        <v>825</v>
      </c>
      <c r="G342" s="2" t="s">
        <v>289</v>
      </c>
      <c r="H342" s="3">
        <v>40857.546215219911</v>
      </c>
      <c r="L342">
        <f t="shared" si="20"/>
        <v>0</v>
      </c>
      <c r="Q342" t="str">
        <f t="shared" si="21"/>
        <v/>
      </c>
      <c r="R342" t="str">
        <f t="shared" si="22"/>
        <v/>
      </c>
      <c r="S342" t="str">
        <f t="shared" si="23"/>
        <v/>
      </c>
    </row>
    <row r="343" spans="1:19">
      <c r="A343" t="s">
        <v>97</v>
      </c>
      <c r="C343" t="s">
        <v>288</v>
      </c>
      <c r="D343" s="3">
        <v>41071.982592592591</v>
      </c>
      <c r="E343" s="8" t="s">
        <v>98</v>
      </c>
      <c r="F343" s="8" t="s">
        <v>99</v>
      </c>
      <c r="G343" s="4" t="s">
        <v>336</v>
      </c>
      <c r="H343" s="3">
        <v>40858.546215219911</v>
      </c>
      <c r="I343">
        <v>1</v>
      </c>
      <c r="L343">
        <f t="shared" si="20"/>
        <v>1</v>
      </c>
      <c r="Q343" t="str">
        <f t="shared" si="21"/>
        <v>MC,8b9b5d6,e8137c8</v>
      </c>
      <c r="R343" t="str">
        <f t="shared" si="22"/>
        <v/>
      </c>
      <c r="S343" t="str">
        <f t="shared" si="23"/>
        <v/>
      </c>
    </row>
    <row r="344" spans="1:19">
      <c r="A344" t="s">
        <v>826</v>
      </c>
      <c r="C344" t="s">
        <v>288</v>
      </c>
      <c r="D344" s="3">
        <v>40932.487708333334</v>
      </c>
      <c r="E344" s="8" t="s">
        <v>827</v>
      </c>
      <c r="F344" s="8" t="s">
        <v>828</v>
      </c>
      <c r="G344" s="2" t="s">
        <v>325</v>
      </c>
      <c r="H344" s="3">
        <v>40859.546215219911</v>
      </c>
      <c r="L344">
        <f t="shared" si="20"/>
        <v>0</v>
      </c>
      <c r="Q344" t="str">
        <f t="shared" si="21"/>
        <v/>
      </c>
      <c r="R344" t="str">
        <f t="shared" si="22"/>
        <v/>
      </c>
      <c r="S344" t="str">
        <f t="shared" si="23"/>
        <v/>
      </c>
    </row>
    <row r="345" spans="1:19">
      <c r="A345" t="s">
        <v>657</v>
      </c>
      <c r="C345" t="s">
        <v>658</v>
      </c>
      <c r="D345" s="3">
        <v>40815.448564814818</v>
      </c>
      <c r="E345" s="8" t="s">
        <v>659</v>
      </c>
      <c r="F345" s="8" t="s">
        <v>660</v>
      </c>
      <c r="G345" s="2" t="s">
        <v>293</v>
      </c>
      <c r="H345" s="3">
        <v>40859.727800925924</v>
      </c>
      <c r="L345">
        <f t="shared" si="20"/>
        <v>0</v>
      </c>
      <c r="Q345" t="str">
        <f t="shared" si="21"/>
        <v/>
      </c>
      <c r="R345" t="str">
        <f t="shared" si="22"/>
        <v/>
      </c>
      <c r="S345" t="str">
        <f t="shared" si="23"/>
        <v/>
      </c>
    </row>
    <row r="346" spans="1:19">
      <c r="A346" t="s">
        <v>829</v>
      </c>
      <c r="C346" t="s">
        <v>302</v>
      </c>
      <c r="D346" s="3">
        <v>40835.380300925928</v>
      </c>
      <c r="E346" s="8" t="s">
        <v>830</v>
      </c>
      <c r="F346" s="8" t="s">
        <v>831</v>
      </c>
      <c r="G346" s="2" t="s">
        <v>288</v>
      </c>
      <c r="H346" s="3">
        <v>40860.546215219911</v>
      </c>
      <c r="L346">
        <f t="shared" si="20"/>
        <v>0</v>
      </c>
      <c r="Q346" t="str">
        <f t="shared" si="21"/>
        <v/>
      </c>
      <c r="R346" t="str">
        <f t="shared" si="22"/>
        <v/>
      </c>
      <c r="S346" t="str">
        <f t="shared" si="23"/>
        <v/>
      </c>
    </row>
    <row r="347" spans="1:19">
      <c r="A347" s="1" t="s">
        <v>832</v>
      </c>
      <c r="C347" t="s">
        <v>288</v>
      </c>
      <c r="D347" s="3">
        <v>40556.428726851853</v>
      </c>
      <c r="E347" s="8" t="s">
        <v>833</v>
      </c>
      <c r="F347" s="8" t="s">
        <v>834</v>
      </c>
      <c r="G347" s="2" t="s">
        <v>479</v>
      </c>
      <c r="H347" s="3">
        <v>40861.546215219911</v>
      </c>
      <c r="L347">
        <f t="shared" si="20"/>
        <v>0</v>
      </c>
      <c r="Q347" t="str">
        <f t="shared" si="21"/>
        <v/>
      </c>
      <c r="R347" t="str">
        <f t="shared" si="22"/>
        <v/>
      </c>
      <c r="S347" t="str">
        <f t="shared" si="23"/>
        <v/>
      </c>
    </row>
    <row r="348" spans="1:19">
      <c r="A348" t="s">
        <v>1188</v>
      </c>
      <c r="C348" t="s">
        <v>288</v>
      </c>
      <c r="D348" s="3">
        <v>40861.50922453704</v>
      </c>
      <c r="E348" s="8" t="s">
        <v>1878</v>
      </c>
      <c r="F348" s="8" t="s">
        <v>1189</v>
      </c>
      <c r="G348" s="2" t="s">
        <v>293</v>
      </c>
      <c r="H348" s="3">
        <v>40861.742268518516</v>
      </c>
      <c r="L348">
        <f t="shared" si="20"/>
        <v>0</v>
      </c>
      <c r="Q348" t="str">
        <f t="shared" si="21"/>
        <v/>
      </c>
      <c r="R348" t="str">
        <f t="shared" si="22"/>
        <v/>
      </c>
      <c r="S348" t="str">
        <f t="shared" si="23"/>
        <v/>
      </c>
    </row>
    <row r="349" spans="1:19">
      <c r="A349" t="s">
        <v>835</v>
      </c>
      <c r="C349" t="s">
        <v>309</v>
      </c>
      <c r="D349" s="3">
        <v>40577.237384259257</v>
      </c>
      <c r="E349" s="8" t="s">
        <v>1574</v>
      </c>
      <c r="F349" s="8" t="s">
        <v>836</v>
      </c>
      <c r="G349" s="2" t="s">
        <v>325</v>
      </c>
      <c r="H349" s="3">
        <v>40862.546215219911</v>
      </c>
      <c r="L349">
        <f t="shared" si="20"/>
        <v>0</v>
      </c>
      <c r="Q349" t="str">
        <f t="shared" si="21"/>
        <v/>
      </c>
      <c r="R349" t="str">
        <f t="shared" si="22"/>
        <v/>
      </c>
      <c r="S349" t="str">
        <f t="shared" si="23"/>
        <v/>
      </c>
    </row>
    <row r="350" spans="1:19">
      <c r="A350" t="s">
        <v>1461</v>
      </c>
      <c r="C350" t="s">
        <v>293</v>
      </c>
      <c r="D350" s="3">
        <v>40864.548275462963</v>
      </c>
      <c r="E350" s="8" t="s">
        <v>1462</v>
      </c>
      <c r="F350" s="8" t="s">
        <v>1463</v>
      </c>
      <c r="G350" s="2" t="s">
        <v>288</v>
      </c>
      <c r="H350" s="3">
        <v>40864.925023148149</v>
      </c>
      <c r="L350">
        <f t="shared" si="20"/>
        <v>0</v>
      </c>
      <c r="Q350" t="str">
        <f t="shared" si="21"/>
        <v/>
      </c>
      <c r="R350" t="str">
        <f t="shared" si="22"/>
        <v/>
      </c>
      <c r="S350" t="str">
        <f t="shared" si="23"/>
        <v/>
      </c>
    </row>
    <row r="351" spans="1:19">
      <c r="A351" t="s">
        <v>979</v>
      </c>
      <c r="C351" t="s">
        <v>293</v>
      </c>
      <c r="D351" s="3">
        <v>40865.643194444441</v>
      </c>
      <c r="E351" s="8" t="s">
        <v>980</v>
      </c>
      <c r="F351" s="8" t="s">
        <v>981</v>
      </c>
      <c r="G351" s="2" t="s">
        <v>298</v>
      </c>
      <c r="H351" s="3">
        <v>40865.647106481483</v>
      </c>
      <c r="L351">
        <f t="shared" si="20"/>
        <v>0</v>
      </c>
      <c r="Q351" t="str">
        <f t="shared" si="21"/>
        <v/>
      </c>
      <c r="R351" t="str">
        <f t="shared" si="22"/>
        <v/>
      </c>
      <c r="S351" t="str">
        <f t="shared" si="23"/>
        <v/>
      </c>
    </row>
    <row r="352" spans="1:19">
      <c r="A352" t="s">
        <v>1110</v>
      </c>
      <c r="C352" t="s">
        <v>314</v>
      </c>
      <c r="D352" s="3">
        <v>40870.666180555556</v>
      </c>
      <c r="E352" s="8" t="s">
        <v>1111</v>
      </c>
      <c r="F352" s="8" t="s">
        <v>1112</v>
      </c>
      <c r="G352" s="2" t="s">
        <v>1579</v>
      </c>
      <c r="H352" s="3">
        <v>40870.666180555556</v>
      </c>
      <c r="L352">
        <f t="shared" si="20"/>
        <v>0</v>
      </c>
      <c r="Q352" t="str">
        <f t="shared" si="21"/>
        <v/>
      </c>
      <c r="R352" t="str">
        <f t="shared" si="22"/>
        <v/>
      </c>
      <c r="S352" t="str">
        <f t="shared" si="23"/>
        <v/>
      </c>
    </row>
    <row r="353" spans="1:19">
      <c r="A353" t="s">
        <v>1045</v>
      </c>
      <c r="C353" t="s">
        <v>1046</v>
      </c>
      <c r="D353" s="3">
        <v>40871.874768518515</v>
      </c>
      <c r="E353" s="8" t="s">
        <v>1047</v>
      </c>
      <c r="F353" s="8" t="s">
        <v>1048</v>
      </c>
      <c r="G353" s="2" t="s">
        <v>298</v>
      </c>
      <c r="H353" s="3">
        <v>40872.481238425928</v>
      </c>
      <c r="J353">
        <v>1</v>
      </c>
      <c r="L353">
        <f t="shared" si="20"/>
        <v>1</v>
      </c>
      <c r="Q353" t="str">
        <f t="shared" si="21"/>
        <v/>
      </c>
      <c r="R353" t="str">
        <f t="shared" si="22"/>
        <v>BC,142a7bb,e10ddf6</v>
      </c>
      <c r="S353" t="str">
        <f t="shared" si="23"/>
        <v/>
      </c>
    </row>
    <row r="354" spans="1:19">
      <c r="A354" t="s">
        <v>1093</v>
      </c>
      <c r="C354" t="s">
        <v>293</v>
      </c>
      <c r="D354" s="3">
        <v>40874.487650462965</v>
      </c>
      <c r="E354" s="8" t="s">
        <v>1094</v>
      </c>
      <c r="F354" s="8" t="s">
        <v>1095</v>
      </c>
      <c r="G354" s="2" t="s">
        <v>288</v>
      </c>
      <c r="H354" s="3">
        <v>40874.806076388886</v>
      </c>
      <c r="L354">
        <f t="shared" si="20"/>
        <v>0</v>
      </c>
      <c r="Q354" t="str">
        <f t="shared" si="21"/>
        <v/>
      </c>
      <c r="R354" t="str">
        <f t="shared" si="22"/>
        <v/>
      </c>
      <c r="S354" t="str">
        <f t="shared" si="23"/>
        <v/>
      </c>
    </row>
    <row r="355" spans="1:19">
      <c r="A355" t="s">
        <v>1214</v>
      </c>
      <c r="C355" t="s">
        <v>288</v>
      </c>
      <c r="D355" s="3">
        <v>40874.806400462963</v>
      </c>
      <c r="E355" s="8" t="s">
        <v>1215</v>
      </c>
      <c r="F355" s="8" t="s">
        <v>1879</v>
      </c>
      <c r="G355" s="4" t="s">
        <v>336</v>
      </c>
      <c r="H355" s="3">
        <v>40874.90320601852</v>
      </c>
      <c r="L355">
        <f t="shared" si="20"/>
        <v>0</v>
      </c>
      <c r="Q355" t="str">
        <f t="shared" si="21"/>
        <v/>
      </c>
      <c r="R355" t="str">
        <f t="shared" si="22"/>
        <v/>
      </c>
      <c r="S355" t="str">
        <f t="shared" si="23"/>
        <v/>
      </c>
    </row>
    <row r="356" spans="1:19">
      <c r="A356" t="s">
        <v>365</v>
      </c>
      <c r="B356" t="s">
        <v>97</v>
      </c>
      <c r="C356" s="2" t="s">
        <v>288</v>
      </c>
      <c r="D356" s="3">
        <v>40874.903240740743</v>
      </c>
      <c r="E356" s="8" t="s">
        <v>366</v>
      </c>
      <c r="F356" s="8" t="s">
        <v>367</v>
      </c>
      <c r="G356" s="4" t="s">
        <v>336</v>
      </c>
      <c r="H356" s="3">
        <v>40875.709282407406</v>
      </c>
      <c r="J356">
        <v>1</v>
      </c>
      <c r="L356">
        <f t="shared" si="20"/>
        <v>1</v>
      </c>
      <c r="Q356" t="str">
        <f t="shared" si="21"/>
        <v/>
      </c>
      <c r="R356" t="str">
        <f t="shared" si="22"/>
        <v>BC,bfa7d1e,992158b</v>
      </c>
      <c r="S356" t="str">
        <f t="shared" si="23"/>
        <v/>
      </c>
    </row>
    <row r="357" spans="1:19">
      <c r="A357" t="s">
        <v>376</v>
      </c>
      <c r="B357" t="s">
        <v>964</v>
      </c>
      <c r="C357" s="2" t="s">
        <v>288</v>
      </c>
      <c r="D357" s="3">
        <v>40879.989618055559</v>
      </c>
      <c r="E357" s="8" t="s">
        <v>377</v>
      </c>
      <c r="F357" s="8" t="s">
        <v>378</v>
      </c>
      <c r="G357" s="4" t="s">
        <v>379</v>
      </c>
      <c r="H357" s="3">
        <v>40880.813460648147</v>
      </c>
      <c r="J357">
        <v>1</v>
      </c>
      <c r="L357">
        <f t="shared" si="20"/>
        <v>1</v>
      </c>
      <c r="Q357" t="str">
        <f t="shared" si="21"/>
        <v/>
      </c>
      <c r="R357" t="str">
        <f t="shared" si="22"/>
        <v>BC,e645c17,70fb68e</v>
      </c>
      <c r="S357" t="str">
        <f t="shared" si="23"/>
        <v/>
      </c>
    </row>
    <row r="358" spans="1:19">
      <c r="A358" s="1" t="s">
        <v>1223</v>
      </c>
      <c r="C358" t="s">
        <v>288</v>
      </c>
      <c r="D358" s="3">
        <v>40879.989618055559</v>
      </c>
      <c r="E358" s="8" t="s">
        <v>377</v>
      </c>
      <c r="F358" s="8" t="s">
        <v>1224</v>
      </c>
      <c r="G358" s="2" t="s">
        <v>588</v>
      </c>
      <c r="H358" s="3">
        <v>40881.081689814811</v>
      </c>
      <c r="L358">
        <f t="shared" si="20"/>
        <v>0</v>
      </c>
      <c r="Q358" t="str">
        <f t="shared" si="21"/>
        <v/>
      </c>
      <c r="R358" t="str">
        <f t="shared" si="22"/>
        <v/>
      </c>
      <c r="S358" t="str">
        <f t="shared" si="23"/>
        <v/>
      </c>
    </row>
    <row r="359" spans="1:19">
      <c r="A359" t="s">
        <v>929</v>
      </c>
      <c r="C359" t="s">
        <v>293</v>
      </c>
      <c r="D359" s="3">
        <v>40881.543194444443</v>
      </c>
      <c r="E359" s="8" t="s">
        <v>930</v>
      </c>
      <c r="F359" s="8" t="s">
        <v>931</v>
      </c>
      <c r="G359" s="2" t="s">
        <v>288</v>
      </c>
      <c r="H359" s="3">
        <v>40882.434282407405</v>
      </c>
      <c r="L359">
        <f t="shared" si="20"/>
        <v>0</v>
      </c>
      <c r="Q359" t="str">
        <f t="shared" si="21"/>
        <v/>
      </c>
      <c r="R359" t="str">
        <f t="shared" si="22"/>
        <v/>
      </c>
      <c r="S359" t="str">
        <f t="shared" si="23"/>
        <v/>
      </c>
    </row>
    <row r="360" spans="1:19">
      <c r="A360" t="s">
        <v>587</v>
      </c>
      <c r="C360" t="s">
        <v>588</v>
      </c>
      <c r="D360" s="3">
        <v>40881.10491898148</v>
      </c>
      <c r="E360" s="8" t="s">
        <v>589</v>
      </c>
      <c r="F360" s="8" t="s">
        <v>590</v>
      </c>
      <c r="G360" s="2" t="s">
        <v>288</v>
      </c>
      <c r="H360" s="3">
        <v>40882.45453703704</v>
      </c>
      <c r="L360">
        <f t="shared" si="20"/>
        <v>0</v>
      </c>
      <c r="Q360" t="str">
        <f t="shared" si="21"/>
        <v/>
      </c>
      <c r="R360" t="str">
        <f t="shared" si="22"/>
        <v/>
      </c>
      <c r="S360" t="str">
        <f t="shared" si="23"/>
        <v/>
      </c>
    </row>
    <row r="361" spans="1:19">
      <c r="A361" t="s">
        <v>623</v>
      </c>
      <c r="C361" t="s">
        <v>288</v>
      </c>
      <c r="D361" s="3">
        <v>40889.404699074075</v>
      </c>
      <c r="E361" s="8" t="s">
        <v>624</v>
      </c>
      <c r="F361" s="8" t="s">
        <v>625</v>
      </c>
      <c r="G361" s="4" t="s">
        <v>336</v>
      </c>
      <c r="H361" s="3">
        <v>40889.483101851853</v>
      </c>
      <c r="L361">
        <f t="shared" si="20"/>
        <v>0</v>
      </c>
      <c r="Q361" t="str">
        <f t="shared" si="21"/>
        <v/>
      </c>
      <c r="R361" t="str">
        <f t="shared" si="22"/>
        <v/>
      </c>
      <c r="S361" t="str">
        <f t="shared" si="23"/>
        <v/>
      </c>
    </row>
    <row r="362" spans="1:19">
      <c r="A362" t="s">
        <v>1403</v>
      </c>
      <c r="C362" t="s">
        <v>288</v>
      </c>
      <c r="D362" s="3">
        <v>40889.747939814813</v>
      </c>
      <c r="E362" s="8" t="s">
        <v>1404</v>
      </c>
      <c r="F362" s="8" t="s">
        <v>1405</v>
      </c>
      <c r="G362" s="2" t="s">
        <v>630</v>
      </c>
      <c r="H362" s="3">
        <v>40890.360266203701</v>
      </c>
      <c r="L362">
        <f t="shared" si="20"/>
        <v>0</v>
      </c>
      <c r="Q362" t="str">
        <f t="shared" si="21"/>
        <v/>
      </c>
      <c r="R362" t="str">
        <f t="shared" si="22"/>
        <v/>
      </c>
      <c r="S362" t="str">
        <f t="shared" si="23"/>
        <v/>
      </c>
    </row>
    <row r="363" spans="1:19">
      <c r="A363" t="s">
        <v>850</v>
      </c>
      <c r="C363" t="s">
        <v>314</v>
      </c>
      <c r="D363" s="3">
        <v>40891.812210648146</v>
      </c>
      <c r="E363" s="8" t="s">
        <v>851</v>
      </c>
      <c r="F363" s="8" t="s">
        <v>852</v>
      </c>
      <c r="G363" s="2" t="s">
        <v>290</v>
      </c>
      <c r="H363" s="3">
        <v>40891.860358796293</v>
      </c>
      <c r="J363">
        <v>1</v>
      </c>
      <c r="L363">
        <f t="shared" si="20"/>
        <v>1</v>
      </c>
      <c r="Q363" t="str">
        <f t="shared" si="21"/>
        <v/>
      </c>
      <c r="R363" t="str">
        <f t="shared" si="22"/>
        <v>BC,1c9262e,879b3f0</v>
      </c>
      <c r="S363" t="str">
        <f t="shared" si="23"/>
        <v/>
      </c>
    </row>
    <row r="364" spans="1:19">
      <c r="A364" t="s">
        <v>513</v>
      </c>
      <c r="C364" s="4" t="s">
        <v>336</v>
      </c>
      <c r="D364" s="3">
        <v>40892.633125</v>
      </c>
      <c r="E364" s="8" t="s">
        <v>514</v>
      </c>
      <c r="F364" s="8" t="s">
        <v>515</v>
      </c>
      <c r="G364" s="6" t="s">
        <v>288</v>
      </c>
      <c r="H364" s="3">
        <v>40892.742696759262</v>
      </c>
      <c r="I364">
        <v>1</v>
      </c>
      <c r="K364">
        <v>1</v>
      </c>
      <c r="L364">
        <f t="shared" si="20"/>
        <v>2</v>
      </c>
      <c r="Q364" t="str">
        <f t="shared" si="21"/>
        <v>MC,8a9260f,7c63543</v>
      </c>
      <c r="R364" t="str">
        <f t="shared" si="22"/>
        <v/>
      </c>
      <c r="S364" t="str">
        <f t="shared" si="23"/>
        <v>TC,8a9260f,7c63543</v>
      </c>
    </row>
    <row r="365" spans="1:19">
      <c r="A365" t="s">
        <v>1442</v>
      </c>
      <c r="C365" t="s">
        <v>288</v>
      </c>
      <c r="D365" s="3">
        <v>40770.849224537036</v>
      </c>
      <c r="E365" s="8" t="s">
        <v>1443</v>
      </c>
      <c r="F365" s="8" t="s">
        <v>1444</v>
      </c>
      <c r="G365" s="4" t="s">
        <v>336</v>
      </c>
      <c r="H365" s="3">
        <v>40892.744039351855</v>
      </c>
      <c r="L365">
        <f t="shared" si="20"/>
        <v>0</v>
      </c>
      <c r="Q365" t="str">
        <f t="shared" si="21"/>
        <v/>
      </c>
      <c r="R365" t="str">
        <f t="shared" si="22"/>
        <v/>
      </c>
      <c r="S365" t="str">
        <f t="shared" si="23"/>
        <v/>
      </c>
    </row>
    <row r="366" spans="1:19">
      <c r="A366" t="s">
        <v>815</v>
      </c>
      <c r="C366" t="s">
        <v>288</v>
      </c>
      <c r="D366" s="3">
        <v>40896.510810185187</v>
      </c>
      <c r="E366" s="8">
        <v>9713527</v>
      </c>
      <c r="F366" s="8" t="s">
        <v>816</v>
      </c>
      <c r="G366" s="4" t="s">
        <v>336</v>
      </c>
      <c r="H366" s="3">
        <v>40896.542500000003</v>
      </c>
      <c r="L366">
        <f t="shared" si="20"/>
        <v>0</v>
      </c>
      <c r="Q366" t="str">
        <f t="shared" si="21"/>
        <v/>
      </c>
      <c r="R366" t="str">
        <f t="shared" si="22"/>
        <v/>
      </c>
      <c r="S366" t="str">
        <f t="shared" si="23"/>
        <v/>
      </c>
    </row>
    <row r="367" spans="1:19">
      <c r="A367" s="1" t="s">
        <v>466</v>
      </c>
      <c r="B367" t="s">
        <v>0</v>
      </c>
      <c r="C367" t="s">
        <v>467</v>
      </c>
      <c r="D367" s="3">
        <v>40897.733182870368</v>
      </c>
      <c r="E367" s="8" t="s">
        <v>468</v>
      </c>
      <c r="F367" s="8" t="s">
        <v>469</v>
      </c>
      <c r="G367" s="4" t="s">
        <v>298</v>
      </c>
      <c r="H367" s="3">
        <v>40898.412175925929</v>
      </c>
      <c r="L367">
        <f t="shared" si="20"/>
        <v>0</v>
      </c>
      <c r="Q367" t="str">
        <f t="shared" si="21"/>
        <v/>
      </c>
      <c r="R367" t="str">
        <f t="shared" si="22"/>
        <v/>
      </c>
      <c r="S367" t="str">
        <f t="shared" si="23"/>
        <v/>
      </c>
    </row>
    <row r="368" spans="1:19">
      <c r="A368" t="s">
        <v>863</v>
      </c>
      <c r="C368" t="s">
        <v>294</v>
      </c>
      <c r="D368" s="3">
        <v>40897.137361111112</v>
      </c>
      <c r="E368" s="8" t="s">
        <v>864</v>
      </c>
      <c r="F368" s="8" t="s">
        <v>865</v>
      </c>
      <c r="G368" s="2" t="s">
        <v>288</v>
      </c>
      <c r="H368" s="3">
        <v>40900.720914351848</v>
      </c>
      <c r="J368">
        <v>1</v>
      </c>
      <c r="L368">
        <f t="shared" si="20"/>
        <v>1</v>
      </c>
      <c r="Q368" t="str">
        <f t="shared" si="21"/>
        <v/>
      </c>
      <c r="R368" t="str">
        <f t="shared" si="22"/>
        <v>BC,c5bee09,8bfbd43</v>
      </c>
      <c r="S368" t="str">
        <f t="shared" si="23"/>
        <v/>
      </c>
    </row>
    <row r="369" spans="1:19">
      <c r="A369" t="s">
        <v>977</v>
      </c>
      <c r="C369" t="s">
        <v>314</v>
      </c>
      <c r="D369" s="3">
        <v>40902.681701388887</v>
      </c>
      <c r="E369" s="8" t="s">
        <v>978</v>
      </c>
      <c r="F369" s="8">
        <v>7008376</v>
      </c>
      <c r="G369" s="2" t="s">
        <v>288</v>
      </c>
      <c r="H369" s="3">
        <v>40903.445081018515</v>
      </c>
      <c r="L369">
        <f t="shared" si="20"/>
        <v>0</v>
      </c>
      <c r="Q369" t="str">
        <f t="shared" si="21"/>
        <v/>
      </c>
      <c r="R369" t="str">
        <f t="shared" si="22"/>
        <v/>
      </c>
      <c r="S369" t="str">
        <f t="shared" si="23"/>
        <v/>
      </c>
    </row>
    <row r="370" spans="1:19">
      <c r="A370" t="s">
        <v>1548</v>
      </c>
      <c r="C370" t="s">
        <v>288</v>
      </c>
      <c r="D370" s="3">
        <v>40904.584722222222</v>
      </c>
      <c r="E370" s="8" t="s">
        <v>1549</v>
      </c>
      <c r="F370" s="8" t="s">
        <v>1550</v>
      </c>
      <c r="G370" s="4" t="s">
        <v>336</v>
      </c>
      <c r="H370" s="3">
        <v>40905.500034722223</v>
      </c>
      <c r="L370">
        <f t="shared" si="20"/>
        <v>0</v>
      </c>
      <c r="Q370" t="str">
        <f t="shared" si="21"/>
        <v/>
      </c>
      <c r="R370" t="str">
        <f t="shared" si="22"/>
        <v/>
      </c>
      <c r="S370" t="str">
        <f t="shared" si="23"/>
        <v/>
      </c>
    </row>
    <row r="371" spans="1:19">
      <c r="A371" t="s">
        <v>1216</v>
      </c>
      <c r="C371" t="s">
        <v>1217</v>
      </c>
      <c r="D371" s="3">
        <v>40906.761979166666</v>
      </c>
      <c r="E371" s="8" t="s">
        <v>1218</v>
      </c>
      <c r="F371" s="8" t="s">
        <v>1219</v>
      </c>
      <c r="G371" s="2" t="s">
        <v>298</v>
      </c>
      <c r="H371" s="3">
        <v>40906.969108796293</v>
      </c>
      <c r="L371">
        <f t="shared" si="20"/>
        <v>0</v>
      </c>
      <c r="Q371" t="str">
        <f t="shared" si="21"/>
        <v/>
      </c>
      <c r="R371" t="str">
        <f t="shared" si="22"/>
        <v/>
      </c>
      <c r="S371" t="str">
        <f t="shared" si="23"/>
        <v/>
      </c>
    </row>
    <row r="372" spans="1:19">
      <c r="A372" t="s">
        <v>1395</v>
      </c>
      <c r="C372" t="s">
        <v>289</v>
      </c>
      <c r="D372" s="3">
        <v>40906.601481481484</v>
      </c>
      <c r="E372" s="8" t="s">
        <v>1396</v>
      </c>
      <c r="F372" s="8" t="s">
        <v>1397</v>
      </c>
      <c r="G372" s="2" t="s">
        <v>1398</v>
      </c>
      <c r="H372" s="3">
        <v>40907.644143518519</v>
      </c>
      <c r="J372">
        <v>1</v>
      </c>
      <c r="L372">
        <f t="shared" si="20"/>
        <v>1</v>
      </c>
      <c r="Q372" t="str">
        <f t="shared" si="21"/>
        <v/>
      </c>
      <c r="R372" t="str">
        <f t="shared" si="22"/>
        <v>BC,38e155e,41f19a9</v>
      </c>
      <c r="S372" t="str">
        <f t="shared" si="23"/>
        <v/>
      </c>
    </row>
    <row r="373" spans="1:19">
      <c r="A373" t="s">
        <v>666</v>
      </c>
      <c r="C373" t="s">
        <v>293</v>
      </c>
      <c r="D373" s="3">
        <v>40907.701909722222</v>
      </c>
      <c r="E373" s="8" t="s">
        <v>667</v>
      </c>
      <c r="F373" s="8" t="s">
        <v>668</v>
      </c>
      <c r="G373" s="4" t="s">
        <v>336</v>
      </c>
      <c r="H373" s="3">
        <v>40907.801296296297</v>
      </c>
      <c r="L373">
        <f t="shared" si="20"/>
        <v>0</v>
      </c>
      <c r="Q373" t="str">
        <f t="shared" si="21"/>
        <v/>
      </c>
      <c r="R373" t="str">
        <f t="shared" si="22"/>
        <v/>
      </c>
      <c r="S373" t="str">
        <f t="shared" si="23"/>
        <v/>
      </c>
    </row>
    <row r="374" spans="1:19">
      <c r="A374" t="s">
        <v>489</v>
      </c>
      <c r="B374" t="s">
        <v>393</v>
      </c>
      <c r="C374" t="s">
        <v>293</v>
      </c>
      <c r="D374" s="3">
        <v>40907.802847222221</v>
      </c>
      <c r="E374" s="8" t="s">
        <v>490</v>
      </c>
      <c r="F374" s="8" t="s">
        <v>491</v>
      </c>
      <c r="G374" s="4" t="s">
        <v>300</v>
      </c>
      <c r="H374" s="3">
        <v>40908.44190972222</v>
      </c>
      <c r="L374">
        <f t="shared" si="20"/>
        <v>0</v>
      </c>
      <c r="Q374" t="str">
        <f t="shared" si="21"/>
        <v/>
      </c>
      <c r="R374" t="str">
        <f t="shared" si="22"/>
        <v/>
      </c>
      <c r="S374" t="str">
        <f t="shared" si="23"/>
        <v/>
      </c>
    </row>
    <row r="375" spans="1:19">
      <c r="A375" t="s">
        <v>1139</v>
      </c>
      <c r="C375" t="s">
        <v>289</v>
      </c>
      <c r="D375" s="3">
        <v>40910.09578703704</v>
      </c>
      <c r="E375" s="8" t="s">
        <v>1140</v>
      </c>
      <c r="F375" s="8" t="s">
        <v>1141</v>
      </c>
      <c r="G375" s="2" t="s">
        <v>288</v>
      </c>
      <c r="H375" s="3">
        <v>40910.809421296297</v>
      </c>
      <c r="L375">
        <f t="shared" si="20"/>
        <v>0</v>
      </c>
      <c r="Q375" t="str">
        <f t="shared" si="21"/>
        <v/>
      </c>
      <c r="R375" t="str">
        <f t="shared" si="22"/>
        <v/>
      </c>
      <c r="S375" t="str">
        <f t="shared" si="23"/>
        <v/>
      </c>
    </row>
    <row r="376" spans="1:19">
      <c r="A376" t="s">
        <v>1075</v>
      </c>
      <c r="C376" t="s">
        <v>288</v>
      </c>
      <c r="D376" s="3">
        <v>40910.396458333336</v>
      </c>
      <c r="E376" s="8" t="s">
        <v>1076</v>
      </c>
      <c r="F376" s="8" t="s">
        <v>1077</v>
      </c>
      <c r="G376" s="4" t="s">
        <v>336</v>
      </c>
      <c r="H376" s="3">
        <v>40911.864074074074</v>
      </c>
      <c r="L376">
        <f t="shared" si="20"/>
        <v>0</v>
      </c>
      <c r="Q376" t="str">
        <f t="shared" si="21"/>
        <v/>
      </c>
      <c r="R376" t="str">
        <f t="shared" si="22"/>
        <v/>
      </c>
      <c r="S376" t="str">
        <f t="shared" si="23"/>
        <v/>
      </c>
    </row>
    <row r="377" spans="1:19">
      <c r="A377" t="s">
        <v>988</v>
      </c>
      <c r="C377" t="s">
        <v>989</v>
      </c>
      <c r="D377" s="3">
        <v>40914.582777777781</v>
      </c>
      <c r="E377" s="8" t="s">
        <v>990</v>
      </c>
      <c r="F377" s="8" t="s">
        <v>991</v>
      </c>
      <c r="G377" s="2" t="s">
        <v>289</v>
      </c>
      <c r="H377" s="3">
        <v>40915.045277777775</v>
      </c>
      <c r="L377">
        <f t="shared" si="20"/>
        <v>0</v>
      </c>
      <c r="Q377" t="str">
        <f t="shared" si="21"/>
        <v/>
      </c>
      <c r="R377" t="str">
        <f t="shared" si="22"/>
        <v/>
      </c>
      <c r="S377" t="str">
        <f t="shared" si="23"/>
        <v/>
      </c>
    </row>
    <row r="378" spans="1:19">
      <c r="A378" t="s">
        <v>1137</v>
      </c>
      <c r="C378" t="s">
        <v>288</v>
      </c>
      <c r="D378" s="3">
        <v>40917.435393518521</v>
      </c>
      <c r="E378" s="8" t="s">
        <v>1138</v>
      </c>
      <c r="F378" s="8">
        <v>6819716</v>
      </c>
      <c r="G378" s="2" t="s">
        <v>291</v>
      </c>
      <c r="H378" s="3">
        <v>40917.648969907408</v>
      </c>
      <c r="I378">
        <v>1</v>
      </c>
      <c r="L378">
        <f t="shared" si="20"/>
        <v>1</v>
      </c>
      <c r="Q378" t="str">
        <f t="shared" si="21"/>
        <v>MC,b1d1127,6819716</v>
      </c>
      <c r="R378" t="str">
        <f t="shared" si="22"/>
        <v/>
      </c>
      <c r="S378" t="str">
        <f t="shared" si="23"/>
        <v/>
      </c>
    </row>
    <row r="379" spans="1:19">
      <c r="A379" t="s">
        <v>1300</v>
      </c>
      <c r="C379" t="s">
        <v>288</v>
      </c>
      <c r="D379" s="3">
        <v>40918.730474537035</v>
      </c>
      <c r="E379" s="8" t="s">
        <v>1301</v>
      </c>
      <c r="F379" s="8" t="s">
        <v>1302</v>
      </c>
      <c r="G379" s="2" t="s">
        <v>301</v>
      </c>
      <c r="H379" s="3">
        <v>40920.65047453704</v>
      </c>
      <c r="L379">
        <f t="shared" si="20"/>
        <v>0</v>
      </c>
      <c r="Q379" t="str">
        <f t="shared" si="21"/>
        <v/>
      </c>
      <c r="R379" t="str">
        <f t="shared" si="22"/>
        <v/>
      </c>
      <c r="S379" t="str">
        <f t="shared" si="23"/>
        <v/>
      </c>
    </row>
    <row r="380" spans="1:19">
      <c r="A380" t="s">
        <v>1249</v>
      </c>
      <c r="C380" t="s">
        <v>1250</v>
      </c>
      <c r="D380" s="3">
        <v>40922.571273148147</v>
      </c>
      <c r="E380" s="8" t="s">
        <v>1251</v>
      </c>
      <c r="F380" s="8" t="s">
        <v>1252</v>
      </c>
      <c r="G380" s="2" t="s">
        <v>621</v>
      </c>
      <c r="H380" s="3">
        <v>40923.455497685187</v>
      </c>
      <c r="L380">
        <f t="shared" si="20"/>
        <v>0</v>
      </c>
      <c r="Q380" t="str">
        <f t="shared" si="21"/>
        <v/>
      </c>
      <c r="R380" t="str">
        <f t="shared" si="22"/>
        <v/>
      </c>
      <c r="S380" t="str">
        <f t="shared" si="23"/>
        <v/>
      </c>
    </row>
    <row r="381" spans="1:19">
      <c r="A381" t="s">
        <v>1536</v>
      </c>
      <c r="C381" t="s">
        <v>1250</v>
      </c>
      <c r="D381" s="3">
        <v>40922.801342592589</v>
      </c>
      <c r="E381" s="8" t="s">
        <v>1537</v>
      </c>
      <c r="F381" s="8" t="s">
        <v>1538</v>
      </c>
      <c r="G381" s="2" t="s">
        <v>312</v>
      </c>
      <c r="H381" s="3">
        <v>40924.270833333336</v>
      </c>
      <c r="I381">
        <v>1</v>
      </c>
      <c r="L381">
        <f t="shared" si="20"/>
        <v>1</v>
      </c>
      <c r="Q381" t="str">
        <f t="shared" si="21"/>
        <v>MC,255a3e6,c937126</v>
      </c>
      <c r="R381" t="str">
        <f t="shared" si="22"/>
        <v/>
      </c>
      <c r="S381" t="str">
        <f t="shared" si="23"/>
        <v/>
      </c>
    </row>
    <row r="382" spans="1:19">
      <c r="A382" t="s">
        <v>1525</v>
      </c>
      <c r="C382" t="s">
        <v>291</v>
      </c>
      <c r="D382" s="3">
        <v>40924.650069444448</v>
      </c>
      <c r="E382" s="8" t="s">
        <v>1526</v>
      </c>
      <c r="F382" s="8" t="s">
        <v>1527</v>
      </c>
      <c r="G382" s="2" t="s">
        <v>288</v>
      </c>
      <c r="H382" s="3">
        <v>40925.41196759259</v>
      </c>
      <c r="L382">
        <f t="shared" si="20"/>
        <v>0</v>
      </c>
      <c r="Q382" t="str">
        <f t="shared" si="21"/>
        <v/>
      </c>
      <c r="R382" t="str">
        <f t="shared" si="22"/>
        <v/>
      </c>
      <c r="S382" t="str">
        <f t="shared" si="23"/>
        <v/>
      </c>
    </row>
    <row r="383" spans="1:19">
      <c r="A383" t="s">
        <v>1145</v>
      </c>
      <c r="C383" t="s">
        <v>288</v>
      </c>
      <c r="D383" s="3">
        <v>40926.443136574075</v>
      </c>
      <c r="E383" s="8" t="s">
        <v>1146</v>
      </c>
      <c r="F383" s="8">
        <v>6066009</v>
      </c>
      <c r="G383" s="2" t="s">
        <v>1147</v>
      </c>
      <c r="H383" s="3">
        <v>40926.729872685188</v>
      </c>
      <c r="L383">
        <f t="shared" si="20"/>
        <v>0</v>
      </c>
      <c r="Q383" t="str">
        <f t="shared" si="21"/>
        <v/>
      </c>
      <c r="R383" t="str">
        <f t="shared" si="22"/>
        <v/>
      </c>
      <c r="S383" t="str">
        <f t="shared" si="23"/>
        <v/>
      </c>
    </row>
    <row r="384" spans="1:19">
      <c r="A384" t="s">
        <v>1039</v>
      </c>
      <c r="C384" t="s">
        <v>298</v>
      </c>
      <c r="D384" s="3">
        <v>40928.782002314816</v>
      </c>
      <c r="E384" s="8" t="s">
        <v>1040</v>
      </c>
      <c r="F384" s="8" t="s">
        <v>1041</v>
      </c>
      <c r="G384" s="2" t="s">
        <v>289</v>
      </c>
      <c r="H384" s="3">
        <v>40928.942141203705</v>
      </c>
      <c r="L384">
        <f t="shared" si="20"/>
        <v>0</v>
      </c>
      <c r="Q384" t="str">
        <f t="shared" si="21"/>
        <v/>
      </c>
      <c r="R384" t="str">
        <f t="shared" si="22"/>
        <v/>
      </c>
      <c r="S384" t="str">
        <f t="shared" si="23"/>
        <v/>
      </c>
    </row>
    <row r="385" spans="1:19">
      <c r="A385" t="s">
        <v>611</v>
      </c>
      <c r="C385" t="s">
        <v>288</v>
      </c>
      <c r="D385" s="3">
        <v>40931.648506944446</v>
      </c>
      <c r="E385" s="8" t="s">
        <v>612</v>
      </c>
      <c r="F385" s="8" t="s">
        <v>613</v>
      </c>
      <c r="G385" s="2" t="s">
        <v>291</v>
      </c>
      <c r="H385" s="3">
        <v>40931.650173611109</v>
      </c>
      <c r="L385">
        <f t="shared" si="20"/>
        <v>0</v>
      </c>
      <c r="Q385" t="str">
        <f t="shared" si="21"/>
        <v/>
      </c>
      <c r="R385" t="str">
        <f t="shared" si="22"/>
        <v/>
      </c>
      <c r="S385" t="str">
        <f t="shared" si="23"/>
        <v/>
      </c>
    </row>
    <row r="386" spans="1:19">
      <c r="A386" t="s">
        <v>1392</v>
      </c>
      <c r="C386" t="s">
        <v>300</v>
      </c>
      <c r="D386" s="3">
        <v>40933.012835648151</v>
      </c>
      <c r="E386" s="8" t="s">
        <v>1393</v>
      </c>
      <c r="F386" s="8" t="s">
        <v>1394</v>
      </c>
      <c r="G386" s="2" t="s">
        <v>306</v>
      </c>
      <c r="H386" s="3">
        <v>40933.592731481483</v>
      </c>
      <c r="L386">
        <f t="shared" ref="L386:L449" si="24">COUNTA(I386:K386)</f>
        <v>0</v>
      </c>
      <c r="Q386" t="str">
        <f t="shared" si="21"/>
        <v/>
      </c>
      <c r="R386" t="str">
        <f t="shared" si="22"/>
        <v/>
      </c>
      <c r="S386" t="str">
        <f t="shared" si="23"/>
        <v/>
      </c>
    </row>
    <row r="387" spans="1:19">
      <c r="A387" t="s">
        <v>1220</v>
      </c>
      <c r="C387" t="s">
        <v>306</v>
      </c>
      <c r="D387" s="3">
        <v>40933.609456018516</v>
      </c>
      <c r="E387" s="8" t="s">
        <v>1221</v>
      </c>
      <c r="F387" s="8" t="s">
        <v>1222</v>
      </c>
      <c r="G387" s="2" t="s">
        <v>651</v>
      </c>
      <c r="H387" s="3">
        <v>40933.959097222221</v>
      </c>
      <c r="L387">
        <f t="shared" si="24"/>
        <v>0</v>
      </c>
      <c r="Q387" t="str">
        <f t="shared" ref="Q387:Q450" si="25">IF(I387&gt;0,CONCATENATE("MC,",E387,",",F387),"")</f>
        <v/>
      </c>
      <c r="R387" t="str">
        <f t="shared" ref="R387:R450" si="26">IF(J387&gt;0,CONCATENATE("BC,",E387,",",F387),"")</f>
        <v/>
      </c>
      <c r="S387" t="str">
        <f t="shared" ref="S387:S450" si="27">IF(K387&gt;0,CONCATENATE("TC,",E387,",",F387),"")</f>
        <v/>
      </c>
    </row>
    <row r="388" spans="1:19">
      <c r="A388" t="s">
        <v>597</v>
      </c>
      <c r="C388" t="s">
        <v>291</v>
      </c>
      <c r="D388" s="3">
        <v>40918.467673611114</v>
      </c>
      <c r="E388" s="8" t="s">
        <v>598</v>
      </c>
      <c r="F388" s="8" t="s">
        <v>599</v>
      </c>
      <c r="G388" s="2" t="s">
        <v>300</v>
      </c>
      <c r="H388" s="3">
        <v>40933.982719907406</v>
      </c>
      <c r="L388">
        <f t="shared" si="24"/>
        <v>0</v>
      </c>
      <c r="Q388" t="str">
        <f t="shared" si="25"/>
        <v/>
      </c>
      <c r="R388" t="str">
        <f t="shared" si="26"/>
        <v/>
      </c>
      <c r="S388" t="str">
        <f t="shared" si="27"/>
        <v/>
      </c>
    </row>
    <row r="389" spans="1:19">
      <c r="A389" s="1" t="s">
        <v>443</v>
      </c>
      <c r="B389" t="s">
        <v>1566</v>
      </c>
      <c r="C389" t="s">
        <v>288</v>
      </c>
      <c r="D389" s="3">
        <v>40934.608541666668</v>
      </c>
      <c r="E389" s="8" t="s">
        <v>444</v>
      </c>
      <c r="F389" s="8" t="s">
        <v>445</v>
      </c>
      <c r="G389" s="4" t="s">
        <v>290</v>
      </c>
      <c r="H389" s="3">
        <v>40935.463055555556</v>
      </c>
      <c r="L389">
        <f t="shared" si="24"/>
        <v>0</v>
      </c>
      <c r="Q389" t="str">
        <f t="shared" si="25"/>
        <v/>
      </c>
      <c r="R389" t="str">
        <f t="shared" si="26"/>
        <v/>
      </c>
      <c r="S389" t="str">
        <f t="shared" si="27"/>
        <v/>
      </c>
    </row>
    <row r="390" spans="1:19">
      <c r="A390" t="s">
        <v>355</v>
      </c>
      <c r="B390" t="s">
        <v>412</v>
      </c>
      <c r="C390" s="2" t="s">
        <v>288</v>
      </c>
      <c r="D390" s="3">
        <v>40935.731921296298</v>
      </c>
      <c r="E390" s="8" t="s">
        <v>356</v>
      </c>
      <c r="F390" s="8" t="s">
        <v>357</v>
      </c>
      <c r="G390" s="4" t="s">
        <v>358</v>
      </c>
      <c r="H390" s="3">
        <v>40937.159502314818</v>
      </c>
      <c r="J390">
        <v>1</v>
      </c>
      <c r="L390">
        <f t="shared" si="24"/>
        <v>1</v>
      </c>
      <c r="Q390" t="str">
        <f t="shared" si="25"/>
        <v/>
      </c>
      <c r="R390" t="str">
        <f t="shared" si="26"/>
        <v>BC,7360f45,2b2877e</v>
      </c>
      <c r="S390" t="str">
        <f t="shared" si="27"/>
        <v/>
      </c>
    </row>
    <row r="391" spans="1:19">
      <c r="A391" t="s">
        <v>526</v>
      </c>
      <c r="C391" t="s">
        <v>289</v>
      </c>
      <c r="D391" s="3">
        <v>40937.467731481483</v>
      </c>
      <c r="E391" s="8" t="s">
        <v>527</v>
      </c>
      <c r="F391" s="8" t="s">
        <v>528</v>
      </c>
      <c r="G391" s="4" t="s">
        <v>325</v>
      </c>
      <c r="H391" s="3">
        <v>40937.724363425928</v>
      </c>
      <c r="L391">
        <f t="shared" si="24"/>
        <v>0</v>
      </c>
      <c r="Q391" t="str">
        <f t="shared" si="25"/>
        <v/>
      </c>
      <c r="R391" t="str">
        <f t="shared" si="26"/>
        <v/>
      </c>
      <c r="S391" t="str">
        <f t="shared" si="27"/>
        <v/>
      </c>
    </row>
    <row r="392" spans="1:19">
      <c r="A392" t="s">
        <v>533</v>
      </c>
      <c r="C392" t="s">
        <v>534</v>
      </c>
      <c r="D392" s="3">
        <v>40927.74422453704</v>
      </c>
      <c r="E392" s="8" t="s">
        <v>535</v>
      </c>
      <c r="F392" s="8" t="s">
        <v>536</v>
      </c>
      <c r="G392" s="4" t="s">
        <v>302</v>
      </c>
      <c r="H392" s="3">
        <v>40938.285937499997</v>
      </c>
      <c r="L392">
        <f t="shared" si="24"/>
        <v>0</v>
      </c>
      <c r="Q392" t="str">
        <f t="shared" si="25"/>
        <v/>
      </c>
      <c r="R392" t="str">
        <f t="shared" si="26"/>
        <v/>
      </c>
      <c r="S392" t="str">
        <f t="shared" si="27"/>
        <v/>
      </c>
    </row>
    <row r="393" spans="1:19">
      <c r="A393" t="s">
        <v>736</v>
      </c>
      <c r="C393" t="s">
        <v>288</v>
      </c>
      <c r="D393" s="3">
        <v>40938.620289351849</v>
      </c>
      <c r="E393" s="8" t="s">
        <v>737</v>
      </c>
      <c r="F393" s="8" t="s">
        <v>738</v>
      </c>
      <c r="G393" s="2" t="s">
        <v>300</v>
      </c>
      <c r="H393" s="3">
        <v>40938.708483796298</v>
      </c>
      <c r="L393">
        <f t="shared" si="24"/>
        <v>0</v>
      </c>
      <c r="Q393" t="str">
        <f t="shared" si="25"/>
        <v/>
      </c>
      <c r="R393" t="str">
        <f t="shared" si="26"/>
        <v/>
      </c>
      <c r="S393" t="str">
        <f t="shared" si="27"/>
        <v/>
      </c>
    </row>
    <row r="394" spans="1:19">
      <c r="A394" t="s">
        <v>764</v>
      </c>
      <c r="C394" t="s">
        <v>301</v>
      </c>
      <c r="D394" s="3">
        <v>40918.514421296299</v>
      </c>
      <c r="E394" s="8" t="s">
        <v>765</v>
      </c>
      <c r="F394" s="8" t="s">
        <v>766</v>
      </c>
      <c r="G394" s="2" t="s">
        <v>288</v>
      </c>
      <c r="H394" s="3">
        <v>40938.733761574076</v>
      </c>
      <c r="L394">
        <f t="shared" si="24"/>
        <v>0</v>
      </c>
      <c r="Q394" t="str">
        <f t="shared" si="25"/>
        <v/>
      </c>
      <c r="R394" t="str">
        <f t="shared" si="26"/>
        <v/>
      </c>
      <c r="S394" t="str">
        <f t="shared" si="27"/>
        <v/>
      </c>
    </row>
    <row r="395" spans="1:19">
      <c r="A395" t="s">
        <v>1492</v>
      </c>
      <c r="C395" t="s">
        <v>457</v>
      </c>
      <c r="D395" s="3">
        <v>40915.584108796298</v>
      </c>
      <c r="E395" s="8" t="s">
        <v>1493</v>
      </c>
      <c r="F395" s="8">
        <v>7028097</v>
      </c>
      <c r="G395" s="2" t="s">
        <v>288</v>
      </c>
      <c r="H395" s="3">
        <v>40945.616527777776</v>
      </c>
      <c r="I395">
        <v>1</v>
      </c>
      <c r="J395">
        <v>1</v>
      </c>
      <c r="L395">
        <f t="shared" si="24"/>
        <v>2</v>
      </c>
      <c r="Q395" t="str">
        <f t="shared" si="25"/>
        <v>MC,58e0ea4,7028097</v>
      </c>
      <c r="R395" t="str">
        <f t="shared" si="26"/>
        <v>BC,58e0ea4,7028097</v>
      </c>
      <c r="S395" t="str">
        <f t="shared" si="27"/>
        <v/>
      </c>
    </row>
    <row r="396" spans="1:19">
      <c r="A396" t="s">
        <v>817</v>
      </c>
      <c r="C396" t="s">
        <v>289</v>
      </c>
      <c r="D396" s="3">
        <v>40946.012858796297</v>
      </c>
      <c r="E396" s="8" t="s">
        <v>818</v>
      </c>
      <c r="F396" s="8" t="s">
        <v>819</v>
      </c>
      <c r="G396" s="2" t="s">
        <v>288</v>
      </c>
      <c r="H396" s="3">
        <v>40947.336099537039</v>
      </c>
      <c r="L396">
        <f t="shared" si="24"/>
        <v>0</v>
      </c>
      <c r="Q396" t="str">
        <f t="shared" si="25"/>
        <v/>
      </c>
      <c r="R396" t="str">
        <f t="shared" si="26"/>
        <v/>
      </c>
      <c r="S396" t="str">
        <f t="shared" si="27"/>
        <v/>
      </c>
    </row>
    <row r="397" spans="1:19">
      <c r="A397" t="s">
        <v>362</v>
      </c>
      <c r="B397" t="s">
        <v>1329</v>
      </c>
      <c r="C397" s="2" t="s">
        <v>288</v>
      </c>
      <c r="D397" s="3">
        <v>40952.437847222223</v>
      </c>
      <c r="E397" s="8" t="s">
        <v>363</v>
      </c>
      <c r="F397" s="8" t="s">
        <v>364</v>
      </c>
      <c r="G397" s="4" t="s">
        <v>336</v>
      </c>
      <c r="H397" s="3">
        <v>40952.481469907405</v>
      </c>
      <c r="J397">
        <v>1</v>
      </c>
      <c r="L397">
        <f t="shared" si="24"/>
        <v>1</v>
      </c>
      <c r="Q397" t="str">
        <f t="shared" si="25"/>
        <v/>
      </c>
      <c r="R397" t="str">
        <f t="shared" si="26"/>
        <v>BC,1ac4872,e85a292</v>
      </c>
      <c r="S397" t="str">
        <f t="shared" si="27"/>
        <v/>
      </c>
    </row>
    <row r="398" spans="1:19">
      <c r="A398" t="s">
        <v>781</v>
      </c>
      <c r="C398" t="s">
        <v>288</v>
      </c>
      <c r="D398" s="3">
        <v>40955.412974537037</v>
      </c>
      <c r="E398" s="8" t="s">
        <v>782</v>
      </c>
      <c r="F398" s="8" t="s">
        <v>783</v>
      </c>
      <c r="G398" s="2" t="s">
        <v>304</v>
      </c>
      <c r="H398" s="3">
        <v>40955.561192129629</v>
      </c>
      <c r="L398">
        <f t="shared" si="24"/>
        <v>0</v>
      </c>
      <c r="Q398" t="str">
        <f t="shared" si="25"/>
        <v/>
      </c>
      <c r="R398" t="str">
        <f t="shared" si="26"/>
        <v/>
      </c>
      <c r="S398" t="str">
        <f t="shared" si="27"/>
        <v/>
      </c>
    </row>
    <row r="399" spans="1:19">
      <c r="A399" t="s">
        <v>707</v>
      </c>
      <c r="C399" t="s">
        <v>708</v>
      </c>
      <c r="D399" s="3">
        <v>40949.409641203703</v>
      </c>
      <c r="E399" s="8" t="s">
        <v>709</v>
      </c>
      <c r="F399" s="8" t="s">
        <v>710</v>
      </c>
      <c r="G399" s="2" t="s">
        <v>291</v>
      </c>
      <c r="H399" s="3">
        <v>40956.520104166666</v>
      </c>
      <c r="L399">
        <f t="shared" si="24"/>
        <v>0</v>
      </c>
      <c r="Q399" t="str">
        <f t="shared" si="25"/>
        <v/>
      </c>
      <c r="R399" t="str">
        <f t="shared" si="26"/>
        <v/>
      </c>
      <c r="S399" t="str">
        <f t="shared" si="27"/>
        <v/>
      </c>
    </row>
    <row r="400" spans="1:19">
      <c r="A400" t="s">
        <v>1386</v>
      </c>
      <c r="C400" t="s">
        <v>300</v>
      </c>
      <c r="D400" s="3">
        <v>40956.576909722222</v>
      </c>
      <c r="E400" s="8" t="s">
        <v>1387</v>
      </c>
      <c r="F400" s="8" t="s">
        <v>1388</v>
      </c>
      <c r="G400" s="2" t="s">
        <v>293</v>
      </c>
      <c r="H400" s="3">
        <v>40957.664768518516</v>
      </c>
      <c r="L400">
        <f t="shared" si="24"/>
        <v>0</v>
      </c>
      <c r="Q400" t="str">
        <f t="shared" si="25"/>
        <v/>
      </c>
      <c r="R400" t="str">
        <f t="shared" si="26"/>
        <v/>
      </c>
      <c r="S400" t="str">
        <f t="shared" si="27"/>
        <v/>
      </c>
    </row>
    <row r="401" spans="1:19">
      <c r="A401" t="s">
        <v>654</v>
      </c>
      <c r="C401" t="s">
        <v>293</v>
      </c>
      <c r="D401" s="3">
        <v>40957.943692129629</v>
      </c>
      <c r="E401" s="8" t="s">
        <v>655</v>
      </c>
      <c r="F401" s="8" t="s">
        <v>656</v>
      </c>
      <c r="G401" s="2" t="s">
        <v>288</v>
      </c>
      <c r="H401" s="3">
        <v>40958.423113425924</v>
      </c>
      <c r="L401">
        <f t="shared" si="24"/>
        <v>0</v>
      </c>
      <c r="Q401" t="str">
        <f t="shared" si="25"/>
        <v/>
      </c>
      <c r="R401" t="str">
        <f t="shared" si="26"/>
        <v/>
      </c>
      <c r="S401" t="str">
        <f t="shared" si="27"/>
        <v/>
      </c>
    </row>
    <row r="402" spans="1:19">
      <c r="A402" t="s">
        <v>941</v>
      </c>
      <c r="C402" t="s">
        <v>312</v>
      </c>
      <c r="D402" s="3">
        <v>40959.314421296294</v>
      </c>
      <c r="E402" s="8">
        <v>4866198</v>
      </c>
      <c r="F402" s="8" t="s">
        <v>942</v>
      </c>
      <c r="G402" s="2" t="s">
        <v>943</v>
      </c>
      <c r="H402" s="3">
        <v>40959.738298611112</v>
      </c>
      <c r="L402">
        <f t="shared" si="24"/>
        <v>0</v>
      </c>
      <c r="Q402" t="str">
        <f t="shared" si="25"/>
        <v/>
      </c>
      <c r="R402" t="str">
        <f t="shared" si="26"/>
        <v/>
      </c>
      <c r="S402" t="str">
        <f t="shared" si="27"/>
        <v/>
      </c>
    </row>
    <row r="403" spans="1:19">
      <c r="A403" t="s">
        <v>419</v>
      </c>
      <c r="B403" t="s">
        <v>853</v>
      </c>
      <c r="C403" t="s">
        <v>300</v>
      </c>
      <c r="D403" s="3">
        <v>40959.744976851849</v>
      </c>
      <c r="E403" s="8" t="s">
        <v>420</v>
      </c>
      <c r="F403" s="8" t="s">
        <v>421</v>
      </c>
      <c r="G403" s="4" t="s">
        <v>314</v>
      </c>
      <c r="H403" s="3">
        <v>40959.828182870369</v>
      </c>
      <c r="L403">
        <f t="shared" si="24"/>
        <v>0</v>
      </c>
      <c r="Q403" t="str">
        <f t="shared" si="25"/>
        <v/>
      </c>
      <c r="R403" t="str">
        <f t="shared" si="26"/>
        <v/>
      </c>
      <c r="S403" t="str">
        <f t="shared" si="27"/>
        <v/>
      </c>
    </row>
    <row r="404" spans="1:19">
      <c r="A404" t="s">
        <v>1399</v>
      </c>
      <c r="C404" t="s">
        <v>314</v>
      </c>
      <c r="D404" s="3">
        <v>40960.771689814814</v>
      </c>
      <c r="E404" s="8" t="s">
        <v>1400</v>
      </c>
      <c r="F404" s="8" t="s">
        <v>1401</v>
      </c>
      <c r="G404" s="2" t="s">
        <v>1402</v>
      </c>
      <c r="H404" s="3">
        <v>40960.944814814815</v>
      </c>
      <c r="K404">
        <v>1</v>
      </c>
      <c r="L404">
        <f t="shared" si="24"/>
        <v>1</v>
      </c>
      <c r="Q404" t="str">
        <f t="shared" si="25"/>
        <v/>
      </c>
      <c r="R404" t="str">
        <f t="shared" si="26"/>
        <v/>
      </c>
      <c r="S404" t="str">
        <f t="shared" si="27"/>
        <v>TC,4d27250,c1d2c94</v>
      </c>
    </row>
    <row r="405" spans="1:19">
      <c r="A405" t="s">
        <v>1006</v>
      </c>
      <c r="C405" t="s">
        <v>319</v>
      </c>
      <c r="D405" s="3">
        <v>40960.811041666668</v>
      </c>
      <c r="E405" s="8" t="s">
        <v>1007</v>
      </c>
      <c r="F405" s="8" t="s">
        <v>1008</v>
      </c>
      <c r="G405" s="2" t="s">
        <v>300</v>
      </c>
      <c r="H405" s="3">
        <v>40961.379062499997</v>
      </c>
      <c r="L405">
        <f t="shared" si="24"/>
        <v>0</v>
      </c>
      <c r="Q405" t="str">
        <f t="shared" si="25"/>
        <v/>
      </c>
      <c r="R405" t="str">
        <f t="shared" si="26"/>
        <v/>
      </c>
      <c r="S405" t="str">
        <f t="shared" si="27"/>
        <v/>
      </c>
    </row>
    <row r="406" spans="1:19">
      <c r="A406" t="s">
        <v>1533</v>
      </c>
      <c r="C406" t="s">
        <v>314</v>
      </c>
      <c r="D406" s="3">
        <v>40961.787928240738</v>
      </c>
      <c r="E406" s="8" t="s">
        <v>1534</v>
      </c>
      <c r="F406" s="8" t="s">
        <v>1535</v>
      </c>
      <c r="G406" s="2" t="s">
        <v>294</v>
      </c>
      <c r="H406" s="3">
        <v>40962.061273148145</v>
      </c>
      <c r="L406">
        <f t="shared" si="24"/>
        <v>0</v>
      </c>
      <c r="Q406" t="str">
        <f t="shared" si="25"/>
        <v/>
      </c>
      <c r="R406" t="str">
        <f t="shared" si="26"/>
        <v/>
      </c>
      <c r="S406" t="str">
        <f t="shared" si="27"/>
        <v/>
      </c>
    </row>
    <row r="407" spans="1:19">
      <c r="A407" t="s">
        <v>390</v>
      </c>
      <c r="B407" t="s">
        <v>173</v>
      </c>
      <c r="C407" t="s">
        <v>312</v>
      </c>
      <c r="D407" s="3">
        <v>40962.070555555554</v>
      </c>
      <c r="E407" s="8" t="s">
        <v>391</v>
      </c>
      <c r="F407" s="8" t="s">
        <v>392</v>
      </c>
      <c r="G407" s="4" t="s">
        <v>308</v>
      </c>
      <c r="H407" s="3">
        <v>40963.697881944441</v>
      </c>
      <c r="J407">
        <v>1</v>
      </c>
      <c r="L407">
        <f t="shared" si="24"/>
        <v>1</v>
      </c>
      <c r="Q407" t="str">
        <f t="shared" si="25"/>
        <v/>
      </c>
      <c r="R407" t="str">
        <f t="shared" si="26"/>
        <v>BC,6baefcc,2e8cb00</v>
      </c>
      <c r="S407" t="str">
        <f t="shared" si="27"/>
        <v/>
      </c>
    </row>
    <row r="408" spans="1:19">
      <c r="A408" t="s">
        <v>42</v>
      </c>
      <c r="C408" t="s">
        <v>300</v>
      </c>
      <c r="D408" s="3">
        <v>40965.976307870369</v>
      </c>
      <c r="E408" s="8" t="s">
        <v>43</v>
      </c>
      <c r="F408" s="8" t="s">
        <v>44</v>
      </c>
      <c r="G408" s="2" t="s">
        <v>288</v>
      </c>
      <c r="H408" s="3">
        <v>40966.389861111114</v>
      </c>
      <c r="L408">
        <f t="shared" si="24"/>
        <v>0</v>
      </c>
      <c r="Q408" t="str">
        <f t="shared" si="25"/>
        <v/>
      </c>
      <c r="R408" t="str">
        <f t="shared" si="26"/>
        <v/>
      </c>
      <c r="S408" t="str">
        <f t="shared" si="27"/>
        <v/>
      </c>
    </row>
    <row r="409" spans="1:19">
      <c r="A409" t="s">
        <v>9</v>
      </c>
      <c r="C409" t="s">
        <v>291</v>
      </c>
      <c r="D409" s="3">
        <v>40967.456180555557</v>
      </c>
      <c r="E409" s="8" t="s">
        <v>10</v>
      </c>
      <c r="F409" s="8" t="s">
        <v>11</v>
      </c>
      <c r="G409" s="2" t="s">
        <v>288</v>
      </c>
      <c r="H409" s="3">
        <v>40967.851574074077</v>
      </c>
      <c r="L409">
        <f t="shared" si="24"/>
        <v>0</v>
      </c>
      <c r="Q409" t="str">
        <f t="shared" si="25"/>
        <v/>
      </c>
      <c r="R409" t="str">
        <f t="shared" si="26"/>
        <v/>
      </c>
      <c r="S409" t="str">
        <f t="shared" si="27"/>
        <v/>
      </c>
    </row>
    <row r="410" spans="1:19">
      <c r="A410" t="s">
        <v>235</v>
      </c>
      <c r="C410" t="s">
        <v>288</v>
      </c>
      <c r="D410" s="3">
        <v>40968.63925925926</v>
      </c>
      <c r="E410" s="8" t="s">
        <v>236</v>
      </c>
      <c r="F410" s="8" t="s">
        <v>237</v>
      </c>
      <c r="G410" s="4" t="s">
        <v>336</v>
      </c>
      <c r="H410" s="3">
        <v>40968.781087962961</v>
      </c>
      <c r="L410">
        <f t="shared" si="24"/>
        <v>0</v>
      </c>
      <c r="Q410" t="str">
        <f t="shared" si="25"/>
        <v/>
      </c>
      <c r="R410" t="str">
        <f t="shared" si="26"/>
        <v/>
      </c>
      <c r="S410" t="str">
        <f t="shared" si="27"/>
        <v/>
      </c>
    </row>
    <row r="411" spans="1:19">
      <c r="A411" t="s">
        <v>89</v>
      </c>
      <c r="C411" t="s">
        <v>288</v>
      </c>
      <c r="D411" s="3">
        <v>40969.92423611111</v>
      </c>
      <c r="E411" s="8" t="s">
        <v>90</v>
      </c>
      <c r="F411" s="8" t="s">
        <v>91</v>
      </c>
      <c r="G411" s="4" t="s">
        <v>336</v>
      </c>
      <c r="H411" s="3">
        <v>40969.927951388891</v>
      </c>
      <c r="L411">
        <f t="shared" si="24"/>
        <v>0</v>
      </c>
      <c r="Q411" t="str">
        <f t="shared" si="25"/>
        <v/>
      </c>
      <c r="R411" t="str">
        <f t="shared" si="26"/>
        <v/>
      </c>
      <c r="S411" t="str">
        <f t="shared" si="27"/>
        <v/>
      </c>
    </row>
    <row r="412" spans="1:19">
      <c r="A412" t="s">
        <v>59</v>
      </c>
      <c r="B412" t="s">
        <v>1137</v>
      </c>
      <c r="C412" s="2" t="s">
        <v>288</v>
      </c>
      <c r="D412" s="3">
        <v>40968.785787037035</v>
      </c>
      <c r="E412" s="8" t="s">
        <v>60</v>
      </c>
      <c r="F412" s="8" t="s">
        <v>61</v>
      </c>
      <c r="G412" s="4" t="s">
        <v>303</v>
      </c>
      <c r="H412" s="3">
        <v>40969.950613425928</v>
      </c>
      <c r="J412">
        <v>1</v>
      </c>
      <c r="L412">
        <f t="shared" si="24"/>
        <v>1</v>
      </c>
      <c r="Q412" t="str">
        <f t="shared" si="25"/>
        <v/>
      </c>
      <c r="R412" t="str">
        <f t="shared" si="26"/>
        <v>BC,7bf8e8e,8b6089b</v>
      </c>
      <c r="S412" t="str">
        <f t="shared" si="27"/>
        <v/>
      </c>
    </row>
    <row r="413" spans="1:19">
      <c r="A413" t="s">
        <v>214</v>
      </c>
      <c r="C413" t="s">
        <v>288</v>
      </c>
      <c r="D413" s="3">
        <v>40969.943564814814</v>
      </c>
      <c r="E413" s="8" t="s">
        <v>215</v>
      </c>
      <c r="F413" s="8" t="s">
        <v>216</v>
      </c>
      <c r="G413" s="2" t="s">
        <v>303</v>
      </c>
      <c r="H413" s="3">
        <v>40970.705590277779</v>
      </c>
      <c r="L413">
        <f t="shared" si="24"/>
        <v>0</v>
      </c>
      <c r="Q413" t="str">
        <f t="shared" si="25"/>
        <v/>
      </c>
      <c r="R413" t="str">
        <f t="shared" si="26"/>
        <v/>
      </c>
      <c r="S413" t="str">
        <f t="shared" si="27"/>
        <v/>
      </c>
    </row>
    <row r="414" spans="1:19">
      <c r="A414" t="s">
        <v>164</v>
      </c>
      <c r="C414" t="s">
        <v>312</v>
      </c>
      <c r="D414" s="3">
        <v>40970.339965277781</v>
      </c>
      <c r="E414" s="8" t="s">
        <v>165</v>
      </c>
      <c r="F414" s="8" t="s">
        <v>166</v>
      </c>
      <c r="G414" s="2" t="s">
        <v>303</v>
      </c>
      <c r="H414" s="3">
        <v>40970.723182870373</v>
      </c>
      <c r="L414">
        <f t="shared" si="24"/>
        <v>0</v>
      </c>
      <c r="Q414" t="str">
        <f t="shared" si="25"/>
        <v/>
      </c>
      <c r="R414" t="str">
        <f t="shared" si="26"/>
        <v/>
      </c>
      <c r="S414" t="str">
        <f t="shared" si="27"/>
        <v/>
      </c>
    </row>
    <row r="415" spans="1:19">
      <c r="A415" t="s">
        <v>148</v>
      </c>
      <c r="C415" t="s">
        <v>288</v>
      </c>
      <c r="D415" s="3">
        <v>40970.751030092593</v>
      </c>
      <c r="E415" s="8" t="s">
        <v>149</v>
      </c>
      <c r="F415" s="8" t="s">
        <v>150</v>
      </c>
      <c r="G415" s="2" t="s">
        <v>289</v>
      </c>
      <c r="H415" s="3">
        <v>40971.477395833332</v>
      </c>
      <c r="L415">
        <f t="shared" si="24"/>
        <v>0</v>
      </c>
      <c r="Q415" t="str">
        <f t="shared" si="25"/>
        <v/>
      </c>
      <c r="R415" t="str">
        <f t="shared" si="26"/>
        <v/>
      </c>
      <c r="S415" t="str">
        <f t="shared" si="27"/>
        <v/>
      </c>
    </row>
    <row r="416" spans="1:19">
      <c r="A416" t="s">
        <v>68</v>
      </c>
      <c r="C416" t="s">
        <v>288</v>
      </c>
      <c r="D416" s="3">
        <v>40973.426365740743</v>
      </c>
      <c r="E416" s="8" t="s">
        <v>69</v>
      </c>
      <c r="F416" s="8" t="s">
        <v>70</v>
      </c>
      <c r="G416" s="2" t="s">
        <v>293</v>
      </c>
      <c r="H416" s="3">
        <v>40973.567881944444</v>
      </c>
      <c r="J416">
        <v>1</v>
      </c>
      <c r="L416">
        <f t="shared" si="24"/>
        <v>1</v>
      </c>
      <c r="Q416" t="str">
        <f t="shared" si="25"/>
        <v/>
      </c>
      <c r="R416" t="str">
        <f t="shared" si="26"/>
        <v>BC,0551c8f,c4dd892</v>
      </c>
      <c r="S416" t="str">
        <f t="shared" si="27"/>
        <v/>
      </c>
    </row>
    <row r="417" spans="1:19">
      <c r="A417" t="s">
        <v>255</v>
      </c>
      <c r="C417" t="s">
        <v>301</v>
      </c>
      <c r="D417" s="3">
        <v>40970.721319444441</v>
      </c>
      <c r="E417" s="8" t="s">
        <v>152</v>
      </c>
      <c r="F417" s="8" t="s">
        <v>256</v>
      </c>
      <c r="G417" s="2" t="s">
        <v>288</v>
      </c>
      <c r="H417" s="3">
        <v>40973.679236111115</v>
      </c>
      <c r="L417">
        <f t="shared" si="24"/>
        <v>0</v>
      </c>
      <c r="Q417" t="str">
        <f t="shared" si="25"/>
        <v/>
      </c>
      <c r="R417" t="str">
        <f t="shared" si="26"/>
        <v/>
      </c>
      <c r="S417" t="str">
        <f t="shared" si="27"/>
        <v/>
      </c>
    </row>
    <row r="418" spans="1:19">
      <c r="A418" t="s">
        <v>151</v>
      </c>
      <c r="C418" t="s">
        <v>301</v>
      </c>
      <c r="D418" s="3">
        <v>40970.721319444441</v>
      </c>
      <c r="E418" s="8" t="s">
        <v>152</v>
      </c>
      <c r="F418" s="8" t="s">
        <v>121</v>
      </c>
      <c r="G418" s="2" t="s">
        <v>288</v>
      </c>
      <c r="H418" s="3">
        <v>40973.827905092592</v>
      </c>
      <c r="I418">
        <v>1</v>
      </c>
      <c r="L418">
        <f t="shared" si="24"/>
        <v>1</v>
      </c>
      <c r="Q418" t="str">
        <f t="shared" si="25"/>
        <v>MC,4535b18,f6ad2e6</v>
      </c>
      <c r="R418" t="str">
        <f t="shared" si="26"/>
        <v/>
      </c>
      <c r="S418" t="str">
        <f t="shared" si="27"/>
        <v/>
      </c>
    </row>
    <row r="419" spans="1:19">
      <c r="A419" t="s">
        <v>119</v>
      </c>
      <c r="C419" t="s">
        <v>288</v>
      </c>
      <c r="D419" s="3">
        <v>40973.812268518515</v>
      </c>
      <c r="E419" s="8" t="s">
        <v>120</v>
      </c>
      <c r="F419" s="8" t="s">
        <v>121</v>
      </c>
      <c r="G419" s="4" t="s">
        <v>336</v>
      </c>
      <c r="H419" s="3">
        <v>40973.827905092592</v>
      </c>
      <c r="I419">
        <v>1</v>
      </c>
      <c r="K419">
        <v>1</v>
      </c>
      <c r="L419">
        <f t="shared" si="24"/>
        <v>2</v>
      </c>
      <c r="Q419" t="str">
        <f t="shared" si="25"/>
        <v>MC,48fc05d,f6ad2e6</v>
      </c>
      <c r="R419" t="str">
        <f t="shared" si="26"/>
        <v/>
      </c>
      <c r="S419" t="str">
        <f t="shared" si="27"/>
        <v>TC,48fc05d,f6ad2e6</v>
      </c>
    </row>
    <row r="420" spans="1:19">
      <c r="A420" t="s">
        <v>0</v>
      </c>
      <c r="C420" t="s">
        <v>288</v>
      </c>
      <c r="D420" s="3">
        <v>40977.926585648151</v>
      </c>
      <c r="E420" s="8" t="s">
        <v>1</v>
      </c>
      <c r="F420" s="8" t="s">
        <v>2</v>
      </c>
      <c r="G420" s="4" t="s">
        <v>336</v>
      </c>
      <c r="H420" s="3">
        <v>40980.430520833332</v>
      </c>
      <c r="I420">
        <v>1</v>
      </c>
      <c r="L420">
        <f t="shared" si="24"/>
        <v>1</v>
      </c>
      <c r="Q420" t="str">
        <f t="shared" si="25"/>
        <v>MC,f5e2f19,e59fdcf</v>
      </c>
      <c r="R420" t="str">
        <f t="shared" si="26"/>
        <v/>
      </c>
      <c r="S420" t="str">
        <f t="shared" si="27"/>
        <v/>
      </c>
    </row>
    <row r="421" spans="1:19">
      <c r="A421" t="s">
        <v>247</v>
      </c>
      <c r="C421" t="s">
        <v>288</v>
      </c>
      <c r="D421" s="3">
        <v>40978.484120370369</v>
      </c>
      <c r="E421" s="8" t="s">
        <v>248</v>
      </c>
      <c r="F421" s="8" t="s">
        <v>249</v>
      </c>
      <c r="G421" s="2" t="s">
        <v>321</v>
      </c>
      <c r="H421" s="3">
        <v>40981.438090277778</v>
      </c>
      <c r="L421">
        <f t="shared" si="24"/>
        <v>0</v>
      </c>
      <c r="Q421" t="str">
        <f t="shared" si="25"/>
        <v/>
      </c>
      <c r="R421" t="str">
        <f t="shared" si="26"/>
        <v/>
      </c>
      <c r="S421" t="str">
        <f t="shared" si="27"/>
        <v/>
      </c>
    </row>
    <row r="422" spans="1:19">
      <c r="A422" t="s">
        <v>71</v>
      </c>
      <c r="C422" t="s">
        <v>305</v>
      </c>
      <c r="D422" s="3">
        <v>40953.622430555559</v>
      </c>
      <c r="E422" s="8" t="s">
        <v>72</v>
      </c>
      <c r="F422" s="8" t="s">
        <v>73</v>
      </c>
      <c r="G422" s="2" t="s">
        <v>300</v>
      </c>
      <c r="H422" s="3">
        <v>40982.02652777778</v>
      </c>
      <c r="J422">
        <v>1</v>
      </c>
      <c r="L422">
        <f t="shared" si="24"/>
        <v>1</v>
      </c>
      <c r="Q422" t="str">
        <f t="shared" si="25"/>
        <v/>
      </c>
      <c r="R422" t="str">
        <f t="shared" si="26"/>
        <v>BC,8fff337,e708c4e</v>
      </c>
      <c r="S422" t="str">
        <f t="shared" si="27"/>
        <v/>
      </c>
    </row>
    <row r="423" spans="1:19">
      <c r="A423" t="s">
        <v>191</v>
      </c>
      <c r="C423" t="s">
        <v>316</v>
      </c>
      <c r="D423" s="3">
        <v>40977.490439814814</v>
      </c>
      <c r="E423" s="8" t="s">
        <v>192</v>
      </c>
      <c r="F423" s="8" t="s">
        <v>193</v>
      </c>
      <c r="G423" s="2" t="s">
        <v>295</v>
      </c>
      <c r="H423" s="3">
        <v>40982.525682870371</v>
      </c>
      <c r="L423">
        <f t="shared" si="24"/>
        <v>0</v>
      </c>
      <c r="Q423" t="str">
        <f t="shared" si="25"/>
        <v/>
      </c>
      <c r="R423" t="str">
        <f t="shared" si="26"/>
        <v/>
      </c>
      <c r="S423" t="str">
        <f t="shared" si="27"/>
        <v/>
      </c>
    </row>
    <row r="424" spans="1:19">
      <c r="A424" t="s">
        <v>268</v>
      </c>
      <c r="B424" t="s">
        <v>793</v>
      </c>
      <c r="C424" t="s">
        <v>288</v>
      </c>
      <c r="D424" s="3">
        <v>40983.66369212963</v>
      </c>
      <c r="E424" s="8" t="s">
        <v>269</v>
      </c>
      <c r="F424" s="8" t="s">
        <v>270</v>
      </c>
      <c r="G424" s="4" t="s">
        <v>290</v>
      </c>
      <c r="H424" s="3">
        <v>40983.779629629629</v>
      </c>
      <c r="L424">
        <f t="shared" si="24"/>
        <v>0</v>
      </c>
      <c r="Q424" t="str">
        <f t="shared" si="25"/>
        <v/>
      </c>
      <c r="R424" t="str">
        <f t="shared" si="26"/>
        <v/>
      </c>
      <c r="S424" t="str">
        <f t="shared" si="27"/>
        <v/>
      </c>
    </row>
    <row r="425" spans="1:19">
      <c r="A425" t="s">
        <v>74</v>
      </c>
      <c r="B425" t="s">
        <v>337</v>
      </c>
      <c r="C425" t="s">
        <v>289</v>
      </c>
      <c r="D425" s="3">
        <v>40987.040300925924</v>
      </c>
      <c r="E425" s="8" t="s">
        <v>75</v>
      </c>
      <c r="F425" s="8" t="s">
        <v>76</v>
      </c>
      <c r="G425" s="4" t="s">
        <v>288</v>
      </c>
      <c r="H425" s="3">
        <v>40987.399456018517</v>
      </c>
      <c r="L425">
        <f t="shared" si="24"/>
        <v>0</v>
      </c>
      <c r="Q425" t="str">
        <f t="shared" si="25"/>
        <v/>
      </c>
      <c r="R425" t="str">
        <f t="shared" si="26"/>
        <v/>
      </c>
      <c r="S425" t="str">
        <f t="shared" si="27"/>
        <v/>
      </c>
    </row>
    <row r="426" spans="1:19">
      <c r="A426" t="s">
        <v>238</v>
      </c>
      <c r="C426" t="s">
        <v>320</v>
      </c>
      <c r="D426" s="3">
        <v>40989.593599537038</v>
      </c>
      <c r="E426" s="8" t="s">
        <v>239</v>
      </c>
      <c r="F426" s="8" t="s">
        <v>240</v>
      </c>
      <c r="G426" s="2" t="s">
        <v>289</v>
      </c>
      <c r="H426" s="3">
        <v>40989.837048611109</v>
      </c>
      <c r="L426">
        <f t="shared" si="24"/>
        <v>0</v>
      </c>
      <c r="Q426" t="str">
        <f t="shared" si="25"/>
        <v/>
      </c>
      <c r="R426" t="str">
        <f t="shared" si="26"/>
        <v/>
      </c>
      <c r="S426" t="str">
        <f t="shared" si="27"/>
        <v/>
      </c>
    </row>
    <row r="427" spans="1:19">
      <c r="A427" t="s">
        <v>194</v>
      </c>
      <c r="C427" t="s">
        <v>288</v>
      </c>
      <c r="D427" s="3">
        <v>40990.456701388888</v>
      </c>
      <c r="E427" s="8" t="s">
        <v>195</v>
      </c>
      <c r="F427" s="8" t="s">
        <v>196</v>
      </c>
      <c r="G427" s="2" t="s">
        <v>315</v>
      </c>
      <c r="H427" s="3">
        <v>40990.819456018522</v>
      </c>
      <c r="L427">
        <f t="shared" si="24"/>
        <v>0</v>
      </c>
      <c r="Q427" t="str">
        <f t="shared" si="25"/>
        <v/>
      </c>
      <c r="R427" t="str">
        <f t="shared" si="26"/>
        <v/>
      </c>
      <c r="S427" t="str">
        <f t="shared" si="27"/>
        <v/>
      </c>
    </row>
    <row r="428" spans="1:19">
      <c r="A428" t="s">
        <v>271</v>
      </c>
      <c r="C428" t="s">
        <v>288</v>
      </c>
      <c r="D428" s="3">
        <v>40994.488946759258</v>
      </c>
      <c r="E428" s="8" t="s">
        <v>272</v>
      </c>
      <c r="F428" s="8" t="s">
        <v>273</v>
      </c>
      <c r="G428" s="4" t="s">
        <v>324</v>
      </c>
      <c r="H428" s="3">
        <v>40994.513090277775</v>
      </c>
      <c r="L428">
        <f t="shared" si="24"/>
        <v>0</v>
      </c>
      <c r="Q428" t="str">
        <f t="shared" si="25"/>
        <v/>
      </c>
      <c r="R428" t="str">
        <f t="shared" si="26"/>
        <v/>
      </c>
      <c r="S428" t="str">
        <f t="shared" si="27"/>
        <v/>
      </c>
    </row>
    <row r="429" spans="1:19">
      <c r="A429" t="s">
        <v>142</v>
      </c>
      <c r="C429" t="s">
        <v>288</v>
      </c>
      <c r="D429" s="3">
        <v>40994.488900462966</v>
      </c>
      <c r="E429" s="8" t="s">
        <v>143</v>
      </c>
      <c r="F429" s="8" t="s">
        <v>144</v>
      </c>
      <c r="G429" s="2" t="s">
        <v>314</v>
      </c>
      <c r="H429" s="3">
        <v>40994.649641203701</v>
      </c>
      <c r="K429">
        <v>1</v>
      </c>
      <c r="L429">
        <f t="shared" si="24"/>
        <v>1</v>
      </c>
      <c r="Q429" t="str">
        <f t="shared" si="25"/>
        <v/>
      </c>
      <c r="R429" t="str">
        <f t="shared" si="26"/>
        <v/>
      </c>
      <c r="S429" t="str">
        <f t="shared" si="27"/>
        <v>TC,4c53f02,0b9fc0d</v>
      </c>
    </row>
    <row r="430" spans="1:19">
      <c r="A430" t="s">
        <v>182</v>
      </c>
      <c r="C430" t="s">
        <v>294</v>
      </c>
      <c r="D430" s="3">
        <v>40988.062349537038</v>
      </c>
      <c r="E430" s="8" t="s">
        <v>183</v>
      </c>
      <c r="F430" s="8" t="s">
        <v>184</v>
      </c>
      <c r="G430" s="4" t="s">
        <v>288</v>
      </c>
      <c r="H430" s="3">
        <v>40995.789907407408</v>
      </c>
      <c r="K430">
        <v>1</v>
      </c>
      <c r="L430">
        <f t="shared" si="24"/>
        <v>1</v>
      </c>
      <c r="Q430" t="str">
        <f t="shared" si="25"/>
        <v/>
      </c>
      <c r="R430" t="str">
        <f t="shared" si="26"/>
        <v/>
      </c>
      <c r="S430" t="str">
        <f t="shared" si="27"/>
        <v>TC,ff4b025,5a2d5eb</v>
      </c>
    </row>
    <row r="431" spans="1:19">
      <c r="A431" t="s">
        <v>277</v>
      </c>
      <c r="B431" t="s">
        <v>386</v>
      </c>
      <c r="C431" s="2" t="s">
        <v>315</v>
      </c>
      <c r="D431" s="3">
        <v>40995.917870370373</v>
      </c>
      <c r="E431" s="8" t="s">
        <v>278</v>
      </c>
      <c r="F431" s="8" t="s">
        <v>279</v>
      </c>
      <c r="G431" s="4" t="s">
        <v>300</v>
      </c>
      <c r="H431" s="3">
        <v>40997.352870370371</v>
      </c>
      <c r="J431">
        <v>1</v>
      </c>
      <c r="L431">
        <f t="shared" si="24"/>
        <v>1</v>
      </c>
      <c r="Q431" t="str">
        <f t="shared" si="25"/>
        <v/>
      </c>
      <c r="R431" t="str">
        <f t="shared" si="26"/>
        <v>BC,07b3f2c,51f1c0b</v>
      </c>
      <c r="S431" t="str">
        <f t="shared" si="27"/>
        <v/>
      </c>
    </row>
    <row r="432" spans="1:19">
      <c r="A432" t="s">
        <v>257</v>
      </c>
      <c r="C432" t="s">
        <v>303</v>
      </c>
      <c r="D432" s="3">
        <v>40995.717048611114</v>
      </c>
      <c r="E432" s="8">
        <v>2453985</v>
      </c>
      <c r="F432" s="8" t="s">
        <v>258</v>
      </c>
      <c r="G432" s="2" t="s">
        <v>295</v>
      </c>
      <c r="H432" s="3">
        <v>40997.409849537034</v>
      </c>
      <c r="L432">
        <f t="shared" si="24"/>
        <v>0</v>
      </c>
      <c r="Q432" t="str">
        <f t="shared" si="25"/>
        <v/>
      </c>
      <c r="R432" t="str">
        <f t="shared" si="26"/>
        <v/>
      </c>
      <c r="S432" t="str">
        <f t="shared" si="27"/>
        <v/>
      </c>
    </row>
    <row r="433" spans="1:19">
      <c r="A433" t="s">
        <v>122</v>
      </c>
      <c r="C433" t="s">
        <v>289</v>
      </c>
      <c r="D433" s="3">
        <v>40999.883576388886</v>
      </c>
      <c r="E433" s="8" t="s">
        <v>123</v>
      </c>
      <c r="F433" s="8" t="s">
        <v>124</v>
      </c>
      <c r="G433" s="2" t="s">
        <v>304</v>
      </c>
      <c r="H433" s="3">
        <v>40999.972430555557</v>
      </c>
      <c r="L433">
        <f t="shared" si="24"/>
        <v>0</v>
      </c>
      <c r="Q433" t="str">
        <f t="shared" si="25"/>
        <v/>
      </c>
      <c r="R433" t="str">
        <f t="shared" si="26"/>
        <v/>
      </c>
      <c r="S433" t="str">
        <f t="shared" si="27"/>
        <v/>
      </c>
    </row>
    <row r="434" spans="1:19">
      <c r="A434" t="s">
        <v>18</v>
      </c>
      <c r="C434" t="s">
        <v>288</v>
      </c>
      <c r="D434" s="3">
        <v>41000.389363425929</v>
      </c>
      <c r="E434" s="8" t="s">
        <v>19</v>
      </c>
      <c r="F434" s="8" t="s">
        <v>20</v>
      </c>
      <c r="G434" s="2" t="s">
        <v>291</v>
      </c>
      <c r="H434" s="3">
        <v>41000.882893518516</v>
      </c>
      <c r="I434">
        <v>1</v>
      </c>
      <c r="L434">
        <f t="shared" si="24"/>
        <v>1</v>
      </c>
      <c r="Q434" t="str">
        <f t="shared" si="25"/>
        <v>MC,85e1330,19865f3</v>
      </c>
      <c r="R434" t="str">
        <f t="shared" si="26"/>
        <v/>
      </c>
      <c r="S434" t="str">
        <f t="shared" si="27"/>
        <v/>
      </c>
    </row>
    <row r="435" spans="1:19">
      <c r="A435" t="s">
        <v>12</v>
      </c>
      <c r="B435" t="s">
        <v>1128</v>
      </c>
      <c r="C435" t="s">
        <v>288</v>
      </c>
      <c r="D435" s="3">
        <v>41001.489571759259</v>
      </c>
      <c r="E435" s="8" t="s">
        <v>13</v>
      </c>
      <c r="F435" s="8" t="s">
        <v>14</v>
      </c>
      <c r="G435" s="4" t="s">
        <v>291</v>
      </c>
      <c r="H435" s="3">
        <v>41001.499398148146</v>
      </c>
      <c r="L435">
        <f t="shared" si="24"/>
        <v>0</v>
      </c>
      <c r="Q435" t="str">
        <f t="shared" si="25"/>
        <v/>
      </c>
      <c r="R435" t="str">
        <f t="shared" si="26"/>
        <v/>
      </c>
      <c r="S435" t="str">
        <f t="shared" si="27"/>
        <v/>
      </c>
    </row>
    <row r="436" spans="1:19">
      <c r="A436" t="s">
        <v>21</v>
      </c>
      <c r="C436" t="s">
        <v>288</v>
      </c>
      <c r="D436" s="3">
        <v>40994.45516203704</v>
      </c>
      <c r="E436" s="8" t="s">
        <v>22</v>
      </c>
      <c r="F436" s="8" t="s">
        <v>23</v>
      </c>
      <c r="G436" s="2" t="s">
        <v>293</v>
      </c>
      <c r="H436" s="3">
        <v>41005.584062499998</v>
      </c>
      <c r="L436">
        <f t="shared" si="24"/>
        <v>0</v>
      </c>
      <c r="Q436" t="str">
        <f t="shared" si="25"/>
        <v/>
      </c>
      <c r="R436" t="str">
        <f t="shared" si="26"/>
        <v/>
      </c>
      <c r="S436" t="str">
        <f t="shared" si="27"/>
        <v/>
      </c>
    </row>
    <row r="437" spans="1:19">
      <c r="A437" t="s">
        <v>259</v>
      </c>
      <c r="B437" t="s">
        <v>119</v>
      </c>
      <c r="C437" t="s">
        <v>288</v>
      </c>
      <c r="D437" s="3">
        <v>41005.688888888886</v>
      </c>
      <c r="E437" s="8">
        <v>5432576</v>
      </c>
      <c r="F437" s="8" t="s">
        <v>260</v>
      </c>
      <c r="G437" s="4" t="s">
        <v>323</v>
      </c>
      <c r="H437" s="3">
        <v>41007.128611111111</v>
      </c>
      <c r="L437">
        <f t="shared" si="24"/>
        <v>0</v>
      </c>
      <c r="Q437" t="str">
        <f t="shared" si="25"/>
        <v/>
      </c>
      <c r="R437" t="str">
        <f t="shared" si="26"/>
        <v/>
      </c>
      <c r="S437" t="str">
        <f t="shared" si="27"/>
        <v/>
      </c>
    </row>
    <row r="438" spans="1:19">
      <c r="A438" t="s">
        <v>261</v>
      </c>
      <c r="B438" t="s">
        <v>205</v>
      </c>
      <c r="C438" t="s">
        <v>293</v>
      </c>
      <c r="D438" s="3">
        <v>41007.437326388892</v>
      </c>
      <c r="E438" s="8" t="s">
        <v>262</v>
      </c>
      <c r="F438" s="8" t="s">
        <v>263</v>
      </c>
      <c r="G438" s="4" t="s">
        <v>336</v>
      </c>
      <c r="H438" s="3">
        <v>41008.398865740739</v>
      </c>
      <c r="L438">
        <f t="shared" si="24"/>
        <v>0</v>
      </c>
      <c r="Q438" t="str">
        <f t="shared" si="25"/>
        <v/>
      </c>
      <c r="R438" t="str">
        <f t="shared" si="26"/>
        <v/>
      </c>
      <c r="S438" t="str">
        <f t="shared" si="27"/>
        <v/>
      </c>
    </row>
    <row r="439" spans="1:19">
      <c r="A439" t="s">
        <v>125</v>
      </c>
      <c r="C439" t="s">
        <v>288</v>
      </c>
      <c r="D439" s="3">
        <v>41008.398912037039</v>
      </c>
      <c r="E439" s="8" t="s">
        <v>126</v>
      </c>
      <c r="F439" s="8" t="s">
        <v>127</v>
      </c>
      <c r="G439" s="4" t="s">
        <v>336</v>
      </c>
      <c r="H439" s="3">
        <v>41009.889374999999</v>
      </c>
      <c r="K439">
        <v>1</v>
      </c>
      <c r="L439">
        <f t="shared" si="24"/>
        <v>1</v>
      </c>
      <c r="Q439" t="str">
        <f t="shared" si="25"/>
        <v/>
      </c>
      <c r="R439" t="str">
        <f t="shared" si="26"/>
        <v/>
      </c>
      <c r="S439" t="str">
        <f t="shared" si="27"/>
        <v>TC,e4244cc,2df71d0</v>
      </c>
    </row>
    <row r="440" spans="1:19">
      <c r="A440" t="s">
        <v>197</v>
      </c>
      <c r="C440" t="s">
        <v>289</v>
      </c>
      <c r="D440" s="3">
        <v>41011.868668981479</v>
      </c>
      <c r="E440" s="8" t="s">
        <v>198</v>
      </c>
      <c r="F440" s="8" t="s">
        <v>199</v>
      </c>
      <c r="G440" s="2" t="s">
        <v>317</v>
      </c>
      <c r="H440" s="3">
        <v>41011.949016203704</v>
      </c>
      <c r="L440">
        <f t="shared" si="24"/>
        <v>0</v>
      </c>
      <c r="Q440" t="str">
        <f t="shared" si="25"/>
        <v/>
      </c>
      <c r="R440" t="str">
        <f t="shared" si="26"/>
        <v/>
      </c>
      <c r="S440" t="str">
        <f t="shared" si="27"/>
        <v/>
      </c>
    </row>
    <row r="441" spans="1:19">
      <c r="A441" t="s">
        <v>283</v>
      </c>
      <c r="B441" t="s">
        <v>1551</v>
      </c>
      <c r="C441" s="2" t="s">
        <v>325</v>
      </c>
      <c r="D441" s="3">
        <v>41002.908020833333</v>
      </c>
      <c r="E441" s="8" t="s">
        <v>284</v>
      </c>
      <c r="F441" s="8" t="s">
        <v>285</v>
      </c>
      <c r="G441" s="4" t="s">
        <v>300</v>
      </c>
      <c r="H441" s="3">
        <v>41013.533113425925</v>
      </c>
      <c r="J441">
        <v>1</v>
      </c>
      <c r="L441">
        <f t="shared" si="24"/>
        <v>1</v>
      </c>
      <c r="Q441" t="str">
        <f t="shared" si="25"/>
        <v/>
      </c>
      <c r="R441" t="str">
        <f t="shared" si="26"/>
        <v>BC,5a0f1aa,f0130bf</v>
      </c>
      <c r="S441" t="str">
        <f t="shared" si="27"/>
        <v/>
      </c>
    </row>
    <row r="442" spans="1:19">
      <c r="A442" t="s">
        <v>185</v>
      </c>
      <c r="C442" t="s">
        <v>288</v>
      </c>
      <c r="D442" s="3">
        <v>41013.316203703704</v>
      </c>
      <c r="E442" s="8" t="s">
        <v>186</v>
      </c>
      <c r="F442" s="8" t="s">
        <v>187</v>
      </c>
      <c r="G442" s="2" t="s">
        <v>315</v>
      </c>
      <c r="H442" s="3">
        <v>41013.903298611112</v>
      </c>
      <c r="L442">
        <f t="shared" si="24"/>
        <v>0</v>
      </c>
      <c r="Q442" t="str">
        <f t="shared" si="25"/>
        <v/>
      </c>
      <c r="R442" t="str">
        <f t="shared" si="26"/>
        <v/>
      </c>
      <c r="S442" t="str">
        <f t="shared" si="27"/>
        <v/>
      </c>
    </row>
    <row r="443" spans="1:19">
      <c r="A443" t="s">
        <v>50</v>
      </c>
      <c r="B443" t="s">
        <v>664</v>
      </c>
      <c r="C443" t="s">
        <v>288</v>
      </c>
      <c r="D443" s="3">
        <v>41013.918530092589</v>
      </c>
      <c r="E443" s="8" t="s">
        <v>51</v>
      </c>
      <c r="F443" s="8" t="s">
        <v>52</v>
      </c>
      <c r="G443" s="4" t="s">
        <v>300</v>
      </c>
      <c r="H443" s="3">
        <v>41013.952800925923</v>
      </c>
      <c r="L443">
        <f t="shared" si="24"/>
        <v>0</v>
      </c>
      <c r="Q443" t="str">
        <f t="shared" si="25"/>
        <v/>
      </c>
      <c r="R443" t="str">
        <f t="shared" si="26"/>
        <v/>
      </c>
      <c r="S443" t="str">
        <f t="shared" si="27"/>
        <v/>
      </c>
    </row>
    <row r="444" spans="1:19">
      <c r="A444" t="s">
        <v>24</v>
      </c>
      <c r="C444" t="s">
        <v>294</v>
      </c>
      <c r="D444" s="3">
        <v>41008.994780092595</v>
      </c>
      <c r="E444" s="8" t="s">
        <v>25</v>
      </c>
      <c r="F444" s="8" t="s">
        <v>26</v>
      </c>
      <c r="G444" s="2" t="s">
        <v>295</v>
      </c>
      <c r="H444" s="3">
        <v>41015.531782407408</v>
      </c>
      <c r="L444">
        <f t="shared" si="24"/>
        <v>0</v>
      </c>
      <c r="Q444" t="str">
        <f t="shared" si="25"/>
        <v/>
      </c>
      <c r="R444" t="str">
        <f t="shared" si="26"/>
        <v/>
      </c>
      <c r="S444" t="str">
        <f t="shared" si="27"/>
        <v/>
      </c>
    </row>
    <row r="445" spans="1:19">
      <c r="A445" t="s">
        <v>33</v>
      </c>
      <c r="C445" t="s">
        <v>297</v>
      </c>
      <c r="D445" s="3">
        <v>41013.703611111108</v>
      </c>
      <c r="E445" s="8" t="s">
        <v>34</v>
      </c>
      <c r="F445" s="8" t="s">
        <v>35</v>
      </c>
      <c r="G445" s="2" t="s">
        <v>295</v>
      </c>
      <c r="H445" s="3">
        <v>41015.532638888886</v>
      </c>
      <c r="L445">
        <f t="shared" si="24"/>
        <v>0</v>
      </c>
      <c r="Q445" t="str">
        <f t="shared" si="25"/>
        <v/>
      </c>
      <c r="R445" t="str">
        <f t="shared" si="26"/>
        <v/>
      </c>
      <c r="S445" t="str">
        <f t="shared" si="27"/>
        <v/>
      </c>
    </row>
    <row r="446" spans="1:19">
      <c r="A446" t="s">
        <v>103</v>
      </c>
      <c r="C446" t="s">
        <v>289</v>
      </c>
      <c r="D446" s="3">
        <v>41014.992430555554</v>
      </c>
      <c r="E446" s="8" t="s">
        <v>104</v>
      </c>
      <c r="F446" s="8" t="s">
        <v>105</v>
      </c>
      <c r="G446" s="2" t="s">
        <v>295</v>
      </c>
      <c r="H446" s="3">
        <v>41015.533055555556</v>
      </c>
      <c r="L446">
        <f t="shared" si="24"/>
        <v>0</v>
      </c>
      <c r="Q446" t="str">
        <f t="shared" si="25"/>
        <v/>
      </c>
      <c r="R446" t="str">
        <f t="shared" si="26"/>
        <v/>
      </c>
      <c r="S446" t="str">
        <f t="shared" si="27"/>
        <v/>
      </c>
    </row>
    <row r="447" spans="1:19">
      <c r="A447" t="s">
        <v>208</v>
      </c>
      <c r="C447" t="s">
        <v>294</v>
      </c>
      <c r="D447" s="3">
        <v>41009.071956018517</v>
      </c>
      <c r="E447" s="8" t="s">
        <v>209</v>
      </c>
      <c r="F447" s="8" t="s">
        <v>210</v>
      </c>
      <c r="G447" s="2" t="s">
        <v>295</v>
      </c>
      <c r="H447" s="3">
        <v>41015.533391203702</v>
      </c>
      <c r="L447">
        <f t="shared" si="24"/>
        <v>0</v>
      </c>
      <c r="Q447" t="str">
        <f t="shared" si="25"/>
        <v/>
      </c>
      <c r="R447" t="str">
        <f t="shared" si="26"/>
        <v/>
      </c>
      <c r="S447" t="str">
        <f t="shared" si="27"/>
        <v/>
      </c>
    </row>
    <row r="448" spans="1:19">
      <c r="A448" s="1" t="s">
        <v>220</v>
      </c>
      <c r="C448" t="s">
        <v>319</v>
      </c>
      <c r="D448" s="3">
        <v>41015.504791666666</v>
      </c>
      <c r="E448" s="8" t="s">
        <v>221</v>
      </c>
      <c r="F448" s="8" t="s">
        <v>222</v>
      </c>
      <c r="G448" s="2" t="s">
        <v>288</v>
      </c>
      <c r="H448" s="3">
        <v>41015.885127314818</v>
      </c>
      <c r="L448">
        <f t="shared" si="24"/>
        <v>0</v>
      </c>
      <c r="Q448" t="str">
        <f t="shared" si="25"/>
        <v/>
      </c>
      <c r="R448" t="str">
        <f t="shared" si="26"/>
        <v/>
      </c>
      <c r="S448" t="str">
        <f t="shared" si="27"/>
        <v/>
      </c>
    </row>
    <row r="449" spans="1:19">
      <c r="A449" t="s">
        <v>48</v>
      </c>
      <c r="C449" t="s">
        <v>288</v>
      </c>
      <c r="D449" s="3">
        <v>41016.489502314813</v>
      </c>
      <c r="E449" s="8">
        <v>2697474</v>
      </c>
      <c r="F449" s="8" t="s">
        <v>49</v>
      </c>
      <c r="G449" s="2" t="s">
        <v>294</v>
      </c>
      <c r="H449" s="3">
        <v>41018.047233796293</v>
      </c>
      <c r="L449">
        <f t="shared" si="24"/>
        <v>0</v>
      </c>
      <c r="Q449" t="str">
        <f t="shared" si="25"/>
        <v/>
      </c>
      <c r="R449" t="str">
        <f t="shared" si="26"/>
        <v/>
      </c>
      <c r="S449" t="str">
        <f t="shared" si="27"/>
        <v/>
      </c>
    </row>
    <row r="450" spans="1:19">
      <c r="A450" t="s">
        <v>30</v>
      </c>
      <c r="C450" t="s">
        <v>296</v>
      </c>
      <c r="D450" s="3">
        <v>41009.717835648145</v>
      </c>
      <c r="E450" s="8" t="s">
        <v>31</v>
      </c>
      <c r="F450" s="8" t="s">
        <v>32</v>
      </c>
      <c r="G450" s="2" t="s">
        <v>288</v>
      </c>
      <c r="H450" s="3">
        <v>41018.561412037037</v>
      </c>
      <c r="L450">
        <f t="shared" ref="L450:L506" si="28">COUNTA(I450:K450)</f>
        <v>0</v>
      </c>
      <c r="Q450" t="str">
        <f t="shared" si="25"/>
        <v/>
      </c>
      <c r="R450" t="str">
        <f t="shared" si="26"/>
        <v/>
      </c>
      <c r="S450" t="str">
        <f t="shared" si="27"/>
        <v/>
      </c>
    </row>
    <row r="451" spans="1:19">
      <c r="A451" t="s">
        <v>3</v>
      </c>
      <c r="C451" t="s">
        <v>289</v>
      </c>
      <c r="D451" s="3">
        <v>41020.418773148151</v>
      </c>
      <c r="E451" s="8" t="s">
        <v>4</v>
      </c>
      <c r="F451" s="8" t="s">
        <v>5</v>
      </c>
      <c r="G451" s="2" t="s">
        <v>290</v>
      </c>
      <c r="H451" s="3">
        <v>41020.478136574071</v>
      </c>
      <c r="L451">
        <f t="shared" si="28"/>
        <v>0</v>
      </c>
      <c r="Q451" t="str">
        <f t="shared" ref="Q451:Q514" si="29">IF(I451&gt;0,CONCATENATE("MC,",E451,",",F451),"")</f>
        <v/>
      </c>
      <c r="R451" t="str">
        <f t="shared" ref="R451:R514" si="30">IF(J451&gt;0,CONCATENATE("BC,",E451,",",F451),"")</f>
        <v/>
      </c>
      <c r="S451" t="str">
        <f t="shared" ref="S451:S514" si="31">IF(K451&gt;0,CONCATENATE("TC,",E451,",",F451),"")</f>
        <v/>
      </c>
    </row>
    <row r="452" spans="1:19">
      <c r="A452" t="s">
        <v>56</v>
      </c>
      <c r="C452" t="s">
        <v>302</v>
      </c>
      <c r="D452" s="3">
        <v>41022.026180555556</v>
      </c>
      <c r="E452" s="8" t="s">
        <v>57</v>
      </c>
      <c r="F452" s="8" t="s">
        <v>58</v>
      </c>
      <c r="G452" s="2" t="s">
        <v>288</v>
      </c>
      <c r="H452" s="3">
        <v>41022.647592592592</v>
      </c>
      <c r="L452">
        <f t="shared" si="28"/>
        <v>0</v>
      </c>
      <c r="Q452" t="str">
        <f t="shared" si="29"/>
        <v/>
      </c>
      <c r="R452" t="str">
        <f t="shared" si="30"/>
        <v/>
      </c>
      <c r="S452" t="str">
        <f t="shared" si="31"/>
        <v/>
      </c>
    </row>
    <row r="453" spans="1:19">
      <c r="A453" t="s">
        <v>108</v>
      </c>
      <c r="C453" t="s">
        <v>309</v>
      </c>
      <c r="D453" s="3">
        <v>41017.348865740743</v>
      </c>
      <c r="E453" s="8" t="s">
        <v>109</v>
      </c>
      <c r="F453" s="8" t="s">
        <v>110</v>
      </c>
      <c r="G453" s="2" t="s">
        <v>291</v>
      </c>
      <c r="H453" s="3">
        <v>41023.430208333331</v>
      </c>
      <c r="L453">
        <f t="shared" si="28"/>
        <v>0</v>
      </c>
      <c r="Q453" t="str">
        <f t="shared" si="29"/>
        <v/>
      </c>
      <c r="R453" t="str">
        <f t="shared" si="30"/>
        <v/>
      </c>
      <c r="S453" t="str">
        <f t="shared" si="31"/>
        <v/>
      </c>
    </row>
    <row r="454" spans="1:19">
      <c r="A454" t="s">
        <v>179</v>
      </c>
      <c r="C454" t="s">
        <v>301</v>
      </c>
      <c r="D454" s="3">
        <v>40991.378217592595</v>
      </c>
      <c r="E454" s="8" t="s">
        <v>180</v>
      </c>
      <c r="F454" s="8" t="s">
        <v>181</v>
      </c>
      <c r="G454" s="2" t="s">
        <v>290</v>
      </c>
      <c r="H454" s="3">
        <v>41024.399629629632</v>
      </c>
      <c r="L454">
        <f t="shared" si="28"/>
        <v>0</v>
      </c>
      <c r="Q454" t="str">
        <f t="shared" si="29"/>
        <v/>
      </c>
      <c r="R454" t="str">
        <f t="shared" si="30"/>
        <v/>
      </c>
      <c r="S454" t="str">
        <f t="shared" si="31"/>
        <v/>
      </c>
    </row>
    <row r="455" spans="1:19">
      <c r="A455" t="s">
        <v>167</v>
      </c>
      <c r="C455" t="s">
        <v>288</v>
      </c>
      <c r="D455" s="3">
        <v>41024.42292824074</v>
      </c>
      <c r="E455" s="8" t="s">
        <v>168</v>
      </c>
      <c r="F455" s="8" t="s">
        <v>169</v>
      </c>
      <c r="G455" s="4" t="s">
        <v>336</v>
      </c>
      <c r="H455" s="3">
        <v>41024.636770833335</v>
      </c>
      <c r="L455">
        <f t="shared" si="28"/>
        <v>0</v>
      </c>
      <c r="Q455" t="str">
        <f t="shared" si="29"/>
        <v/>
      </c>
      <c r="R455" t="str">
        <f t="shared" si="30"/>
        <v/>
      </c>
      <c r="S455" t="str">
        <f t="shared" si="31"/>
        <v/>
      </c>
    </row>
    <row r="456" spans="1:19">
      <c r="A456" t="s">
        <v>217</v>
      </c>
      <c r="C456" t="s">
        <v>288</v>
      </c>
      <c r="D456" s="3">
        <v>41018.743483796294</v>
      </c>
      <c r="E456" s="8" t="s">
        <v>218</v>
      </c>
      <c r="F456" s="8" t="s">
        <v>219</v>
      </c>
      <c r="G456" s="4" t="s">
        <v>336</v>
      </c>
      <c r="H456" s="3">
        <v>41024.911678240744</v>
      </c>
      <c r="L456">
        <f t="shared" si="28"/>
        <v>0</v>
      </c>
      <c r="Q456" t="str">
        <f t="shared" si="29"/>
        <v/>
      </c>
      <c r="R456" t="str">
        <f t="shared" si="30"/>
        <v/>
      </c>
      <c r="S456" t="str">
        <f t="shared" si="31"/>
        <v/>
      </c>
    </row>
    <row r="457" spans="1:19">
      <c r="A457" t="s">
        <v>244</v>
      </c>
      <c r="C457" t="s">
        <v>296</v>
      </c>
      <c r="D457" s="3">
        <v>41024.824918981481</v>
      </c>
      <c r="E457" s="8" t="s">
        <v>245</v>
      </c>
      <c r="F457" s="8" t="s">
        <v>246</v>
      </c>
      <c r="G457" s="2" t="s">
        <v>288</v>
      </c>
      <c r="H457" s="3">
        <v>41024.956817129627</v>
      </c>
      <c r="K457">
        <v>1</v>
      </c>
      <c r="L457">
        <f t="shared" si="28"/>
        <v>1</v>
      </c>
      <c r="Q457" t="str">
        <f t="shared" si="29"/>
        <v/>
      </c>
      <c r="R457" t="str">
        <f t="shared" si="30"/>
        <v/>
      </c>
      <c r="S457" t="str">
        <f t="shared" si="31"/>
        <v>TC,11c52ee,444ab61</v>
      </c>
    </row>
    <row r="458" spans="1:19">
      <c r="A458" t="s">
        <v>241</v>
      </c>
      <c r="B458" t="s">
        <v>1154</v>
      </c>
      <c r="C458" t="s">
        <v>288</v>
      </c>
      <c r="D458" s="3">
        <v>41026.673356481479</v>
      </c>
      <c r="E458" s="8" t="s">
        <v>242</v>
      </c>
      <c r="F458" s="8" t="s">
        <v>243</v>
      </c>
      <c r="G458" s="4" t="s">
        <v>336</v>
      </c>
      <c r="H458" s="3">
        <v>41029.451331018521</v>
      </c>
      <c r="L458">
        <f t="shared" si="28"/>
        <v>0</v>
      </c>
      <c r="Q458" t="str">
        <f t="shared" si="29"/>
        <v/>
      </c>
      <c r="R458" t="str">
        <f t="shared" si="30"/>
        <v/>
      </c>
      <c r="S458" t="str">
        <f t="shared" si="31"/>
        <v/>
      </c>
    </row>
    <row r="459" spans="1:19">
      <c r="A459" t="s">
        <v>116</v>
      </c>
      <c r="B459" t="s">
        <v>18</v>
      </c>
      <c r="C459" s="2" t="s">
        <v>288</v>
      </c>
      <c r="D459" s="3">
        <v>41029.451365740744</v>
      </c>
      <c r="E459" s="8" t="s">
        <v>117</v>
      </c>
      <c r="F459" s="8" t="s">
        <v>118</v>
      </c>
      <c r="G459" s="4" t="s">
        <v>336</v>
      </c>
      <c r="H459" s="3">
        <v>41029.521354166667</v>
      </c>
      <c r="J459">
        <v>1</v>
      </c>
      <c r="L459">
        <f t="shared" si="28"/>
        <v>1</v>
      </c>
      <c r="Q459" t="str">
        <f t="shared" si="29"/>
        <v/>
      </c>
      <c r="R459" t="str">
        <f t="shared" si="30"/>
        <v>BC,57c788a,7057bd7</v>
      </c>
      <c r="S459" t="str">
        <f t="shared" si="31"/>
        <v/>
      </c>
    </row>
    <row r="460" spans="1:19">
      <c r="A460" t="s">
        <v>39</v>
      </c>
      <c r="C460" t="s">
        <v>299</v>
      </c>
      <c r="D460" s="3">
        <v>41030.390034722222</v>
      </c>
      <c r="E460" s="8" t="s">
        <v>40</v>
      </c>
      <c r="F460" s="8" t="s">
        <v>41</v>
      </c>
      <c r="G460" s="2" t="s">
        <v>298</v>
      </c>
      <c r="H460" s="3">
        <v>41030.405439814815</v>
      </c>
      <c r="L460">
        <f t="shared" si="28"/>
        <v>0</v>
      </c>
      <c r="Q460" t="str">
        <f t="shared" si="29"/>
        <v/>
      </c>
      <c r="R460" t="str">
        <f t="shared" si="30"/>
        <v/>
      </c>
      <c r="S460" t="str">
        <f t="shared" si="31"/>
        <v/>
      </c>
    </row>
    <row r="461" spans="1:19">
      <c r="A461" t="s">
        <v>280</v>
      </c>
      <c r="C461" t="s">
        <v>299</v>
      </c>
      <c r="D461" s="3">
        <v>41030.402141203704</v>
      </c>
      <c r="E461" s="8" t="s">
        <v>281</v>
      </c>
      <c r="F461" s="8" t="s">
        <v>282</v>
      </c>
      <c r="G461" s="2" t="s">
        <v>309</v>
      </c>
      <c r="H461" s="3">
        <v>41030.48777777778</v>
      </c>
      <c r="L461">
        <f t="shared" si="28"/>
        <v>0</v>
      </c>
      <c r="Q461" t="str">
        <f t="shared" si="29"/>
        <v/>
      </c>
      <c r="R461" t="str">
        <f t="shared" si="30"/>
        <v/>
      </c>
      <c r="S461" t="str">
        <f t="shared" si="31"/>
        <v/>
      </c>
    </row>
    <row r="462" spans="1:19">
      <c r="A462" t="s">
        <v>188</v>
      </c>
      <c r="B462" t="s">
        <v>1279</v>
      </c>
      <c r="C462" t="s">
        <v>298</v>
      </c>
      <c r="D462" s="3">
        <v>41032.656666666669</v>
      </c>
      <c r="E462" s="8" t="s">
        <v>189</v>
      </c>
      <c r="F462" s="8" t="s">
        <v>190</v>
      </c>
      <c r="G462" s="4" t="s">
        <v>289</v>
      </c>
      <c r="H462" s="3">
        <v>41032.681574074071</v>
      </c>
      <c r="L462">
        <f t="shared" si="28"/>
        <v>0</v>
      </c>
      <c r="Q462" t="str">
        <f t="shared" si="29"/>
        <v/>
      </c>
      <c r="R462" t="str">
        <f t="shared" si="30"/>
        <v/>
      </c>
      <c r="S462" t="str">
        <f t="shared" si="31"/>
        <v/>
      </c>
    </row>
    <row r="463" spans="1:19">
      <c r="A463" t="s">
        <v>86</v>
      </c>
      <c r="C463" t="s">
        <v>288</v>
      </c>
      <c r="D463" s="3">
        <v>41033.542997685188</v>
      </c>
      <c r="E463" s="8" t="s">
        <v>87</v>
      </c>
      <c r="F463" s="8" t="s">
        <v>88</v>
      </c>
      <c r="G463" s="2" t="s">
        <v>294</v>
      </c>
      <c r="H463" s="3">
        <v>41034.787488425929</v>
      </c>
      <c r="L463">
        <f t="shared" si="28"/>
        <v>0</v>
      </c>
      <c r="Q463" t="str">
        <f t="shared" si="29"/>
        <v/>
      </c>
      <c r="R463" t="str">
        <f t="shared" si="30"/>
        <v/>
      </c>
      <c r="S463" t="str">
        <f t="shared" si="31"/>
        <v/>
      </c>
    </row>
    <row r="464" spans="1:19">
      <c r="A464" t="s">
        <v>162</v>
      </c>
      <c r="C464" t="s">
        <v>315</v>
      </c>
      <c r="D464" s="3">
        <v>41035.727581018517</v>
      </c>
      <c r="E464" s="8" t="s">
        <v>163</v>
      </c>
      <c r="F464" s="8" t="s">
        <v>28</v>
      </c>
      <c r="G464" s="2" t="s">
        <v>289</v>
      </c>
      <c r="H464" s="3">
        <v>41035.764120370368</v>
      </c>
      <c r="L464">
        <f t="shared" si="28"/>
        <v>0</v>
      </c>
      <c r="Q464" t="str">
        <f t="shared" si="29"/>
        <v/>
      </c>
      <c r="R464" t="str">
        <f t="shared" si="30"/>
        <v/>
      </c>
      <c r="S464" t="str">
        <f t="shared" si="31"/>
        <v/>
      </c>
    </row>
    <row r="465" spans="1:19">
      <c r="A465" t="s">
        <v>27</v>
      </c>
      <c r="C465" t="s">
        <v>289</v>
      </c>
      <c r="D465" s="3">
        <v>41035.764120370368</v>
      </c>
      <c r="E465" s="8" t="s">
        <v>28</v>
      </c>
      <c r="F465" s="8" t="s">
        <v>29</v>
      </c>
      <c r="G465" s="2" t="s">
        <v>288</v>
      </c>
      <c r="H465" s="3">
        <v>41036.455879629626</v>
      </c>
      <c r="L465">
        <f t="shared" si="28"/>
        <v>0</v>
      </c>
      <c r="Q465" t="str">
        <f t="shared" si="29"/>
        <v/>
      </c>
      <c r="R465" t="str">
        <f t="shared" si="30"/>
        <v/>
      </c>
      <c r="S465" t="str">
        <f t="shared" si="31"/>
        <v/>
      </c>
    </row>
    <row r="466" spans="1:19">
      <c r="A466" t="s">
        <v>62</v>
      </c>
      <c r="C466" t="s">
        <v>300</v>
      </c>
      <c r="D466" s="3">
        <v>41036.564791666664</v>
      </c>
      <c r="E466" s="8" t="s">
        <v>63</v>
      </c>
      <c r="F466" s="8" t="s">
        <v>64</v>
      </c>
      <c r="G466" s="2" t="s">
        <v>288</v>
      </c>
      <c r="H466" s="3">
        <v>41036.570879629631</v>
      </c>
      <c r="L466">
        <f t="shared" si="28"/>
        <v>0</v>
      </c>
      <c r="Q466" t="str">
        <f t="shared" si="29"/>
        <v/>
      </c>
      <c r="R466" t="str">
        <f t="shared" si="30"/>
        <v/>
      </c>
      <c r="S466" t="str">
        <f t="shared" si="31"/>
        <v/>
      </c>
    </row>
    <row r="467" spans="1:19">
      <c r="A467" t="s">
        <v>153</v>
      </c>
      <c r="C467" t="s">
        <v>288</v>
      </c>
      <c r="D467" s="3">
        <v>41036.571504629632</v>
      </c>
      <c r="E467" s="8" t="s">
        <v>154</v>
      </c>
      <c r="F467" s="8" t="s">
        <v>155</v>
      </c>
      <c r="G467" s="4" t="s">
        <v>336</v>
      </c>
      <c r="H467" s="3">
        <v>41036.729085648149</v>
      </c>
      <c r="L467">
        <f t="shared" si="28"/>
        <v>0</v>
      </c>
      <c r="Q467" t="str">
        <f t="shared" si="29"/>
        <v/>
      </c>
      <c r="R467" t="str">
        <f t="shared" si="30"/>
        <v/>
      </c>
      <c r="S467" t="str">
        <f t="shared" si="31"/>
        <v/>
      </c>
    </row>
    <row r="468" spans="1:19">
      <c r="A468" t="s">
        <v>156</v>
      </c>
      <c r="C468" t="s">
        <v>288</v>
      </c>
      <c r="D468" s="3">
        <v>41036.746203703704</v>
      </c>
      <c r="E468" s="8" t="s">
        <v>157</v>
      </c>
      <c r="F468" s="8" t="s">
        <v>158</v>
      </c>
      <c r="G468" s="2" t="s">
        <v>290</v>
      </c>
      <c r="H468" s="3">
        <v>41036.775995370372</v>
      </c>
      <c r="L468">
        <f t="shared" si="28"/>
        <v>0</v>
      </c>
      <c r="Q468" t="str">
        <f t="shared" si="29"/>
        <v/>
      </c>
      <c r="R468" t="str">
        <f t="shared" si="30"/>
        <v/>
      </c>
      <c r="S468" t="str">
        <f t="shared" si="31"/>
        <v/>
      </c>
    </row>
    <row r="469" spans="1:19">
      <c r="A469" t="s">
        <v>232</v>
      </c>
      <c r="C469" t="s">
        <v>288</v>
      </c>
      <c r="D469" s="3">
        <v>41038.576122685183</v>
      </c>
      <c r="E469" s="8" t="s">
        <v>233</v>
      </c>
      <c r="F469" s="8" t="s">
        <v>234</v>
      </c>
      <c r="G469" s="4" t="s">
        <v>336</v>
      </c>
      <c r="H469" s="3">
        <v>41043.483796296299</v>
      </c>
      <c r="J469">
        <v>1</v>
      </c>
      <c r="L469">
        <f t="shared" si="28"/>
        <v>1</v>
      </c>
      <c r="Q469" t="str">
        <f t="shared" si="29"/>
        <v/>
      </c>
      <c r="R469" t="str">
        <f t="shared" si="30"/>
        <v>BC,f9d8efb,1ccc78b</v>
      </c>
      <c r="S469" t="str">
        <f t="shared" si="31"/>
        <v/>
      </c>
    </row>
    <row r="470" spans="1:19">
      <c r="A470" t="s">
        <v>15</v>
      </c>
      <c r="C470" t="s">
        <v>292</v>
      </c>
      <c r="D470" s="3">
        <v>41037.834131944444</v>
      </c>
      <c r="E470" s="8" t="s">
        <v>16</v>
      </c>
      <c r="F470" s="8" t="s">
        <v>17</v>
      </c>
      <c r="G470" s="2" t="s">
        <v>288</v>
      </c>
      <c r="H470" s="3">
        <v>41043.483831018515</v>
      </c>
      <c r="L470">
        <f t="shared" si="28"/>
        <v>0</v>
      </c>
      <c r="Q470" t="str">
        <f t="shared" si="29"/>
        <v/>
      </c>
      <c r="R470" t="str">
        <f t="shared" si="30"/>
        <v/>
      </c>
      <c r="S470" t="str">
        <f t="shared" si="31"/>
        <v/>
      </c>
    </row>
    <row r="471" spans="1:19">
      <c r="A471" t="s">
        <v>114</v>
      </c>
      <c r="C471" t="s">
        <v>288</v>
      </c>
      <c r="D471" s="3">
        <v>41043.793217592596</v>
      </c>
      <c r="E471" s="8" t="s">
        <v>115</v>
      </c>
      <c r="F471" s="8">
        <v>8833154</v>
      </c>
      <c r="G471" s="4" t="s">
        <v>336</v>
      </c>
      <c r="H471" s="3">
        <v>41044.597060185188</v>
      </c>
      <c r="L471">
        <f t="shared" si="28"/>
        <v>0</v>
      </c>
      <c r="Q471" t="str">
        <f t="shared" si="29"/>
        <v/>
      </c>
      <c r="R471" t="str">
        <f t="shared" si="30"/>
        <v/>
      </c>
      <c r="S471" t="str">
        <f t="shared" si="31"/>
        <v/>
      </c>
    </row>
    <row r="472" spans="1:19">
      <c r="A472" t="s">
        <v>134</v>
      </c>
      <c r="B472" t="s">
        <v>145</v>
      </c>
      <c r="C472" t="s">
        <v>288</v>
      </c>
      <c r="D472" s="3">
        <v>41044.958912037036</v>
      </c>
      <c r="E472" s="8" t="s">
        <v>135</v>
      </c>
      <c r="F472" s="8" t="s">
        <v>136</v>
      </c>
      <c r="G472" s="4" t="s">
        <v>311</v>
      </c>
      <c r="H472" s="3">
        <v>41046.456863425927</v>
      </c>
      <c r="L472">
        <f t="shared" si="28"/>
        <v>0</v>
      </c>
      <c r="Q472" t="str">
        <f t="shared" si="29"/>
        <v/>
      </c>
      <c r="R472" t="str">
        <f t="shared" si="30"/>
        <v/>
      </c>
      <c r="S472" t="str">
        <f t="shared" si="31"/>
        <v/>
      </c>
    </row>
    <row r="473" spans="1:19">
      <c r="A473" t="s">
        <v>137</v>
      </c>
      <c r="C473" t="s">
        <v>312</v>
      </c>
      <c r="D473" s="3">
        <v>41046.04787037037</v>
      </c>
      <c r="E473" s="8">
        <v>4256334</v>
      </c>
      <c r="F473" s="8" t="s">
        <v>138</v>
      </c>
      <c r="G473" s="2" t="s">
        <v>313</v>
      </c>
      <c r="H473" s="3">
        <v>41047.494745370372</v>
      </c>
      <c r="J473">
        <v>1</v>
      </c>
      <c r="L473">
        <f t="shared" si="28"/>
        <v>1</v>
      </c>
      <c r="Q473" t="str">
        <f t="shared" si="29"/>
        <v/>
      </c>
      <c r="R473" t="str">
        <f t="shared" si="30"/>
        <v>BC,4256334,76edfd3</v>
      </c>
      <c r="S473" t="str">
        <f t="shared" si="31"/>
        <v/>
      </c>
    </row>
    <row r="474" spans="1:19">
      <c r="A474" t="s">
        <v>200</v>
      </c>
      <c r="C474" t="s">
        <v>288</v>
      </c>
      <c r="D474" s="3">
        <v>41047.689826388887</v>
      </c>
      <c r="E474" s="8" t="s">
        <v>201</v>
      </c>
      <c r="F474" s="8" t="s">
        <v>202</v>
      </c>
      <c r="G474" s="4" t="s">
        <v>336</v>
      </c>
      <c r="H474" s="3">
        <v>41050.596446759257</v>
      </c>
      <c r="L474">
        <f t="shared" si="28"/>
        <v>0</v>
      </c>
      <c r="Q474" t="str">
        <f t="shared" si="29"/>
        <v/>
      </c>
      <c r="R474" t="str">
        <f t="shared" si="30"/>
        <v/>
      </c>
      <c r="S474" t="str">
        <f t="shared" si="31"/>
        <v/>
      </c>
    </row>
    <row r="475" spans="1:19">
      <c r="A475" t="s">
        <v>266</v>
      </c>
      <c r="C475" t="s">
        <v>288</v>
      </c>
      <c r="D475" s="3">
        <v>41050.596412037034</v>
      </c>
      <c r="E475" s="8">
        <v>1521986</v>
      </c>
      <c r="F475" s="8" t="s">
        <v>267</v>
      </c>
      <c r="G475" s="4" t="s">
        <v>299</v>
      </c>
      <c r="H475" s="3">
        <v>41050.663344907407</v>
      </c>
      <c r="L475">
        <f t="shared" si="28"/>
        <v>0</v>
      </c>
      <c r="Q475" t="str">
        <f t="shared" si="29"/>
        <v/>
      </c>
      <c r="R475" t="str">
        <f t="shared" si="30"/>
        <v/>
      </c>
      <c r="S475" t="str">
        <f t="shared" si="31"/>
        <v/>
      </c>
    </row>
    <row r="476" spans="1:19">
      <c r="A476" t="s">
        <v>159</v>
      </c>
      <c r="C476" t="s">
        <v>288</v>
      </c>
      <c r="D476" s="3">
        <v>41050.746458333335</v>
      </c>
      <c r="E476" s="8" t="s">
        <v>160</v>
      </c>
      <c r="F476" s="8" t="s">
        <v>161</v>
      </c>
      <c r="G476" s="4" t="s">
        <v>336</v>
      </c>
      <c r="H476" s="3">
        <v>41050.752962962964</v>
      </c>
      <c r="J476">
        <v>1</v>
      </c>
      <c r="L476">
        <f t="shared" si="28"/>
        <v>1</v>
      </c>
      <c r="Q476" t="str">
        <f t="shared" si="29"/>
        <v/>
      </c>
      <c r="R476" t="str">
        <f t="shared" si="30"/>
        <v>BC,905a3c9,5753ca5</v>
      </c>
      <c r="S476" t="str">
        <f t="shared" si="31"/>
        <v/>
      </c>
    </row>
    <row r="477" spans="1:19">
      <c r="A477" t="s">
        <v>229</v>
      </c>
      <c r="C477" t="s">
        <v>288</v>
      </c>
      <c r="D477" s="3">
        <v>41050.779849537037</v>
      </c>
      <c r="E477" s="8" t="s">
        <v>230</v>
      </c>
      <c r="F477" s="8" t="s">
        <v>231</v>
      </c>
      <c r="G477" s="2" t="s">
        <v>318</v>
      </c>
      <c r="H477" s="3">
        <v>41051.522604166668</v>
      </c>
      <c r="L477">
        <f t="shared" si="28"/>
        <v>0</v>
      </c>
      <c r="Q477" t="str">
        <f t="shared" si="29"/>
        <v/>
      </c>
      <c r="R477" t="str">
        <f t="shared" si="30"/>
        <v/>
      </c>
      <c r="S477" t="str">
        <f t="shared" si="31"/>
        <v/>
      </c>
    </row>
    <row r="478" spans="1:19">
      <c r="A478" t="s">
        <v>252</v>
      </c>
      <c r="B478" t="s">
        <v>880</v>
      </c>
      <c r="C478" t="s">
        <v>289</v>
      </c>
      <c r="D478" s="3">
        <v>41051.173564814817</v>
      </c>
      <c r="E478" s="8" t="s">
        <v>253</v>
      </c>
      <c r="F478" s="8" t="s">
        <v>254</v>
      </c>
      <c r="G478" s="4" t="s">
        <v>322</v>
      </c>
      <c r="H478" s="3">
        <v>41051.552407407406</v>
      </c>
      <c r="L478">
        <f t="shared" si="28"/>
        <v>0</v>
      </c>
      <c r="Q478" t="str">
        <f t="shared" si="29"/>
        <v/>
      </c>
      <c r="R478" t="str">
        <f t="shared" si="30"/>
        <v/>
      </c>
      <c r="S478" t="str">
        <f t="shared" si="31"/>
        <v/>
      </c>
    </row>
    <row r="479" spans="1:19">
      <c r="A479" t="s">
        <v>170</v>
      </c>
      <c r="B479" t="s">
        <v>537</v>
      </c>
      <c r="C479" t="s">
        <v>288</v>
      </c>
      <c r="D479" s="3">
        <v>41051.689976851849</v>
      </c>
      <c r="E479" s="8" t="s">
        <v>171</v>
      </c>
      <c r="F479" s="8" t="s">
        <v>172</v>
      </c>
      <c r="G479" s="4" t="s">
        <v>336</v>
      </c>
      <c r="H479" s="3">
        <v>41051.702430555553</v>
      </c>
      <c r="L479">
        <f t="shared" si="28"/>
        <v>0</v>
      </c>
      <c r="Q479" t="str">
        <f t="shared" si="29"/>
        <v/>
      </c>
      <c r="R479" t="str">
        <f t="shared" si="30"/>
        <v/>
      </c>
      <c r="S479" t="str">
        <f t="shared" si="31"/>
        <v/>
      </c>
    </row>
    <row r="480" spans="1:19">
      <c r="A480" t="s">
        <v>176</v>
      </c>
      <c r="C480" t="s">
        <v>288</v>
      </c>
      <c r="D480" s="3">
        <v>41051.780381944445</v>
      </c>
      <c r="E480" s="8" t="s">
        <v>177</v>
      </c>
      <c r="F480" s="8" t="s">
        <v>178</v>
      </c>
      <c r="G480" s="4" t="s">
        <v>336</v>
      </c>
      <c r="H480" s="3">
        <v>41052.723703703705</v>
      </c>
      <c r="L480">
        <f t="shared" si="28"/>
        <v>0</v>
      </c>
      <c r="Q480" t="str">
        <f t="shared" si="29"/>
        <v/>
      </c>
      <c r="R480" t="str">
        <f t="shared" si="30"/>
        <v/>
      </c>
      <c r="S480" t="str">
        <f t="shared" si="31"/>
        <v/>
      </c>
    </row>
    <row r="481" spans="1:19">
      <c r="A481" t="s">
        <v>131</v>
      </c>
      <c r="B481" t="s">
        <v>1026</v>
      </c>
      <c r="C481" t="s">
        <v>310</v>
      </c>
      <c r="D481" s="3">
        <v>41052.743437500001</v>
      </c>
      <c r="E481" s="8" t="s">
        <v>132</v>
      </c>
      <c r="F481" s="8" t="s">
        <v>133</v>
      </c>
      <c r="G481" s="4" t="s">
        <v>288</v>
      </c>
      <c r="H481" s="3">
        <v>41052.841643518521</v>
      </c>
      <c r="L481">
        <f t="shared" si="28"/>
        <v>0</v>
      </c>
      <c r="Q481" t="str">
        <f t="shared" si="29"/>
        <v/>
      </c>
      <c r="R481" t="str">
        <f t="shared" si="30"/>
        <v/>
      </c>
      <c r="S481" t="str">
        <f t="shared" si="31"/>
        <v/>
      </c>
    </row>
    <row r="482" spans="1:19">
      <c r="A482" t="s">
        <v>211</v>
      </c>
      <c r="C482" t="s">
        <v>318</v>
      </c>
      <c r="D482" s="3">
        <v>41053.471215277779</v>
      </c>
      <c r="E482" s="8" t="s">
        <v>212</v>
      </c>
      <c r="F482" s="8" t="s">
        <v>213</v>
      </c>
      <c r="G482" s="2" t="s">
        <v>288</v>
      </c>
      <c r="H482" s="3">
        <v>41053.833101851851</v>
      </c>
      <c r="L482">
        <f t="shared" si="28"/>
        <v>0</v>
      </c>
      <c r="Q482" t="str">
        <f t="shared" si="29"/>
        <v/>
      </c>
      <c r="R482" t="str">
        <f t="shared" si="30"/>
        <v/>
      </c>
      <c r="S482" t="str">
        <f t="shared" si="31"/>
        <v/>
      </c>
    </row>
    <row r="483" spans="1:19">
      <c r="A483" t="s">
        <v>106</v>
      </c>
      <c r="C483" t="s">
        <v>298</v>
      </c>
      <c r="D483" s="3">
        <v>41057.358819444446</v>
      </c>
      <c r="E483" s="8" t="s">
        <v>37</v>
      </c>
      <c r="F483" s="8" t="s">
        <v>107</v>
      </c>
      <c r="G483" s="2" t="s">
        <v>288</v>
      </c>
      <c r="H483" s="3">
        <v>41057.82540509259</v>
      </c>
      <c r="L483">
        <f t="shared" si="28"/>
        <v>0</v>
      </c>
      <c r="Q483" t="str">
        <f t="shared" si="29"/>
        <v/>
      </c>
      <c r="R483" t="str">
        <f t="shared" si="30"/>
        <v/>
      </c>
      <c r="S483" t="str">
        <f t="shared" si="31"/>
        <v/>
      </c>
    </row>
    <row r="484" spans="1:19">
      <c r="A484" t="s">
        <v>36</v>
      </c>
      <c r="C484" t="s">
        <v>298</v>
      </c>
      <c r="D484" s="3">
        <v>41057.358819444446</v>
      </c>
      <c r="E484" s="8" t="s">
        <v>37</v>
      </c>
      <c r="F484" s="8" t="s">
        <v>38</v>
      </c>
      <c r="G484" s="2" t="s">
        <v>288</v>
      </c>
      <c r="H484" s="3">
        <v>41058.488634259258</v>
      </c>
      <c r="L484">
        <f t="shared" si="28"/>
        <v>0</v>
      </c>
      <c r="Q484" t="str">
        <f t="shared" si="29"/>
        <v/>
      </c>
      <c r="R484" t="str">
        <f t="shared" si="30"/>
        <v/>
      </c>
      <c r="S484" t="str">
        <f t="shared" si="31"/>
        <v/>
      </c>
    </row>
    <row r="485" spans="1:19">
      <c r="A485" t="s">
        <v>274</v>
      </c>
      <c r="B485" t="s">
        <v>422</v>
      </c>
      <c r="C485" t="s">
        <v>288</v>
      </c>
      <c r="D485" s="3">
        <v>41058.74359953704</v>
      </c>
      <c r="E485" s="8" t="s">
        <v>275</v>
      </c>
      <c r="F485" s="8" t="s">
        <v>276</v>
      </c>
      <c r="G485" s="4" t="s">
        <v>336</v>
      </c>
      <c r="H485" s="3">
        <v>41058.810219907406</v>
      </c>
      <c r="L485">
        <f t="shared" si="28"/>
        <v>0</v>
      </c>
      <c r="Q485" t="str">
        <f t="shared" si="29"/>
        <v/>
      </c>
      <c r="R485" t="str">
        <f t="shared" si="30"/>
        <v/>
      </c>
      <c r="S485" t="str">
        <f t="shared" si="31"/>
        <v/>
      </c>
    </row>
    <row r="486" spans="1:19">
      <c r="A486" t="s">
        <v>203</v>
      </c>
      <c r="C486" t="s">
        <v>288</v>
      </c>
      <c r="D486" s="3">
        <v>41059.594398148147</v>
      </c>
      <c r="E486" s="8">
        <v>4672995</v>
      </c>
      <c r="F486" s="8" t="s">
        <v>204</v>
      </c>
      <c r="G486" s="4" t="s">
        <v>336</v>
      </c>
      <c r="H486" s="3">
        <v>41059.599444444444</v>
      </c>
      <c r="L486">
        <f t="shared" si="28"/>
        <v>0</v>
      </c>
      <c r="Q486" t="str">
        <f t="shared" si="29"/>
        <v/>
      </c>
      <c r="R486" t="str">
        <f t="shared" si="30"/>
        <v/>
      </c>
      <c r="S486" t="str">
        <f t="shared" si="31"/>
        <v/>
      </c>
    </row>
    <row r="487" spans="1:19">
      <c r="A487" t="s">
        <v>83</v>
      </c>
      <c r="C487" t="s">
        <v>288</v>
      </c>
      <c r="D487" s="3">
        <v>41059.743009259262</v>
      </c>
      <c r="E487" s="8" t="s">
        <v>84</v>
      </c>
      <c r="F487" s="8" t="s">
        <v>85</v>
      </c>
      <c r="G487" s="2" t="s">
        <v>290</v>
      </c>
      <c r="H487" s="3">
        <v>41060.473032407404</v>
      </c>
      <c r="L487">
        <f t="shared" si="28"/>
        <v>0</v>
      </c>
      <c r="Q487" t="str">
        <f t="shared" si="29"/>
        <v/>
      </c>
      <c r="R487" t="str">
        <f t="shared" si="30"/>
        <v/>
      </c>
      <c r="S487" t="str">
        <f t="shared" si="31"/>
        <v/>
      </c>
    </row>
    <row r="488" spans="1:19">
      <c r="A488" t="s">
        <v>111</v>
      </c>
      <c r="C488" t="s">
        <v>300</v>
      </c>
      <c r="D488" s="3">
        <v>41060.395451388889</v>
      </c>
      <c r="E488" s="8" t="s">
        <v>112</v>
      </c>
      <c r="F488" s="8" t="s">
        <v>113</v>
      </c>
      <c r="G488" s="2" t="s">
        <v>304</v>
      </c>
      <c r="H488" s="3">
        <v>41060.528449074074</v>
      </c>
      <c r="L488">
        <f t="shared" si="28"/>
        <v>0</v>
      </c>
      <c r="Q488" t="str">
        <f t="shared" si="29"/>
        <v/>
      </c>
      <c r="R488" t="str">
        <f t="shared" si="30"/>
        <v/>
      </c>
      <c r="S488" t="str">
        <f t="shared" si="31"/>
        <v/>
      </c>
    </row>
    <row r="489" spans="1:19">
      <c r="A489" t="s">
        <v>128</v>
      </c>
      <c r="C489" t="s">
        <v>290</v>
      </c>
      <c r="D489" s="3">
        <v>41061.676851851851</v>
      </c>
      <c r="E489" s="8" t="s">
        <v>129</v>
      </c>
      <c r="F489" s="8" t="s">
        <v>130</v>
      </c>
      <c r="G489" s="2" t="s">
        <v>288</v>
      </c>
      <c r="H489" s="3">
        <v>41064.474999999999</v>
      </c>
      <c r="J489">
        <v>1</v>
      </c>
      <c r="L489">
        <f t="shared" si="28"/>
        <v>1</v>
      </c>
      <c r="Q489" t="str">
        <f t="shared" si="29"/>
        <v/>
      </c>
      <c r="R489" t="str">
        <f t="shared" si="30"/>
        <v>BC,5a9f2c5,0e12fe4</v>
      </c>
      <c r="S489" t="str">
        <f t="shared" si="31"/>
        <v/>
      </c>
    </row>
    <row r="490" spans="1:19">
      <c r="A490" t="s">
        <v>226</v>
      </c>
      <c r="C490" t="s">
        <v>306</v>
      </c>
      <c r="D490" s="3">
        <v>41061.719560185185</v>
      </c>
      <c r="E490" s="8" t="s">
        <v>227</v>
      </c>
      <c r="F490" s="8" t="s">
        <v>228</v>
      </c>
      <c r="G490" s="2" t="s">
        <v>288</v>
      </c>
      <c r="H490" s="3">
        <v>41064.616030092591</v>
      </c>
      <c r="L490">
        <f t="shared" si="28"/>
        <v>0</v>
      </c>
      <c r="Q490" t="str">
        <f t="shared" si="29"/>
        <v/>
      </c>
      <c r="R490" t="str">
        <f t="shared" si="30"/>
        <v/>
      </c>
      <c r="S490" t="str">
        <f t="shared" si="31"/>
        <v/>
      </c>
    </row>
    <row r="491" spans="1:19">
      <c r="A491" t="s">
        <v>264</v>
      </c>
      <c r="C491" t="s">
        <v>288</v>
      </c>
      <c r="D491" s="3">
        <v>41064.616030092591</v>
      </c>
      <c r="E491" s="8" t="s">
        <v>228</v>
      </c>
      <c r="F491" s="8" t="s">
        <v>265</v>
      </c>
      <c r="G491" s="4" t="s">
        <v>336</v>
      </c>
      <c r="H491" s="3">
        <v>41064.903321759259</v>
      </c>
      <c r="J491">
        <v>1</v>
      </c>
      <c r="L491">
        <f t="shared" si="28"/>
        <v>1</v>
      </c>
      <c r="Q491" t="str">
        <f t="shared" si="29"/>
        <v/>
      </c>
      <c r="R491" t="str">
        <f t="shared" si="30"/>
        <v>BC,0dfb3ee,75c3992</v>
      </c>
      <c r="S491" t="str">
        <f t="shared" si="31"/>
        <v/>
      </c>
    </row>
    <row r="492" spans="1:19">
      <c r="A492" t="s">
        <v>92</v>
      </c>
      <c r="C492" t="s">
        <v>288</v>
      </c>
      <c r="D492" s="3">
        <v>41064.903368055559</v>
      </c>
      <c r="E492" s="8" t="s">
        <v>93</v>
      </c>
      <c r="F492" s="8" t="s">
        <v>94</v>
      </c>
      <c r="G492" s="4" t="s">
        <v>336</v>
      </c>
      <c r="H492" s="3">
        <v>41065.641076388885</v>
      </c>
      <c r="L492">
        <f t="shared" si="28"/>
        <v>0</v>
      </c>
      <c r="Q492" t="str">
        <f t="shared" si="29"/>
        <v/>
      </c>
      <c r="R492" t="str">
        <f t="shared" si="30"/>
        <v/>
      </c>
      <c r="S492" t="str">
        <f t="shared" si="31"/>
        <v/>
      </c>
    </row>
    <row r="493" spans="1:19">
      <c r="A493" t="s">
        <v>80</v>
      </c>
      <c r="C493" t="s">
        <v>307</v>
      </c>
      <c r="D493" s="3">
        <v>41008.544386574074</v>
      </c>
      <c r="E493" s="8" t="s">
        <v>81</v>
      </c>
      <c r="F493" s="8" t="s">
        <v>82</v>
      </c>
      <c r="G493" s="4" t="s">
        <v>288</v>
      </c>
      <c r="H493" s="3">
        <v>41065.722696759258</v>
      </c>
      <c r="L493">
        <f t="shared" si="28"/>
        <v>0</v>
      </c>
      <c r="Q493" t="str">
        <f t="shared" si="29"/>
        <v/>
      </c>
      <c r="R493" t="str">
        <f t="shared" si="30"/>
        <v/>
      </c>
      <c r="S493" t="str">
        <f t="shared" si="31"/>
        <v/>
      </c>
    </row>
    <row r="494" spans="1:19">
      <c r="A494" t="s">
        <v>53</v>
      </c>
      <c r="C494" t="s">
        <v>288</v>
      </c>
      <c r="D494" s="3">
        <v>41065.765231481484</v>
      </c>
      <c r="E494" s="8" t="s">
        <v>54</v>
      </c>
      <c r="F494" s="8" t="s">
        <v>55</v>
      </c>
      <c r="G494" s="4" t="s">
        <v>336</v>
      </c>
      <c r="H494" s="3">
        <v>41065.854837962965</v>
      </c>
      <c r="L494">
        <f t="shared" si="28"/>
        <v>0</v>
      </c>
      <c r="Q494" t="str">
        <f t="shared" si="29"/>
        <v/>
      </c>
      <c r="R494" t="str">
        <f t="shared" si="30"/>
        <v/>
      </c>
      <c r="S494" t="str">
        <f t="shared" si="31"/>
        <v/>
      </c>
    </row>
    <row r="495" spans="1:19">
      <c r="A495" t="s">
        <v>173</v>
      </c>
      <c r="B495" t="s">
        <v>753</v>
      </c>
      <c r="C495" t="s">
        <v>288</v>
      </c>
      <c r="D495" s="3">
        <v>41069.531354166669</v>
      </c>
      <c r="E495" s="8" t="s">
        <v>174</v>
      </c>
      <c r="F495" s="8" t="s">
        <v>175</v>
      </c>
      <c r="G495" s="4" t="s">
        <v>336</v>
      </c>
      <c r="H495" s="3">
        <v>41071.416932870372</v>
      </c>
      <c r="I495">
        <v>1</v>
      </c>
      <c r="L495">
        <f t="shared" si="28"/>
        <v>1</v>
      </c>
      <c r="Q495" t="str">
        <f t="shared" si="29"/>
        <v>MC,4ec7ebf,18e6e67</v>
      </c>
      <c r="R495" t="str">
        <f t="shared" si="30"/>
        <v/>
      </c>
      <c r="S495" t="str">
        <f t="shared" si="31"/>
        <v/>
      </c>
    </row>
    <row r="496" spans="1:19">
      <c r="A496" t="s">
        <v>100</v>
      </c>
      <c r="C496" t="s">
        <v>288</v>
      </c>
      <c r="D496" s="3">
        <v>41071.440509259257</v>
      </c>
      <c r="E496" s="8" t="s">
        <v>101</v>
      </c>
      <c r="F496" s="8" t="s">
        <v>102</v>
      </c>
      <c r="G496" s="4" t="s">
        <v>336</v>
      </c>
      <c r="H496" s="3">
        <v>41071.484560185185</v>
      </c>
      <c r="L496">
        <f t="shared" si="28"/>
        <v>0</v>
      </c>
      <c r="Q496" t="str">
        <f t="shared" si="29"/>
        <v/>
      </c>
      <c r="R496" t="str">
        <f t="shared" si="30"/>
        <v/>
      </c>
      <c r="S496" t="str">
        <f t="shared" si="31"/>
        <v/>
      </c>
    </row>
    <row r="497" spans="1:19">
      <c r="A497" t="s">
        <v>6</v>
      </c>
      <c r="C497" t="s">
        <v>288</v>
      </c>
      <c r="D497" s="3">
        <v>41071.49596064815</v>
      </c>
      <c r="E497" s="8" t="s">
        <v>7</v>
      </c>
      <c r="F497" s="8" t="s">
        <v>8</v>
      </c>
      <c r="G497" s="4" t="s">
        <v>336</v>
      </c>
      <c r="H497" s="3">
        <v>41071.640243055554</v>
      </c>
      <c r="L497">
        <f t="shared" si="28"/>
        <v>0</v>
      </c>
      <c r="Q497" t="str">
        <f t="shared" si="29"/>
        <v/>
      </c>
      <c r="R497" t="str">
        <f t="shared" si="30"/>
        <v/>
      </c>
      <c r="S497" t="str">
        <f t="shared" si="31"/>
        <v/>
      </c>
    </row>
    <row r="498" spans="1:19">
      <c r="A498" t="s">
        <v>250</v>
      </c>
      <c r="B498" t="s">
        <v>250</v>
      </c>
      <c r="C498" s="2" t="s">
        <v>288</v>
      </c>
      <c r="D498" s="3">
        <v>41071.747118055559</v>
      </c>
      <c r="E498" s="8" t="s">
        <v>251</v>
      </c>
      <c r="F498" s="8" t="s">
        <v>207</v>
      </c>
      <c r="G498" s="4" t="s">
        <v>336</v>
      </c>
      <c r="H498" s="3">
        <v>41071.969641203701</v>
      </c>
      <c r="I498">
        <v>1</v>
      </c>
      <c r="J498">
        <v>1</v>
      </c>
      <c r="L498">
        <f t="shared" si="28"/>
        <v>2</v>
      </c>
      <c r="Q498" t="str">
        <f t="shared" si="29"/>
        <v>MC,3445fe1,201bd2f</v>
      </c>
      <c r="R498" t="str">
        <f t="shared" si="30"/>
        <v>BC,3445fe1,201bd2f</v>
      </c>
      <c r="S498" t="str">
        <f t="shared" si="31"/>
        <v/>
      </c>
    </row>
    <row r="499" spans="1:19">
      <c r="A499" t="s">
        <v>205</v>
      </c>
      <c r="B499" t="s">
        <v>734</v>
      </c>
      <c r="C499" t="s">
        <v>288</v>
      </c>
      <c r="D499" s="3">
        <v>41071.440462962964</v>
      </c>
      <c r="E499" s="8" t="s">
        <v>206</v>
      </c>
      <c r="F499" s="8" t="s">
        <v>207</v>
      </c>
      <c r="G499" s="4" t="s">
        <v>336</v>
      </c>
      <c r="H499" s="3">
        <v>41071.969641203701</v>
      </c>
      <c r="I499">
        <v>1</v>
      </c>
      <c r="L499">
        <f t="shared" si="28"/>
        <v>1</v>
      </c>
      <c r="Q499" t="str">
        <f t="shared" si="29"/>
        <v>MC,3427f2c,201bd2f</v>
      </c>
      <c r="R499" t="str">
        <f t="shared" si="30"/>
        <v/>
      </c>
      <c r="S499" t="str">
        <f t="shared" si="31"/>
        <v/>
      </c>
    </row>
    <row r="500" spans="1:19">
      <c r="A500" t="s">
        <v>139</v>
      </c>
      <c r="C500" t="s">
        <v>288</v>
      </c>
      <c r="D500" s="3">
        <v>41071.98097222222</v>
      </c>
      <c r="E500" s="8" t="s">
        <v>140</v>
      </c>
      <c r="F500" s="8" t="s">
        <v>141</v>
      </c>
      <c r="G500" s="2" t="s">
        <v>304</v>
      </c>
      <c r="H500" s="3">
        <v>41073.389421296299</v>
      </c>
      <c r="L500">
        <f t="shared" si="28"/>
        <v>0</v>
      </c>
      <c r="Q500" t="str">
        <f t="shared" si="29"/>
        <v/>
      </c>
      <c r="R500" t="str">
        <f t="shared" si="30"/>
        <v/>
      </c>
      <c r="S500" t="str">
        <f t="shared" si="31"/>
        <v/>
      </c>
    </row>
    <row r="501" spans="1:19">
      <c r="A501" t="s">
        <v>65</v>
      </c>
      <c r="C501" t="s">
        <v>288</v>
      </c>
      <c r="D501" s="3">
        <v>41073.449502314812</v>
      </c>
      <c r="E501" s="8" t="s">
        <v>66</v>
      </c>
      <c r="F501" s="8" t="s">
        <v>67</v>
      </c>
      <c r="G501" s="2" t="s">
        <v>304</v>
      </c>
      <c r="H501" s="3">
        <v>41073.55369212963</v>
      </c>
      <c r="L501">
        <f t="shared" si="28"/>
        <v>0</v>
      </c>
      <c r="Q501" t="str">
        <f t="shared" si="29"/>
        <v/>
      </c>
      <c r="R501" t="str">
        <f t="shared" si="30"/>
        <v/>
      </c>
      <c r="S501" t="str">
        <f t="shared" si="31"/>
        <v/>
      </c>
    </row>
    <row r="502" spans="1:19">
      <c r="A502" t="s">
        <v>45</v>
      </c>
      <c r="C502" t="s">
        <v>288</v>
      </c>
      <c r="D502" s="3">
        <v>41073.448078703703</v>
      </c>
      <c r="E502" s="8" t="s">
        <v>46</v>
      </c>
      <c r="F502" s="8" t="s">
        <v>47</v>
      </c>
      <c r="G502" s="2" t="s">
        <v>301</v>
      </c>
      <c r="H502" s="3">
        <v>41073.739490740743</v>
      </c>
      <c r="I502">
        <v>1</v>
      </c>
      <c r="L502">
        <f t="shared" si="28"/>
        <v>1</v>
      </c>
      <c r="Q502" t="str">
        <f t="shared" si="29"/>
        <v>MC,afff123,1a42a2f</v>
      </c>
      <c r="R502" t="str">
        <f t="shared" si="30"/>
        <v/>
      </c>
      <c r="S502" t="str">
        <f t="shared" si="31"/>
        <v/>
      </c>
    </row>
    <row r="503" spans="1:19">
      <c r="A503" t="s">
        <v>145</v>
      </c>
      <c r="C503" t="s">
        <v>288</v>
      </c>
      <c r="D503" s="3">
        <v>41075.771018518521</v>
      </c>
      <c r="E503" s="8" t="s">
        <v>146</v>
      </c>
      <c r="F503" s="8" t="s">
        <v>147</v>
      </c>
      <c r="G503" s="4" t="s">
        <v>336</v>
      </c>
      <c r="H503" s="3">
        <v>41078.938379629632</v>
      </c>
      <c r="I503">
        <v>1</v>
      </c>
      <c r="L503">
        <f t="shared" si="28"/>
        <v>1</v>
      </c>
      <c r="Q503" t="str">
        <f t="shared" si="29"/>
        <v>MC,f49d625,8234d48</v>
      </c>
      <c r="R503" t="str">
        <f t="shared" si="30"/>
        <v/>
      </c>
      <c r="S503" t="str">
        <f t="shared" si="31"/>
        <v/>
      </c>
    </row>
    <row r="504" spans="1:19">
      <c r="A504" t="s">
        <v>223</v>
      </c>
      <c r="C504" t="s">
        <v>306</v>
      </c>
      <c r="D504" s="3">
        <v>41078.885671296295</v>
      </c>
      <c r="E504" s="8" t="s">
        <v>224</v>
      </c>
      <c r="F504" s="8" t="s">
        <v>225</v>
      </c>
      <c r="G504" s="2" t="s">
        <v>288</v>
      </c>
      <c r="H504" s="3">
        <v>41078.976550925923</v>
      </c>
      <c r="L504">
        <f t="shared" si="28"/>
        <v>0</v>
      </c>
      <c r="Q504" t="str">
        <f t="shared" si="29"/>
        <v/>
      </c>
      <c r="R504" t="str">
        <f t="shared" si="30"/>
        <v/>
      </c>
      <c r="S504" t="str">
        <f t="shared" si="31"/>
        <v/>
      </c>
    </row>
    <row r="505" spans="1:19">
      <c r="A505" t="s">
        <v>77</v>
      </c>
      <c r="C505" t="s">
        <v>306</v>
      </c>
      <c r="D505" s="3">
        <v>41079.390289351853</v>
      </c>
      <c r="E505" s="8" t="s">
        <v>78</v>
      </c>
      <c r="F505" s="8" t="s">
        <v>79</v>
      </c>
      <c r="G505" s="2" t="s">
        <v>288</v>
      </c>
      <c r="H505" s="3">
        <v>41079.579317129632</v>
      </c>
      <c r="L505">
        <f t="shared" si="28"/>
        <v>0</v>
      </c>
      <c r="Q505" t="str">
        <f t="shared" si="29"/>
        <v/>
      </c>
      <c r="R505" t="str">
        <f t="shared" si="30"/>
        <v/>
      </c>
      <c r="S505" t="str">
        <f t="shared" si="31"/>
        <v/>
      </c>
    </row>
    <row r="506" spans="1:19">
      <c r="A506" t="s">
        <v>95</v>
      </c>
      <c r="C506" t="s">
        <v>288</v>
      </c>
      <c r="D506" s="3">
        <v>41079.677233796298</v>
      </c>
      <c r="E506" s="8" t="s">
        <v>96</v>
      </c>
      <c r="F506" s="8">
        <v>2027421</v>
      </c>
      <c r="G506" s="2" t="s">
        <v>308</v>
      </c>
      <c r="H506" s="3">
        <v>41079.785729166666</v>
      </c>
      <c r="J506">
        <v>1</v>
      </c>
      <c r="L506">
        <f t="shared" si="28"/>
        <v>1</v>
      </c>
      <c r="Q506" t="str">
        <f t="shared" si="29"/>
        <v/>
      </c>
      <c r="R506" t="str">
        <f t="shared" si="30"/>
        <v>BC,9fbd6d3,2027421</v>
      </c>
      <c r="S506" t="str">
        <f t="shared" si="31"/>
        <v/>
      </c>
    </row>
    <row r="507" spans="1:19">
      <c r="I507">
        <f>SUM(I2:I506)</f>
        <v>68</v>
      </c>
      <c r="J507">
        <f>SUM(J2:J506)</f>
        <v>74</v>
      </c>
      <c r="K507">
        <f>SUM(K2:K506)</f>
        <v>28</v>
      </c>
    </row>
    <row r="511" spans="1:19">
      <c r="A511" s="12" t="s">
        <v>1582</v>
      </c>
      <c r="F511" s="8" t="s">
        <v>287</v>
      </c>
      <c r="G511" t="s">
        <v>3687</v>
      </c>
      <c r="H511" t="s">
        <v>333</v>
      </c>
      <c r="I511" t="s">
        <v>3688</v>
      </c>
      <c r="J511" t="s">
        <v>3689</v>
      </c>
      <c r="K511" t="s">
        <v>327</v>
      </c>
      <c r="L511" t="s">
        <v>3690</v>
      </c>
    </row>
    <row r="512" spans="1:19">
      <c r="A512" t="s">
        <v>1835</v>
      </c>
      <c r="C512" s="2" t="s">
        <v>1587</v>
      </c>
      <c r="D512" s="3">
        <v>40810.017708333333</v>
      </c>
      <c r="E512" s="8" t="s">
        <v>1836</v>
      </c>
      <c r="F512" s="8" t="s">
        <v>1837</v>
      </c>
      <c r="G512" t="s">
        <v>1857</v>
      </c>
      <c r="H512" s="3">
        <v>40810.124780092592</v>
      </c>
      <c r="L512">
        <f t="shared" ref="L512:L543" si="32">COUNTA(I512:K512)</f>
        <v>0</v>
      </c>
      <c r="Q512" t="str">
        <f t="shared" si="29"/>
        <v/>
      </c>
      <c r="R512" t="str">
        <f t="shared" si="30"/>
        <v/>
      </c>
      <c r="S512" t="str">
        <f t="shared" si="31"/>
        <v/>
      </c>
    </row>
    <row r="513" spans="1:19">
      <c r="A513" t="s">
        <v>1758</v>
      </c>
      <c r="C513" s="2" t="s">
        <v>1587</v>
      </c>
      <c r="D513" s="3">
        <v>40811.042847222219</v>
      </c>
      <c r="E513" s="8" t="s">
        <v>1854</v>
      </c>
      <c r="F513" s="8" t="s">
        <v>1759</v>
      </c>
      <c r="G513" t="s">
        <v>1760</v>
      </c>
      <c r="H513" s="3">
        <v>40811.828402777777</v>
      </c>
      <c r="L513">
        <f t="shared" si="32"/>
        <v>0</v>
      </c>
      <c r="Q513" t="str">
        <f t="shared" si="29"/>
        <v/>
      </c>
      <c r="R513" t="str">
        <f t="shared" si="30"/>
        <v/>
      </c>
      <c r="S513" t="str">
        <f t="shared" si="31"/>
        <v/>
      </c>
    </row>
    <row r="514" spans="1:19">
      <c r="A514" t="s">
        <v>1684</v>
      </c>
      <c r="C514" s="2" t="s">
        <v>1685</v>
      </c>
      <c r="D514" s="3">
        <v>40826.737824074073</v>
      </c>
      <c r="E514" s="8" t="s">
        <v>1686</v>
      </c>
      <c r="F514" s="8" t="s">
        <v>1687</v>
      </c>
      <c r="G514" t="s">
        <v>1587</v>
      </c>
      <c r="H514" s="3">
        <v>40827.018449074072</v>
      </c>
      <c r="L514">
        <f t="shared" si="32"/>
        <v>0</v>
      </c>
      <c r="Q514" t="str">
        <f t="shared" si="29"/>
        <v/>
      </c>
      <c r="R514" t="str">
        <f t="shared" si="30"/>
        <v/>
      </c>
      <c r="S514" t="str">
        <f t="shared" si="31"/>
        <v/>
      </c>
    </row>
    <row r="515" spans="1:19">
      <c r="A515" t="s">
        <v>1660</v>
      </c>
      <c r="C515" s="2" t="s">
        <v>1587</v>
      </c>
      <c r="D515" s="3">
        <v>40827.022835648146</v>
      </c>
      <c r="E515" s="8">
        <v>2640983</v>
      </c>
      <c r="F515" s="8">
        <v>9807286</v>
      </c>
      <c r="G515" t="s">
        <v>1857</v>
      </c>
      <c r="H515" s="3">
        <v>40828.646412037036</v>
      </c>
      <c r="L515">
        <f t="shared" si="32"/>
        <v>0</v>
      </c>
      <c r="Q515" t="str">
        <f t="shared" ref="Q515:Q578" si="33">IF(I515&gt;0,CONCATENATE("MC,",E515,",",F515),"")</f>
        <v/>
      </c>
      <c r="R515" t="str">
        <f t="shared" ref="R515:R578" si="34">IF(J515&gt;0,CONCATENATE("BC,",E515,",",F515),"")</f>
        <v/>
      </c>
      <c r="S515" t="str">
        <f t="shared" ref="S515:S578" si="35">IF(K515&gt;0,CONCATENATE("TC,",E515,",",F515),"")</f>
        <v/>
      </c>
    </row>
    <row r="516" spans="1:19">
      <c r="A516" t="s">
        <v>1583</v>
      </c>
      <c r="B516" t="s">
        <v>1768</v>
      </c>
      <c r="C516" s="2" t="s">
        <v>1584</v>
      </c>
      <c r="D516" s="3">
        <v>40865.933298611111</v>
      </c>
      <c r="E516" s="8" t="s">
        <v>1585</v>
      </c>
      <c r="F516" s="8" t="s">
        <v>1586</v>
      </c>
      <c r="G516" t="s">
        <v>1587</v>
      </c>
      <c r="H516" s="3">
        <v>40867.649513888886</v>
      </c>
      <c r="L516">
        <f t="shared" si="32"/>
        <v>0</v>
      </c>
      <c r="Q516" t="str">
        <f t="shared" si="33"/>
        <v/>
      </c>
      <c r="R516" t="str">
        <f t="shared" si="34"/>
        <v/>
      </c>
      <c r="S516" t="str">
        <f t="shared" si="35"/>
        <v/>
      </c>
    </row>
    <row r="517" spans="1:19">
      <c r="A517" t="s">
        <v>1838</v>
      </c>
      <c r="C517" s="2" t="s">
        <v>1587</v>
      </c>
      <c r="D517" s="3">
        <v>40868.893194444441</v>
      </c>
      <c r="E517" s="8" t="s">
        <v>1839</v>
      </c>
      <c r="F517" s="8" t="s">
        <v>1840</v>
      </c>
      <c r="G517" t="s">
        <v>1857</v>
      </c>
      <c r="H517" s="3">
        <v>40877.54792824074</v>
      </c>
      <c r="L517">
        <f t="shared" si="32"/>
        <v>0</v>
      </c>
      <c r="Q517" t="str">
        <f t="shared" si="33"/>
        <v/>
      </c>
      <c r="R517" t="str">
        <f t="shared" si="34"/>
        <v/>
      </c>
      <c r="S517" t="str">
        <f t="shared" si="35"/>
        <v/>
      </c>
    </row>
    <row r="518" spans="1:19">
      <c r="A518" t="s">
        <v>1615</v>
      </c>
      <c r="B518" t="s">
        <v>1849</v>
      </c>
      <c r="C518" s="2" t="s">
        <v>1587</v>
      </c>
      <c r="D518" s="3">
        <v>40891.68644675926</v>
      </c>
      <c r="E518" s="8" t="s">
        <v>1616</v>
      </c>
      <c r="F518" s="8" t="s">
        <v>1617</v>
      </c>
      <c r="G518" t="s">
        <v>1857</v>
      </c>
      <c r="H518" s="3">
        <v>40891.947754629633</v>
      </c>
      <c r="L518">
        <f t="shared" si="32"/>
        <v>0</v>
      </c>
      <c r="Q518" t="str">
        <f t="shared" si="33"/>
        <v/>
      </c>
      <c r="R518" t="str">
        <f t="shared" si="34"/>
        <v/>
      </c>
      <c r="S518" t="str">
        <f t="shared" si="35"/>
        <v/>
      </c>
    </row>
    <row r="519" spans="1:19">
      <c r="A519" t="s">
        <v>1819</v>
      </c>
      <c r="C519" s="2" t="s">
        <v>1587</v>
      </c>
      <c r="D519" s="3">
        <v>40901.984513888892</v>
      </c>
      <c r="E519" s="8" t="s">
        <v>1820</v>
      </c>
      <c r="F519" s="8" t="s">
        <v>1821</v>
      </c>
      <c r="G519" t="s">
        <v>1857</v>
      </c>
      <c r="H519" s="3">
        <v>40902.075636574074</v>
      </c>
      <c r="L519">
        <f t="shared" si="32"/>
        <v>0</v>
      </c>
      <c r="Q519" t="str">
        <f t="shared" si="33"/>
        <v/>
      </c>
      <c r="R519" t="str">
        <f t="shared" si="34"/>
        <v/>
      </c>
      <c r="S519" t="str">
        <f t="shared" si="35"/>
        <v/>
      </c>
    </row>
    <row r="520" spans="1:19">
      <c r="A520" t="s">
        <v>1661</v>
      </c>
      <c r="C520" s="2" t="s">
        <v>1635</v>
      </c>
      <c r="D520" s="3">
        <v>40911.368368055555</v>
      </c>
      <c r="E520" s="8" t="s">
        <v>1662</v>
      </c>
      <c r="F520" s="8" t="s">
        <v>1663</v>
      </c>
      <c r="G520" t="s">
        <v>1587</v>
      </c>
      <c r="H520" s="3">
        <v>40912.607858796298</v>
      </c>
      <c r="L520">
        <f t="shared" si="32"/>
        <v>0</v>
      </c>
      <c r="Q520" t="str">
        <f t="shared" si="33"/>
        <v/>
      </c>
      <c r="R520" t="str">
        <f t="shared" si="34"/>
        <v/>
      </c>
      <c r="S520" t="str">
        <f t="shared" si="35"/>
        <v/>
      </c>
    </row>
    <row r="521" spans="1:19">
      <c r="A521" t="s">
        <v>1618</v>
      </c>
      <c r="B521" t="s">
        <v>1810</v>
      </c>
      <c r="C521" s="2" t="s">
        <v>1587</v>
      </c>
      <c r="D521" s="3">
        <v>40912.591793981483</v>
      </c>
      <c r="E521" s="8" t="s">
        <v>1619</v>
      </c>
      <c r="F521" s="8" t="s">
        <v>1620</v>
      </c>
      <c r="G521" t="s">
        <v>1857</v>
      </c>
      <c r="H521" s="3">
        <v>40912.621006944442</v>
      </c>
      <c r="K521">
        <v>1</v>
      </c>
      <c r="L521">
        <f t="shared" si="32"/>
        <v>1</v>
      </c>
      <c r="Q521" t="str">
        <f t="shared" si="33"/>
        <v/>
      </c>
      <c r="R521" t="str">
        <f t="shared" si="34"/>
        <v/>
      </c>
      <c r="S521" t="str">
        <f t="shared" si="35"/>
        <v>TC,998b792,896ec13</v>
      </c>
    </row>
    <row r="522" spans="1:19">
      <c r="A522" t="s">
        <v>1784</v>
      </c>
      <c r="C522" s="2" t="s">
        <v>1587</v>
      </c>
      <c r="D522" s="3">
        <v>40912.673668981479</v>
      </c>
      <c r="E522" s="8" t="s">
        <v>1785</v>
      </c>
      <c r="F522" s="8" t="s">
        <v>1786</v>
      </c>
      <c r="G522" t="s">
        <v>1857</v>
      </c>
      <c r="H522" s="3">
        <v>40913.2034375</v>
      </c>
      <c r="I522">
        <v>1</v>
      </c>
      <c r="L522">
        <f t="shared" si="32"/>
        <v>1</v>
      </c>
      <c r="Q522" t="str">
        <f t="shared" si="33"/>
        <v>MC,fc5ae41,a3094ef</v>
      </c>
      <c r="R522" t="str">
        <f t="shared" si="34"/>
        <v/>
      </c>
      <c r="S522" t="str">
        <f t="shared" si="35"/>
        <v/>
      </c>
    </row>
    <row r="523" spans="1:19">
      <c r="A523" t="s">
        <v>1603</v>
      </c>
      <c r="B523" t="s">
        <v>1822</v>
      </c>
      <c r="C523" s="2" t="s">
        <v>1604</v>
      </c>
      <c r="D523" s="3">
        <v>40915.658495370371</v>
      </c>
      <c r="E523" s="8" t="s">
        <v>1605</v>
      </c>
      <c r="F523" s="8" t="s">
        <v>1606</v>
      </c>
      <c r="G523" t="s">
        <v>1587</v>
      </c>
      <c r="H523" s="3">
        <v>40920.58971064815</v>
      </c>
      <c r="K523">
        <v>1</v>
      </c>
      <c r="L523">
        <f t="shared" si="32"/>
        <v>1</v>
      </c>
      <c r="Q523" t="str">
        <f t="shared" si="33"/>
        <v/>
      </c>
      <c r="R523" t="str">
        <f t="shared" si="34"/>
        <v/>
      </c>
      <c r="S523" t="str">
        <f t="shared" si="35"/>
        <v>TC,5046c24,20e1ef9</v>
      </c>
    </row>
    <row r="524" spans="1:19">
      <c r="A524" t="s">
        <v>1628</v>
      </c>
      <c r="B524" t="s">
        <v>1719</v>
      </c>
      <c r="C524" s="2" t="s">
        <v>1587</v>
      </c>
      <c r="D524" s="3">
        <v>40920.581435185188</v>
      </c>
      <c r="E524" s="8" t="s">
        <v>1629</v>
      </c>
      <c r="F524" s="8" t="s">
        <v>1630</v>
      </c>
      <c r="G524" t="s">
        <v>1857</v>
      </c>
      <c r="H524" s="3">
        <v>40921.140381944446</v>
      </c>
      <c r="J524">
        <v>1</v>
      </c>
      <c r="L524">
        <f t="shared" si="32"/>
        <v>1</v>
      </c>
      <c r="Q524" t="str">
        <f t="shared" si="33"/>
        <v/>
      </c>
      <c r="R524" t="str">
        <f t="shared" si="34"/>
        <v>BC,d3f28a6,0876c31</v>
      </c>
      <c r="S524" t="str">
        <f t="shared" si="35"/>
        <v/>
      </c>
    </row>
    <row r="525" spans="1:19">
      <c r="A525" t="s">
        <v>1607</v>
      </c>
      <c r="B525" t="s">
        <v>1639</v>
      </c>
      <c r="C525" s="2" t="s">
        <v>1587</v>
      </c>
      <c r="D525" s="3">
        <v>40921.159097222226</v>
      </c>
      <c r="E525" s="8" t="s">
        <v>1608</v>
      </c>
      <c r="F525" s="8">
        <v>2529452</v>
      </c>
      <c r="G525" t="s">
        <v>1857</v>
      </c>
      <c r="H525" s="3">
        <v>40923.645729166667</v>
      </c>
      <c r="I525">
        <v>1</v>
      </c>
      <c r="L525">
        <f t="shared" si="32"/>
        <v>1</v>
      </c>
      <c r="Q525" t="str">
        <f t="shared" si="33"/>
        <v>MC,46f860b,2529452</v>
      </c>
      <c r="R525" t="str">
        <f t="shared" si="34"/>
        <v/>
      </c>
      <c r="S525" t="str">
        <f t="shared" si="35"/>
        <v/>
      </c>
    </row>
    <row r="526" spans="1:19">
      <c r="A526" t="s">
        <v>1841</v>
      </c>
      <c r="C526" s="2" t="s">
        <v>1587</v>
      </c>
      <c r="D526" s="3">
        <v>40923.769143518519</v>
      </c>
      <c r="E526" s="8">
        <v>5124069</v>
      </c>
      <c r="F526" s="8" t="s">
        <v>1842</v>
      </c>
      <c r="G526" t="s">
        <v>1857</v>
      </c>
      <c r="H526" s="3">
        <v>40923.769421296296</v>
      </c>
      <c r="J526">
        <v>1</v>
      </c>
      <c r="L526">
        <f t="shared" si="32"/>
        <v>1</v>
      </c>
      <c r="Q526" t="str">
        <f t="shared" si="33"/>
        <v/>
      </c>
      <c r="R526" t="str">
        <f t="shared" si="34"/>
        <v>BC,5124069,baae324</v>
      </c>
      <c r="S526" t="str">
        <f t="shared" si="35"/>
        <v/>
      </c>
    </row>
    <row r="527" spans="1:19">
      <c r="A527" t="s">
        <v>1742</v>
      </c>
      <c r="C527" s="2" t="s">
        <v>1587</v>
      </c>
      <c r="D527" s="3">
        <v>40927.11855324074</v>
      </c>
      <c r="E527" s="8" t="s">
        <v>1743</v>
      </c>
      <c r="F527" s="8" t="s">
        <v>1744</v>
      </c>
      <c r="G527" t="s">
        <v>1857</v>
      </c>
      <c r="H527" s="3">
        <v>40927.675011574072</v>
      </c>
      <c r="L527">
        <f t="shared" si="32"/>
        <v>0</v>
      </c>
      <c r="Q527" t="str">
        <f t="shared" si="33"/>
        <v/>
      </c>
      <c r="R527" t="str">
        <f t="shared" si="34"/>
        <v/>
      </c>
      <c r="S527" t="str">
        <f t="shared" si="35"/>
        <v/>
      </c>
    </row>
    <row r="528" spans="1:19">
      <c r="A528" t="s">
        <v>1631</v>
      </c>
      <c r="B528" t="s">
        <v>1803</v>
      </c>
      <c r="C528" s="2" t="s">
        <v>1632</v>
      </c>
      <c r="D528" s="3">
        <v>40927.60974537037</v>
      </c>
      <c r="E528" s="8" t="s">
        <v>1633</v>
      </c>
      <c r="F528" s="8" t="s">
        <v>1634</v>
      </c>
      <c r="G528" t="s">
        <v>1635</v>
      </c>
      <c r="H528" s="3">
        <v>40928.411504629628</v>
      </c>
      <c r="J528">
        <v>1</v>
      </c>
      <c r="L528">
        <f t="shared" si="32"/>
        <v>1</v>
      </c>
      <c r="Q528" t="str">
        <f t="shared" si="33"/>
        <v/>
      </c>
      <c r="R528" t="str">
        <f t="shared" si="34"/>
        <v>BC,09372b1,df4692c</v>
      </c>
      <c r="S528" t="str">
        <f t="shared" si="35"/>
        <v/>
      </c>
    </row>
    <row r="529" spans="1:19">
      <c r="A529" t="s">
        <v>1694</v>
      </c>
      <c r="C529" s="2" t="s">
        <v>1587</v>
      </c>
      <c r="D529" s="3">
        <v>40933.648206018515</v>
      </c>
      <c r="E529" s="8" t="s">
        <v>1695</v>
      </c>
      <c r="F529" s="8" t="s">
        <v>1696</v>
      </c>
      <c r="G529" t="s">
        <v>1857</v>
      </c>
      <c r="H529" s="3">
        <v>40933.64980324074</v>
      </c>
      <c r="L529">
        <f t="shared" si="32"/>
        <v>0</v>
      </c>
      <c r="Q529" t="str">
        <f t="shared" si="33"/>
        <v/>
      </c>
      <c r="R529" t="str">
        <f t="shared" si="34"/>
        <v/>
      </c>
      <c r="S529" t="str">
        <f t="shared" si="35"/>
        <v/>
      </c>
    </row>
    <row r="530" spans="1:19">
      <c r="A530" t="s">
        <v>1636</v>
      </c>
      <c r="B530" t="s">
        <v>1801</v>
      </c>
      <c r="C530" s="2" t="s">
        <v>1587</v>
      </c>
      <c r="D530" s="3">
        <v>40933.648055555554</v>
      </c>
      <c r="E530" s="8" t="s">
        <v>1637</v>
      </c>
      <c r="F530" s="8" t="s">
        <v>1638</v>
      </c>
      <c r="G530" t="s">
        <v>1857</v>
      </c>
      <c r="H530" s="3">
        <v>40933.66679398148</v>
      </c>
      <c r="I530">
        <v>1</v>
      </c>
      <c r="J530">
        <v>1</v>
      </c>
      <c r="L530">
        <f t="shared" si="32"/>
        <v>2</v>
      </c>
      <c r="Q530" t="str">
        <f t="shared" si="33"/>
        <v>MC,26cc00a,238f1c9</v>
      </c>
      <c r="R530" t="str">
        <f t="shared" si="34"/>
        <v>BC,26cc00a,238f1c9</v>
      </c>
      <c r="S530" t="str">
        <f t="shared" si="35"/>
        <v/>
      </c>
    </row>
    <row r="531" spans="1:19">
      <c r="A531" t="s">
        <v>1667</v>
      </c>
      <c r="C531" s="2" t="s">
        <v>1587</v>
      </c>
      <c r="D531" s="3">
        <v>40936.94394675926</v>
      </c>
      <c r="E531" s="8" t="s">
        <v>1668</v>
      </c>
      <c r="F531" s="8" t="s">
        <v>1669</v>
      </c>
      <c r="G531" t="s">
        <v>1857</v>
      </c>
      <c r="H531" s="3">
        <v>40936.948888888888</v>
      </c>
      <c r="L531">
        <f t="shared" si="32"/>
        <v>0</v>
      </c>
      <c r="Q531" t="str">
        <f t="shared" si="33"/>
        <v/>
      </c>
      <c r="R531" t="str">
        <f t="shared" si="34"/>
        <v/>
      </c>
      <c r="S531" t="str">
        <f t="shared" si="35"/>
        <v/>
      </c>
    </row>
    <row r="532" spans="1:19">
      <c r="A532" t="s">
        <v>1621</v>
      </c>
      <c r="B532" t="s">
        <v>1784</v>
      </c>
      <c r="C532" s="2" t="s">
        <v>1622</v>
      </c>
      <c r="D532" s="3">
        <v>40925.591180555559</v>
      </c>
      <c r="E532" s="8" t="s">
        <v>1623</v>
      </c>
      <c r="F532" s="8" t="s">
        <v>1624</v>
      </c>
      <c r="G532" t="s">
        <v>1587</v>
      </c>
      <c r="H532" s="3">
        <v>40939.868148148147</v>
      </c>
      <c r="I532">
        <v>1</v>
      </c>
      <c r="L532">
        <f t="shared" si="32"/>
        <v>1</v>
      </c>
      <c r="Q532" t="str">
        <f t="shared" si="33"/>
        <v>MC,8a64e43,d4e3d3d</v>
      </c>
      <c r="R532" t="str">
        <f t="shared" si="34"/>
        <v/>
      </c>
      <c r="S532" t="str">
        <f t="shared" si="35"/>
        <v/>
      </c>
    </row>
    <row r="533" spans="1:19">
      <c r="A533" t="s">
        <v>1588</v>
      </c>
      <c r="B533" t="s">
        <v>1636</v>
      </c>
      <c r="C533" s="2" t="s">
        <v>1589</v>
      </c>
      <c r="D533" s="3">
        <v>40938.582349537035</v>
      </c>
      <c r="E533" s="8" t="s">
        <v>1590</v>
      </c>
      <c r="F533" s="8" t="s">
        <v>1591</v>
      </c>
      <c r="G533" t="s">
        <v>1587</v>
      </c>
      <c r="H533" s="3">
        <v>40941.647650462961</v>
      </c>
      <c r="K533">
        <v>1</v>
      </c>
      <c r="L533">
        <f t="shared" si="32"/>
        <v>1</v>
      </c>
      <c r="Q533" t="str">
        <f t="shared" si="33"/>
        <v/>
      </c>
      <c r="R533" t="str">
        <f t="shared" si="34"/>
        <v/>
      </c>
      <c r="S533" t="str">
        <f t="shared" si="35"/>
        <v>TC,c6712a1,45a62dd</v>
      </c>
    </row>
    <row r="534" spans="1:19">
      <c r="A534" t="s">
        <v>1664</v>
      </c>
      <c r="C534" s="2" t="s">
        <v>1587</v>
      </c>
      <c r="D534" s="3">
        <v>40941.685208333336</v>
      </c>
      <c r="E534" s="8" t="s">
        <v>1665</v>
      </c>
      <c r="F534" s="8" t="s">
        <v>1666</v>
      </c>
      <c r="G534" t="s">
        <v>1857</v>
      </c>
      <c r="H534" s="3">
        <v>40941.953923611109</v>
      </c>
      <c r="L534">
        <f t="shared" si="32"/>
        <v>0</v>
      </c>
      <c r="Q534" t="str">
        <f t="shared" si="33"/>
        <v/>
      </c>
      <c r="R534" t="str">
        <f t="shared" si="34"/>
        <v/>
      </c>
      <c r="S534" t="str">
        <f t="shared" si="35"/>
        <v/>
      </c>
    </row>
    <row r="535" spans="1:19">
      <c r="A535" t="s">
        <v>1732</v>
      </c>
      <c r="C535" s="2" t="s">
        <v>1733</v>
      </c>
      <c r="D535" s="3">
        <v>40937.061539351853</v>
      </c>
      <c r="E535" s="8" t="s">
        <v>1734</v>
      </c>
      <c r="F535" s="8" t="s">
        <v>1735</v>
      </c>
      <c r="G535" t="s">
        <v>1587</v>
      </c>
      <c r="H535" s="3">
        <v>40942.049456018518</v>
      </c>
      <c r="L535">
        <f t="shared" si="32"/>
        <v>0</v>
      </c>
      <c r="Q535" t="str">
        <f t="shared" si="33"/>
        <v/>
      </c>
      <c r="R535" t="str">
        <f t="shared" si="34"/>
        <v/>
      </c>
      <c r="S535" t="str">
        <f t="shared" si="35"/>
        <v/>
      </c>
    </row>
    <row r="536" spans="1:19">
      <c r="A536" t="s">
        <v>1752</v>
      </c>
      <c r="C536" s="2" t="s">
        <v>1753</v>
      </c>
      <c r="D536" s="3">
        <v>40921.47996527778</v>
      </c>
      <c r="E536" s="8" t="s">
        <v>1754</v>
      </c>
      <c r="F536" s="8" t="s">
        <v>1755</v>
      </c>
      <c r="G536" t="s">
        <v>1587</v>
      </c>
      <c r="H536" s="3">
        <v>40942.711099537039</v>
      </c>
      <c r="K536">
        <v>1</v>
      </c>
      <c r="L536">
        <f t="shared" si="32"/>
        <v>1</v>
      </c>
      <c r="Q536" t="str">
        <f t="shared" si="33"/>
        <v/>
      </c>
      <c r="R536" t="str">
        <f t="shared" si="34"/>
        <v/>
      </c>
      <c r="S536" t="str">
        <f t="shared" si="35"/>
        <v>TC,de3de42,b34a753</v>
      </c>
    </row>
    <row r="537" spans="1:19">
      <c r="A537" t="s">
        <v>1761</v>
      </c>
      <c r="C537" s="2" t="s">
        <v>1762</v>
      </c>
      <c r="D537" s="3">
        <v>40936.515173611115</v>
      </c>
      <c r="E537" s="8" t="s">
        <v>1763</v>
      </c>
      <c r="F537" s="8" t="s">
        <v>1764</v>
      </c>
      <c r="G537" t="s">
        <v>1587</v>
      </c>
      <c r="H537" s="3">
        <v>40944.940370370372</v>
      </c>
      <c r="L537">
        <f t="shared" si="32"/>
        <v>0</v>
      </c>
      <c r="Q537" t="str">
        <f t="shared" si="33"/>
        <v/>
      </c>
      <c r="R537" t="str">
        <f t="shared" si="34"/>
        <v/>
      </c>
      <c r="S537" t="str">
        <f t="shared" si="35"/>
        <v/>
      </c>
    </row>
    <row r="538" spans="1:19">
      <c r="A538" t="s">
        <v>1810</v>
      </c>
      <c r="C538" s="2" t="s">
        <v>1589</v>
      </c>
      <c r="D538" s="3">
        <v>40945.690740740742</v>
      </c>
      <c r="E538" s="8" t="s">
        <v>1811</v>
      </c>
      <c r="F538" s="8" t="s">
        <v>1812</v>
      </c>
      <c r="G538" t="s">
        <v>1587</v>
      </c>
      <c r="H538" s="3">
        <v>40947.905185185184</v>
      </c>
      <c r="I538">
        <v>1</v>
      </c>
      <c r="L538">
        <f t="shared" si="32"/>
        <v>1</v>
      </c>
      <c r="Q538" t="str">
        <f t="shared" si="33"/>
        <v>MC,8d3e385,980d0ca</v>
      </c>
      <c r="R538" t="str">
        <f t="shared" si="34"/>
        <v/>
      </c>
      <c r="S538" t="str">
        <f t="shared" si="35"/>
        <v/>
      </c>
    </row>
    <row r="539" spans="1:19">
      <c r="A539" t="s">
        <v>1722</v>
      </c>
      <c r="C539" s="2" t="s">
        <v>1589</v>
      </c>
      <c r="D539" s="3">
        <v>40948.749525462961</v>
      </c>
      <c r="E539" s="8" t="s">
        <v>1723</v>
      </c>
      <c r="F539" s="8" t="s">
        <v>1724</v>
      </c>
      <c r="G539" t="s">
        <v>1587</v>
      </c>
      <c r="H539" s="3">
        <v>40952.018935185188</v>
      </c>
      <c r="L539">
        <f t="shared" si="32"/>
        <v>0</v>
      </c>
      <c r="Q539" t="str">
        <f t="shared" si="33"/>
        <v/>
      </c>
      <c r="R539" t="str">
        <f t="shared" si="34"/>
        <v/>
      </c>
      <c r="S539" t="str">
        <f t="shared" si="35"/>
        <v/>
      </c>
    </row>
    <row r="540" spans="1:19">
      <c r="A540" t="s">
        <v>1832</v>
      </c>
      <c r="C540" s="2" t="s">
        <v>1589</v>
      </c>
      <c r="D540" s="3">
        <v>40960.925081018519</v>
      </c>
      <c r="E540" s="8" t="s">
        <v>1833</v>
      </c>
      <c r="F540" s="8" t="s">
        <v>1834</v>
      </c>
      <c r="G540" t="s">
        <v>1587</v>
      </c>
      <c r="H540" s="3">
        <v>40967.481469907405</v>
      </c>
      <c r="L540">
        <f t="shared" si="32"/>
        <v>0</v>
      </c>
      <c r="Q540" t="str">
        <f t="shared" si="33"/>
        <v/>
      </c>
      <c r="R540" t="str">
        <f t="shared" si="34"/>
        <v/>
      </c>
      <c r="S540" t="str">
        <f t="shared" si="35"/>
        <v/>
      </c>
    </row>
    <row r="541" spans="1:19">
      <c r="A541" t="s">
        <v>1803</v>
      </c>
      <c r="C541" s="2" t="s">
        <v>1804</v>
      </c>
      <c r="D541" s="3">
        <v>40964.102858796294</v>
      </c>
      <c r="E541" s="8" t="s">
        <v>1805</v>
      </c>
      <c r="F541" s="8" t="s">
        <v>1806</v>
      </c>
      <c r="G541" t="s">
        <v>1587</v>
      </c>
      <c r="H541" s="3">
        <v>40969.832303240742</v>
      </c>
      <c r="I541">
        <v>1</v>
      </c>
      <c r="L541">
        <f t="shared" si="32"/>
        <v>1</v>
      </c>
      <c r="Q541" t="str">
        <f t="shared" si="33"/>
        <v>MC,9359ebb,b5b3a62</v>
      </c>
      <c r="R541" t="str">
        <f t="shared" si="34"/>
        <v/>
      </c>
      <c r="S541" t="str">
        <f t="shared" si="35"/>
        <v/>
      </c>
    </row>
    <row r="542" spans="1:19">
      <c r="A542" t="s">
        <v>1596</v>
      </c>
      <c r="B542" t="s">
        <v>1681</v>
      </c>
      <c r="C542" s="2" t="s">
        <v>1597</v>
      </c>
      <c r="D542" s="3">
        <v>40951.052569444444</v>
      </c>
      <c r="E542" s="8" t="s">
        <v>1598</v>
      </c>
      <c r="F542" s="8" t="s">
        <v>1599</v>
      </c>
      <c r="G542" t="s">
        <v>1587</v>
      </c>
      <c r="H542" s="3">
        <v>40971.712835648148</v>
      </c>
      <c r="L542">
        <f t="shared" si="32"/>
        <v>0</v>
      </c>
      <c r="Q542" t="str">
        <f t="shared" si="33"/>
        <v/>
      </c>
      <c r="R542" t="str">
        <f t="shared" si="34"/>
        <v/>
      </c>
      <c r="S542" t="str">
        <f t="shared" si="35"/>
        <v/>
      </c>
    </row>
    <row r="543" spans="1:19">
      <c r="A543" t="s">
        <v>1816</v>
      </c>
      <c r="C543" s="2" t="s">
        <v>1587</v>
      </c>
      <c r="D543" s="3">
        <v>40971.713009259256</v>
      </c>
      <c r="E543" s="8" t="s">
        <v>1817</v>
      </c>
      <c r="F543" s="8" t="s">
        <v>1818</v>
      </c>
      <c r="G543" t="s">
        <v>1857</v>
      </c>
      <c r="H543" s="3">
        <v>40971.765243055554</v>
      </c>
      <c r="L543">
        <f t="shared" si="32"/>
        <v>0</v>
      </c>
      <c r="Q543" t="str">
        <f t="shared" si="33"/>
        <v/>
      </c>
      <c r="R543" t="str">
        <f t="shared" si="34"/>
        <v/>
      </c>
      <c r="S543" t="str">
        <f t="shared" si="35"/>
        <v/>
      </c>
    </row>
    <row r="544" spans="1:19">
      <c r="A544" t="s">
        <v>1739</v>
      </c>
      <c r="C544" s="2" t="s">
        <v>1587</v>
      </c>
      <c r="D544" s="3">
        <v>40971.765393518515</v>
      </c>
      <c r="E544" s="8" t="s">
        <v>1740</v>
      </c>
      <c r="F544" s="8" t="s">
        <v>1741</v>
      </c>
      <c r="G544" t="s">
        <v>1857</v>
      </c>
      <c r="H544" s="3">
        <v>40971.796481481484</v>
      </c>
      <c r="L544">
        <f t="shared" ref="L544:L575" si="36">COUNTA(I544:K544)</f>
        <v>0</v>
      </c>
      <c r="Q544" t="str">
        <f t="shared" si="33"/>
        <v/>
      </c>
      <c r="R544" t="str">
        <f t="shared" si="34"/>
        <v/>
      </c>
      <c r="S544" t="str">
        <f t="shared" si="35"/>
        <v/>
      </c>
    </row>
    <row r="545" spans="1:19">
      <c r="A545" t="s">
        <v>1756</v>
      </c>
      <c r="C545" s="2" t="s">
        <v>1587</v>
      </c>
      <c r="D545" s="3">
        <v>40971.796585648146</v>
      </c>
      <c r="E545" s="8" t="s">
        <v>1757</v>
      </c>
      <c r="F545" s="8">
        <v>3559027</v>
      </c>
      <c r="G545" t="s">
        <v>1857</v>
      </c>
      <c r="H545" s="3">
        <v>40971.796736111108</v>
      </c>
      <c r="L545">
        <f t="shared" si="36"/>
        <v>0</v>
      </c>
      <c r="Q545" t="str">
        <f t="shared" si="33"/>
        <v/>
      </c>
      <c r="R545" t="str">
        <f t="shared" si="34"/>
        <v/>
      </c>
      <c r="S545" t="str">
        <f t="shared" si="35"/>
        <v/>
      </c>
    </row>
    <row r="546" spans="1:19">
      <c r="A546" t="s">
        <v>1715</v>
      </c>
      <c r="C546" s="2" t="s">
        <v>1716</v>
      </c>
      <c r="D546" s="3">
        <v>40970.605231481481</v>
      </c>
      <c r="E546" s="8" t="s">
        <v>1717</v>
      </c>
      <c r="F546" s="8" t="s">
        <v>1718</v>
      </c>
      <c r="G546" t="s">
        <v>1587</v>
      </c>
      <c r="H546" s="3">
        <v>40971.856319444443</v>
      </c>
      <c r="L546">
        <f t="shared" si="36"/>
        <v>0</v>
      </c>
      <c r="Q546" t="str">
        <f t="shared" si="33"/>
        <v/>
      </c>
      <c r="R546" t="str">
        <f t="shared" si="34"/>
        <v/>
      </c>
      <c r="S546" t="str">
        <f t="shared" si="35"/>
        <v/>
      </c>
    </row>
    <row r="547" spans="1:19">
      <c r="A547" t="s">
        <v>1790</v>
      </c>
      <c r="C547" s="2" t="s">
        <v>1762</v>
      </c>
      <c r="D547" s="3">
        <v>40936.522118055553</v>
      </c>
      <c r="E547" s="8" t="s">
        <v>1791</v>
      </c>
      <c r="F547" s="8" t="s">
        <v>1792</v>
      </c>
      <c r="G547" t="s">
        <v>1587</v>
      </c>
      <c r="H547" s="3">
        <v>40971.863553240742</v>
      </c>
      <c r="L547">
        <f t="shared" si="36"/>
        <v>0</v>
      </c>
      <c r="Q547" t="str">
        <f t="shared" si="33"/>
        <v/>
      </c>
      <c r="R547" t="str">
        <f t="shared" si="34"/>
        <v/>
      </c>
      <c r="S547" t="str">
        <f t="shared" si="35"/>
        <v/>
      </c>
    </row>
    <row r="548" spans="1:19">
      <c r="A548" t="s">
        <v>1796</v>
      </c>
      <c r="C548" s="2" t="s">
        <v>1587</v>
      </c>
      <c r="D548" s="3">
        <v>40975.658680555556</v>
      </c>
      <c r="E548" s="8">
        <v>3586082</v>
      </c>
      <c r="F548" s="8" t="s">
        <v>1797</v>
      </c>
      <c r="G548" t="s">
        <v>1857</v>
      </c>
      <c r="H548" s="3">
        <v>40976.782349537039</v>
      </c>
      <c r="L548">
        <f t="shared" si="36"/>
        <v>0</v>
      </c>
      <c r="Q548" t="str">
        <f t="shared" si="33"/>
        <v/>
      </c>
      <c r="R548" t="str">
        <f t="shared" si="34"/>
        <v/>
      </c>
      <c r="S548" t="str">
        <f t="shared" si="35"/>
        <v/>
      </c>
    </row>
    <row r="549" spans="1:19">
      <c r="A549" t="s">
        <v>1748</v>
      </c>
      <c r="C549" s="2" t="s">
        <v>1587</v>
      </c>
      <c r="D549" s="3">
        <v>40983.737534722219</v>
      </c>
      <c r="E549" s="8" t="s">
        <v>1749</v>
      </c>
      <c r="F549" s="8" t="s">
        <v>1750</v>
      </c>
      <c r="G549" t="s">
        <v>1751</v>
      </c>
      <c r="H549" s="3">
        <v>40985.595567129632</v>
      </c>
      <c r="L549">
        <f t="shared" si="36"/>
        <v>0</v>
      </c>
      <c r="Q549" t="str">
        <f t="shared" si="33"/>
        <v/>
      </c>
      <c r="R549" t="str">
        <f t="shared" si="34"/>
        <v/>
      </c>
      <c r="S549" t="str">
        <f t="shared" si="35"/>
        <v/>
      </c>
    </row>
    <row r="550" spans="1:19">
      <c r="A550" t="s">
        <v>1745</v>
      </c>
      <c r="C550" s="2" t="s">
        <v>1707</v>
      </c>
      <c r="D550" s="3">
        <v>40962.997662037036</v>
      </c>
      <c r="E550" s="8" t="s">
        <v>1746</v>
      </c>
      <c r="F550" s="8" t="s">
        <v>1747</v>
      </c>
      <c r="G550" t="s">
        <v>1587</v>
      </c>
      <c r="H550" s="3">
        <v>40989.187175925923</v>
      </c>
      <c r="K550">
        <v>1</v>
      </c>
      <c r="L550">
        <f t="shared" si="36"/>
        <v>1</v>
      </c>
      <c r="Q550" t="str">
        <f t="shared" si="33"/>
        <v/>
      </c>
      <c r="R550" t="str">
        <f t="shared" si="34"/>
        <v/>
      </c>
      <c r="S550" t="str">
        <f t="shared" si="35"/>
        <v>TC,554c49e,3343cc8</v>
      </c>
    </row>
    <row r="551" spans="1:19">
      <c r="A551" t="s">
        <v>1728</v>
      </c>
      <c r="C551" s="2" t="s">
        <v>1729</v>
      </c>
      <c r="D551" s="3">
        <v>40987.401006944441</v>
      </c>
      <c r="E551" s="8" t="s">
        <v>1730</v>
      </c>
      <c r="F551" s="8" t="s">
        <v>1731</v>
      </c>
      <c r="G551" t="s">
        <v>1587</v>
      </c>
      <c r="H551" s="3">
        <v>40990.09033564815</v>
      </c>
      <c r="K551">
        <v>1</v>
      </c>
      <c r="L551">
        <f t="shared" si="36"/>
        <v>1</v>
      </c>
      <c r="Q551" t="str">
        <f t="shared" si="33"/>
        <v/>
      </c>
      <c r="R551" t="str">
        <f t="shared" si="34"/>
        <v/>
      </c>
      <c r="S551" t="str">
        <f t="shared" si="35"/>
        <v>TC,d5cc24f,ba71589</v>
      </c>
    </row>
    <row r="552" spans="1:19">
      <c r="A552" t="s">
        <v>1706</v>
      </c>
      <c r="C552" s="2" t="s">
        <v>1707</v>
      </c>
      <c r="D552" s="3">
        <v>40989.462743055556</v>
      </c>
      <c r="E552" s="8" t="s">
        <v>1708</v>
      </c>
      <c r="F552" s="8" t="s">
        <v>1709</v>
      </c>
      <c r="G552" t="s">
        <v>1587</v>
      </c>
      <c r="H552" s="3">
        <v>40990.916180555556</v>
      </c>
      <c r="L552">
        <f t="shared" si="36"/>
        <v>0</v>
      </c>
      <c r="Q552" t="str">
        <f t="shared" si="33"/>
        <v/>
      </c>
      <c r="R552" t="str">
        <f t="shared" si="34"/>
        <v/>
      </c>
      <c r="S552" t="str">
        <f t="shared" si="35"/>
        <v/>
      </c>
    </row>
    <row r="553" spans="1:19">
      <c r="A553" t="s">
        <v>1612</v>
      </c>
      <c r="B553" t="s">
        <v>1772</v>
      </c>
      <c r="C553" s="2" t="s">
        <v>1587</v>
      </c>
      <c r="D553" s="3">
        <v>40834.087141203701</v>
      </c>
      <c r="E553" s="8" t="s">
        <v>1613</v>
      </c>
      <c r="F553" s="8" t="s">
        <v>1614</v>
      </c>
      <c r="G553" t="s">
        <v>1857</v>
      </c>
      <c r="H553" s="3">
        <v>41001.536666666667</v>
      </c>
      <c r="I553">
        <v>1</v>
      </c>
      <c r="L553">
        <f t="shared" si="36"/>
        <v>1</v>
      </c>
      <c r="Q553" t="str">
        <f t="shared" si="33"/>
        <v>MC,f597bb1,c1b8943</v>
      </c>
      <c r="R553" t="str">
        <f t="shared" si="34"/>
        <v/>
      </c>
      <c r="S553" t="str">
        <f t="shared" si="35"/>
        <v/>
      </c>
    </row>
    <row r="554" spans="1:19">
      <c r="A554" t="s">
        <v>1712</v>
      </c>
      <c r="C554" s="2" t="s">
        <v>1587</v>
      </c>
      <c r="D554" s="3">
        <v>41001.925486111111</v>
      </c>
      <c r="E554" s="8" t="s">
        <v>1713</v>
      </c>
      <c r="F554" s="8" t="s">
        <v>1714</v>
      </c>
      <c r="G554" t="s">
        <v>1857</v>
      </c>
      <c r="H554" s="3">
        <v>41002.007951388892</v>
      </c>
      <c r="L554">
        <f t="shared" si="36"/>
        <v>0</v>
      </c>
      <c r="Q554" t="str">
        <f t="shared" si="33"/>
        <v/>
      </c>
      <c r="R554" t="str">
        <f t="shared" si="34"/>
        <v/>
      </c>
      <c r="S554" t="str">
        <f t="shared" si="35"/>
        <v/>
      </c>
    </row>
    <row r="555" spans="1:19">
      <c r="A555" t="s">
        <v>1765</v>
      </c>
      <c r="C555" s="2" t="s">
        <v>1587</v>
      </c>
      <c r="D555" s="3">
        <v>41003.676979166667</v>
      </c>
      <c r="E555" s="8" t="s">
        <v>1766</v>
      </c>
      <c r="F555" s="8" t="s">
        <v>1767</v>
      </c>
      <c r="G555" t="s">
        <v>1593</v>
      </c>
      <c r="H555" s="3">
        <v>41003.982673611114</v>
      </c>
      <c r="L555">
        <f t="shared" si="36"/>
        <v>0</v>
      </c>
      <c r="Q555" t="str">
        <f t="shared" si="33"/>
        <v/>
      </c>
      <c r="R555" t="str">
        <f t="shared" si="34"/>
        <v/>
      </c>
      <c r="S555" t="str">
        <f t="shared" si="35"/>
        <v/>
      </c>
    </row>
    <row r="556" spans="1:19">
      <c r="A556" t="s">
        <v>1672</v>
      </c>
      <c r="C556" s="2" t="s">
        <v>1593</v>
      </c>
      <c r="D556" s="3">
        <v>41005.740624999999</v>
      </c>
      <c r="E556" s="8" t="s">
        <v>1673</v>
      </c>
      <c r="F556" s="8" t="s">
        <v>1674</v>
      </c>
      <c r="G556" t="s">
        <v>1587</v>
      </c>
      <c r="H556" s="3">
        <v>41011.578483796293</v>
      </c>
      <c r="L556">
        <f t="shared" si="36"/>
        <v>0</v>
      </c>
      <c r="Q556" t="str">
        <f t="shared" si="33"/>
        <v/>
      </c>
      <c r="R556" t="str">
        <f t="shared" si="34"/>
        <v/>
      </c>
      <c r="S556" t="str">
        <f t="shared" si="35"/>
        <v/>
      </c>
    </row>
    <row r="557" spans="1:19">
      <c r="A557" t="s">
        <v>1825</v>
      </c>
      <c r="C557" s="2" t="s">
        <v>1587</v>
      </c>
      <c r="D557" s="3">
        <v>41011.575671296298</v>
      </c>
      <c r="E557" s="8" t="s">
        <v>1826</v>
      </c>
      <c r="F557" s="8">
        <v>6584476</v>
      </c>
      <c r="G557" t="s">
        <v>1593</v>
      </c>
      <c r="H557" s="3">
        <v>41011.823472222219</v>
      </c>
      <c r="L557">
        <f t="shared" si="36"/>
        <v>0</v>
      </c>
      <c r="Q557" t="str">
        <f t="shared" si="33"/>
        <v/>
      </c>
      <c r="R557" t="str">
        <f t="shared" si="34"/>
        <v/>
      </c>
      <c r="S557" t="str">
        <f t="shared" si="35"/>
        <v/>
      </c>
    </row>
    <row r="558" spans="1:19">
      <c r="A558" s="1" t="s">
        <v>1592</v>
      </c>
      <c r="B558" t="s">
        <v>1607</v>
      </c>
      <c r="C558" s="2" t="s">
        <v>1593</v>
      </c>
      <c r="D558" s="3">
        <v>41008.872766203705</v>
      </c>
      <c r="E558" s="8" t="s">
        <v>1594</v>
      </c>
      <c r="F558" s="8" t="s">
        <v>1595</v>
      </c>
      <c r="G558" t="s">
        <v>1587</v>
      </c>
      <c r="H558" s="3">
        <v>41012.486481481479</v>
      </c>
      <c r="K558">
        <v>1</v>
      </c>
      <c r="L558">
        <f t="shared" si="36"/>
        <v>1</v>
      </c>
      <c r="Q558" t="str">
        <f t="shared" si="33"/>
        <v/>
      </c>
      <c r="R558" t="str">
        <f t="shared" si="34"/>
        <v/>
      </c>
      <c r="S558" t="str">
        <f t="shared" si="35"/>
        <v>TC,8581cce,6d32c6c</v>
      </c>
    </row>
    <row r="559" spans="1:19">
      <c r="A559" t="s">
        <v>1843</v>
      </c>
      <c r="C559" s="2" t="s">
        <v>1587</v>
      </c>
      <c r="D559" s="3">
        <v>41016.013078703705</v>
      </c>
      <c r="E559" s="8" t="s">
        <v>1844</v>
      </c>
      <c r="F559" s="8" t="s">
        <v>1845</v>
      </c>
      <c r="G559" t="s">
        <v>1707</v>
      </c>
      <c r="H559" s="3">
        <v>41016.467210648145</v>
      </c>
      <c r="K559">
        <v>1</v>
      </c>
      <c r="L559">
        <f t="shared" si="36"/>
        <v>1</v>
      </c>
      <c r="Q559" t="str">
        <f t="shared" si="33"/>
        <v/>
      </c>
      <c r="R559" t="str">
        <f t="shared" si="34"/>
        <v/>
      </c>
      <c r="S559" t="str">
        <f t="shared" si="35"/>
        <v>TC,ec812fa,469cd6b</v>
      </c>
    </row>
    <row r="560" spans="1:19">
      <c r="A560" t="s">
        <v>1681</v>
      </c>
      <c r="C560" s="2" t="s">
        <v>1587</v>
      </c>
      <c r="D560" s="3">
        <v>41007.922094907408</v>
      </c>
      <c r="E560" s="8" t="s">
        <v>1682</v>
      </c>
      <c r="F560" s="8" t="s">
        <v>1683</v>
      </c>
      <c r="G560" t="s">
        <v>1857</v>
      </c>
      <c r="H560" s="3">
        <v>41018.935856481483</v>
      </c>
      <c r="I560">
        <v>1</v>
      </c>
      <c r="L560">
        <f t="shared" si="36"/>
        <v>1</v>
      </c>
      <c r="Q560" t="str">
        <f t="shared" si="33"/>
        <v>MC,62db063,35c70ed</v>
      </c>
      <c r="R560" t="str">
        <f t="shared" si="34"/>
        <v/>
      </c>
      <c r="S560" t="str">
        <f t="shared" si="35"/>
        <v/>
      </c>
    </row>
    <row r="561" spans="1:19">
      <c r="A561" t="s">
        <v>1688</v>
      </c>
      <c r="C561" s="2" t="s">
        <v>1689</v>
      </c>
      <c r="D561" s="3">
        <v>41017.679386574076</v>
      </c>
      <c r="E561" s="8" t="s">
        <v>1690</v>
      </c>
      <c r="F561" s="8" t="s">
        <v>1683</v>
      </c>
      <c r="G561" t="s">
        <v>1587</v>
      </c>
      <c r="H561" s="3">
        <v>41018.935856481483</v>
      </c>
      <c r="L561">
        <f t="shared" si="36"/>
        <v>0</v>
      </c>
      <c r="Q561" t="str">
        <f t="shared" si="33"/>
        <v/>
      </c>
      <c r="R561" t="str">
        <f t="shared" si="34"/>
        <v/>
      </c>
      <c r="S561" t="str">
        <f t="shared" si="35"/>
        <v/>
      </c>
    </row>
    <row r="562" spans="1:19">
      <c r="A562" t="s">
        <v>1793</v>
      </c>
      <c r="C562" s="2" t="s">
        <v>1794</v>
      </c>
      <c r="D562" s="3">
        <v>41015.414305555554</v>
      </c>
      <c r="E562" s="8">
        <v>1837662</v>
      </c>
      <c r="F562" s="8" t="s">
        <v>1795</v>
      </c>
      <c r="G562" t="s">
        <v>1587</v>
      </c>
      <c r="H562" s="3">
        <v>41019.84170138889</v>
      </c>
      <c r="L562">
        <f t="shared" si="36"/>
        <v>0</v>
      </c>
      <c r="Q562" t="str">
        <f t="shared" si="33"/>
        <v/>
      </c>
      <c r="R562" t="str">
        <f t="shared" si="34"/>
        <v/>
      </c>
      <c r="S562" t="str">
        <f t="shared" si="35"/>
        <v/>
      </c>
    </row>
    <row r="563" spans="1:19">
      <c r="A563" t="s">
        <v>1801</v>
      </c>
      <c r="C563" s="2" t="s">
        <v>1587</v>
      </c>
      <c r="D563" s="3">
        <v>41019.072557870371</v>
      </c>
      <c r="E563" s="8" t="s">
        <v>1802</v>
      </c>
      <c r="F563" s="8" t="s">
        <v>1795</v>
      </c>
      <c r="G563" t="s">
        <v>1857</v>
      </c>
      <c r="H563" s="3">
        <v>41019.84170138889</v>
      </c>
      <c r="I563">
        <v>1</v>
      </c>
      <c r="L563">
        <f t="shared" si="36"/>
        <v>1</v>
      </c>
      <c r="Q563" t="str">
        <f t="shared" si="33"/>
        <v>MC,c72758b,aaaa759</v>
      </c>
      <c r="R563" t="str">
        <f t="shared" si="34"/>
        <v/>
      </c>
      <c r="S563" t="str">
        <f t="shared" si="35"/>
        <v/>
      </c>
    </row>
    <row r="564" spans="1:19">
      <c r="A564" t="s">
        <v>1736</v>
      </c>
      <c r="C564" s="2" t="s">
        <v>1587</v>
      </c>
      <c r="D564" s="3">
        <v>41019.867662037039</v>
      </c>
      <c r="E564" s="8" t="s">
        <v>1737</v>
      </c>
      <c r="F564" s="8" t="s">
        <v>1738</v>
      </c>
      <c r="G564" t="s">
        <v>1857</v>
      </c>
      <c r="H564" s="3">
        <v>41019.962453703702</v>
      </c>
      <c r="I564">
        <v>1</v>
      </c>
      <c r="L564">
        <f t="shared" si="36"/>
        <v>1</v>
      </c>
      <c r="Q564" t="str">
        <f t="shared" si="33"/>
        <v>MC,f84d181,7918fad</v>
      </c>
      <c r="R564" t="str">
        <f t="shared" si="34"/>
        <v/>
      </c>
      <c r="S564" t="str">
        <f t="shared" si="35"/>
        <v/>
      </c>
    </row>
    <row r="565" spans="1:19">
      <c r="A565" t="s">
        <v>1768</v>
      </c>
      <c r="C565" s="2" t="s">
        <v>1769</v>
      </c>
      <c r="D565" s="3">
        <v>41022.782164351855</v>
      </c>
      <c r="E565" s="8" t="s">
        <v>1770</v>
      </c>
      <c r="F565" s="8" t="s">
        <v>1771</v>
      </c>
      <c r="G565" t="s">
        <v>1587</v>
      </c>
      <c r="H565" s="3">
        <v>41023.777418981481</v>
      </c>
      <c r="I565">
        <v>1</v>
      </c>
      <c r="L565">
        <f t="shared" si="36"/>
        <v>1</v>
      </c>
      <c r="Q565" t="str">
        <f t="shared" si="33"/>
        <v>MC,3a2e9b1,efd8ad7</v>
      </c>
      <c r="R565" t="str">
        <f t="shared" si="34"/>
        <v/>
      </c>
      <c r="S565" t="str">
        <f t="shared" si="35"/>
        <v/>
      </c>
    </row>
    <row r="566" spans="1:19">
      <c r="A566" t="s">
        <v>1787</v>
      </c>
      <c r="C566" s="2" t="s">
        <v>1587</v>
      </c>
      <c r="D566" s="3">
        <v>41023.775810185187</v>
      </c>
      <c r="E566" s="8" t="s">
        <v>1788</v>
      </c>
      <c r="F566" s="8" t="s">
        <v>1789</v>
      </c>
      <c r="G566" t="s">
        <v>1857</v>
      </c>
      <c r="H566" s="3">
        <v>41027.961770833332</v>
      </c>
      <c r="I566">
        <v>1</v>
      </c>
      <c r="L566">
        <f t="shared" si="36"/>
        <v>1</v>
      </c>
      <c r="Q566" t="str">
        <f t="shared" si="33"/>
        <v>MC,b7d7962,a942da6</v>
      </c>
      <c r="R566" t="str">
        <f t="shared" si="34"/>
        <v/>
      </c>
      <c r="S566" t="str">
        <f t="shared" si="35"/>
        <v/>
      </c>
    </row>
    <row r="567" spans="1:19">
      <c r="A567" t="s">
        <v>1678</v>
      </c>
      <c r="C567" s="2" t="s">
        <v>1587</v>
      </c>
      <c r="D567" s="3">
        <v>41035.714641203704</v>
      </c>
      <c r="E567" s="8" t="s">
        <v>1679</v>
      </c>
      <c r="F567" s="8" t="s">
        <v>1680</v>
      </c>
      <c r="G567" t="s">
        <v>1857</v>
      </c>
      <c r="H567" s="3">
        <v>41035.724328703705</v>
      </c>
      <c r="K567">
        <v>1</v>
      </c>
      <c r="L567">
        <f t="shared" si="36"/>
        <v>1</v>
      </c>
      <c r="Q567" t="str">
        <f t="shared" si="33"/>
        <v/>
      </c>
      <c r="R567" t="str">
        <f t="shared" si="34"/>
        <v/>
      </c>
      <c r="S567" t="str">
        <f t="shared" si="35"/>
        <v>TC,e01055f,9bfb89e</v>
      </c>
    </row>
    <row r="568" spans="1:19">
      <c r="A568" t="s">
        <v>1691</v>
      </c>
      <c r="C568" s="2" t="s">
        <v>1587</v>
      </c>
      <c r="D568" s="3">
        <v>41035.724398148152</v>
      </c>
      <c r="E568" s="8" t="s">
        <v>1692</v>
      </c>
      <c r="F568" s="8" t="s">
        <v>1693</v>
      </c>
      <c r="G568" t="s">
        <v>1857</v>
      </c>
      <c r="H568" s="3">
        <v>41035.854143518518</v>
      </c>
      <c r="J568">
        <v>1</v>
      </c>
      <c r="L568">
        <f t="shared" si="36"/>
        <v>1</v>
      </c>
      <c r="Q568" t="str">
        <f t="shared" si="33"/>
        <v/>
      </c>
      <c r="R568" t="str">
        <f t="shared" si="34"/>
        <v>BC,3b2917d,22ca072</v>
      </c>
      <c r="S568" t="str">
        <f t="shared" si="35"/>
        <v/>
      </c>
    </row>
    <row r="569" spans="1:19">
      <c r="A569" t="s">
        <v>1654</v>
      </c>
      <c r="C569" s="2" t="s">
        <v>1587</v>
      </c>
      <c r="D569" s="3">
        <v>41037.06355324074</v>
      </c>
      <c r="E569" s="8" t="s">
        <v>1655</v>
      </c>
      <c r="F569" s="8" t="s">
        <v>1656</v>
      </c>
      <c r="G569" t="s">
        <v>1857</v>
      </c>
      <c r="H569" s="3">
        <v>41037.743136574078</v>
      </c>
      <c r="J569">
        <v>1</v>
      </c>
      <c r="L569">
        <f t="shared" si="36"/>
        <v>1</v>
      </c>
      <c r="Q569" t="str">
        <f t="shared" si="33"/>
        <v/>
      </c>
      <c r="R569" t="str">
        <f t="shared" si="34"/>
        <v>BC,3d0692a,45d0640</v>
      </c>
      <c r="S569" t="str">
        <f t="shared" si="35"/>
        <v/>
      </c>
    </row>
    <row r="570" spans="1:19">
      <c r="A570" t="s">
        <v>1645</v>
      </c>
      <c r="C570" s="2" t="s">
        <v>1587</v>
      </c>
      <c r="D570" s="3">
        <v>41037.74322916667</v>
      </c>
      <c r="E570" s="8" t="s">
        <v>1646</v>
      </c>
      <c r="F570" s="8" t="s">
        <v>1855</v>
      </c>
      <c r="G570" t="s">
        <v>1857</v>
      </c>
      <c r="H570" s="3">
        <v>41037.744641203702</v>
      </c>
      <c r="L570">
        <f t="shared" si="36"/>
        <v>0</v>
      </c>
      <c r="Q570" t="str">
        <f t="shared" si="33"/>
        <v/>
      </c>
      <c r="R570" t="str">
        <f t="shared" si="34"/>
        <v/>
      </c>
      <c r="S570" t="str">
        <f t="shared" si="35"/>
        <v/>
      </c>
    </row>
    <row r="571" spans="1:19">
      <c r="A571" t="s">
        <v>1849</v>
      </c>
      <c r="C571" s="2" t="s">
        <v>1593</v>
      </c>
      <c r="D571" s="3">
        <v>41036.902175925927</v>
      </c>
      <c r="E571" s="8" t="s">
        <v>1850</v>
      </c>
      <c r="F571" s="8" t="s">
        <v>1851</v>
      </c>
      <c r="G571" t="s">
        <v>1587</v>
      </c>
      <c r="H571" s="3">
        <v>41038.049537037034</v>
      </c>
      <c r="I571">
        <v>1</v>
      </c>
      <c r="L571">
        <f t="shared" si="36"/>
        <v>1</v>
      </c>
      <c r="Q571" t="str">
        <f t="shared" si="33"/>
        <v>MC,8f1a4be,adf6484</v>
      </c>
      <c r="R571" t="str">
        <f t="shared" si="34"/>
        <v/>
      </c>
      <c r="S571" t="str">
        <f t="shared" si="35"/>
        <v/>
      </c>
    </row>
    <row r="572" spans="1:19">
      <c r="A572" t="s">
        <v>1657</v>
      </c>
      <c r="C572" s="2" t="s">
        <v>1593</v>
      </c>
      <c r="D572" s="3">
        <v>41035.405127314814</v>
      </c>
      <c r="E572" s="8" t="s">
        <v>1658</v>
      </c>
      <c r="F572" s="8" t="s">
        <v>1659</v>
      </c>
      <c r="G572" t="s">
        <v>1587</v>
      </c>
      <c r="H572" s="3">
        <v>41038.54351851852</v>
      </c>
      <c r="L572">
        <f t="shared" si="36"/>
        <v>0</v>
      </c>
      <c r="Q572" t="str">
        <f t="shared" si="33"/>
        <v/>
      </c>
      <c r="R572" t="str">
        <f t="shared" si="34"/>
        <v/>
      </c>
      <c r="S572" t="str">
        <f t="shared" si="35"/>
        <v/>
      </c>
    </row>
    <row r="573" spans="1:19">
      <c r="A573" t="s">
        <v>1775</v>
      </c>
      <c r="C573" s="2" t="s">
        <v>1587</v>
      </c>
      <c r="D573" s="3">
        <v>41038.578912037039</v>
      </c>
      <c r="E573" s="8" t="s">
        <v>1776</v>
      </c>
      <c r="F573" s="8" t="s">
        <v>1777</v>
      </c>
      <c r="G573" t="s">
        <v>1857</v>
      </c>
      <c r="H573" s="3">
        <v>41038.658437500002</v>
      </c>
      <c r="L573">
        <f t="shared" si="36"/>
        <v>0</v>
      </c>
      <c r="Q573" t="str">
        <f t="shared" si="33"/>
        <v/>
      </c>
      <c r="R573" t="str">
        <f t="shared" si="34"/>
        <v/>
      </c>
      <c r="S573" t="str">
        <f t="shared" si="35"/>
        <v/>
      </c>
    </row>
    <row r="574" spans="1:19">
      <c r="A574" t="s">
        <v>1778</v>
      </c>
      <c r="C574" s="2" t="s">
        <v>1587</v>
      </c>
      <c r="D574" s="3">
        <v>41038.507245370369</v>
      </c>
      <c r="E574" s="8" t="s">
        <v>1779</v>
      </c>
      <c r="F574" s="8" t="s">
        <v>1780</v>
      </c>
      <c r="G574" t="s">
        <v>1593</v>
      </c>
      <c r="H574" s="3">
        <v>41038.677581018521</v>
      </c>
      <c r="L574">
        <f t="shared" si="36"/>
        <v>0</v>
      </c>
      <c r="Q574" t="str">
        <f t="shared" si="33"/>
        <v/>
      </c>
      <c r="R574" t="str">
        <f t="shared" si="34"/>
        <v/>
      </c>
      <c r="S574" t="str">
        <f t="shared" si="35"/>
        <v/>
      </c>
    </row>
    <row r="575" spans="1:19">
      <c r="A575" t="s">
        <v>1781</v>
      </c>
      <c r="C575" s="2" t="s">
        <v>1587</v>
      </c>
      <c r="D575" s="3">
        <v>41038.676168981481</v>
      </c>
      <c r="E575" s="8" t="s">
        <v>1782</v>
      </c>
      <c r="F575" s="8" t="s">
        <v>1783</v>
      </c>
      <c r="G575" t="s">
        <v>1857</v>
      </c>
      <c r="H575" s="3">
        <v>41038.747569444444</v>
      </c>
      <c r="L575">
        <f t="shared" si="36"/>
        <v>0</v>
      </c>
      <c r="Q575" t="str">
        <f t="shared" si="33"/>
        <v/>
      </c>
      <c r="R575" t="str">
        <f t="shared" si="34"/>
        <v/>
      </c>
      <c r="S575" t="str">
        <f t="shared" si="35"/>
        <v/>
      </c>
    </row>
    <row r="576" spans="1:19">
      <c r="A576" t="s">
        <v>1600</v>
      </c>
      <c r="B576" t="s">
        <v>1710</v>
      </c>
      <c r="C576" s="2" t="s">
        <v>1587</v>
      </c>
      <c r="D576" s="3">
        <v>41038.758101851854</v>
      </c>
      <c r="E576" s="8" t="s">
        <v>1601</v>
      </c>
      <c r="F576" s="8" t="s">
        <v>1602</v>
      </c>
      <c r="G576" t="s">
        <v>1857</v>
      </c>
      <c r="H576" s="3">
        <v>41038.777650462966</v>
      </c>
      <c r="L576">
        <f t="shared" ref="L576:L587" si="37">COUNTA(I576:K576)</f>
        <v>0</v>
      </c>
      <c r="Q576" t="str">
        <f t="shared" si="33"/>
        <v/>
      </c>
      <c r="R576" t="str">
        <f t="shared" si="34"/>
        <v/>
      </c>
      <c r="S576" t="str">
        <f t="shared" si="35"/>
        <v/>
      </c>
    </row>
    <row r="577" spans="1:19">
      <c r="A577" t="s">
        <v>1703</v>
      </c>
      <c r="C577" s="2" t="s">
        <v>1587</v>
      </c>
      <c r="D577" s="3">
        <v>41039.4996875</v>
      </c>
      <c r="E577" s="8" t="s">
        <v>1704</v>
      </c>
      <c r="F577" s="8" t="s">
        <v>1705</v>
      </c>
      <c r="G577" t="s">
        <v>1857</v>
      </c>
      <c r="H577" s="3">
        <v>41041.03224537037</v>
      </c>
      <c r="L577">
        <f t="shared" si="37"/>
        <v>0</v>
      </c>
      <c r="Q577" t="str">
        <f t="shared" si="33"/>
        <v/>
      </c>
      <c r="R577" t="str">
        <f t="shared" si="34"/>
        <v/>
      </c>
      <c r="S577" t="str">
        <f t="shared" si="35"/>
        <v/>
      </c>
    </row>
    <row r="578" spans="1:19">
      <c r="A578" t="s">
        <v>1647</v>
      </c>
      <c r="B578" t="s">
        <v>1612</v>
      </c>
      <c r="C578" s="2" t="s">
        <v>1587</v>
      </c>
      <c r="D578" s="3">
        <v>41041.716157407405</v>
      </c>
      <c r="E578" s="8" t="s">
        <v>1648</v>
      </c>
      <c r="F578" s="8" t="s">
        <v>1649</v>
      </c>
      <c r="G578" t="s">
        <v>1857</v>
      </c>
      <c r="H578" s="3">
        <v>41041.717118055552</v>
      </c>
      <c r="J578">
        <v>1</v>
      </c>
      <c r="L578">
        <f t="shared" si="37"/>
        <v>1</v>
      </c>
      <c r="Q578" t="str">
        <f t="shared" si="33"/>
        <v/>
      </c>
      <c r="R578" t="str">
        <f t="shared" si="34"/>
        <v>BC,19c79c1,aa91046</v>
      </c>
      <c r="S578" t="str">
        <f t="shared" si="35"/>
        <v/>
      </c>
    </row>
    <row r="579" spans="1:19">
      <c r="A579" t="s">
        <v>1609</v>
      </c>
      <c r="B579" t="s">
        <v>1787</v>
      </c>
      <c r="C579" s="2" t="s">
        <v>1587</v>
      </c>
      <c r="D579" s="3">
        <v>41041.033483796295</v>
      </c>
      <c r="E579" s="8" t="s">
        <v>1610</v>
      </c>
      <c r="F579" s="8" t="s">
        <v>1611</v>
      </c>
      <c r="G579" t="s">
        <v>1857</v>
      </c>
      <c r="H579" s="3">
        <v>41041.717129629629</v>
      </c>
      <c r="K579">
        <v>1</v>
      </c>
      <c r="L579">
        <f t="shared" si="37"/>
        <v>1</v>
      </c>
      <c r="Q579" t="str">
        <f t="shared" ref="Q579:Q599" si="38">IF(I579&gt;0,CONCATENATE("MC,",E579,",",F579),"")</f>
        <v/>
      </c>
      <c r="R579" t="str">
        <f t="shared" ref="R579:R599" si="39">IF(J579&gt;0,CONCATENATE("BC,",E579,",",F579),"")</f>
        <v/>
      </c>
      <c r="S579" t="str">
        <f t="shared" ref="S579:S599" si="40">IF(K579&gt;0,CONCATENATE("TC,",E579,",",F579),"")</f>
        <v>TC,4b1ccd9,edbddf2</v>
      </c>
    </row>
    <row r="580" spans="1:19">
      <c r="A580" t="s">
        <v>1830</v>
      </c>
      <c r="C580" s="2" t="s">
        <v>1587</v>
      </c>
      <c r="D580" s="3">
        <v>41041.716157407405</v>
      </c>
      <c r="E580" s="8" t="s">
        <v>1648</v>
      </c>
      <c r="F580" s="8" t="s">
        <v>1831</v>
      </c>
      <c r="G580" t="s">
        <v>1857</v>
      </c>
      <c r="H580" s="3">
        <v>41043.04314814815</v>
      </c>
      <c r="J580">
        <v>1</v>
      </c>
      <c r="L580">
        <f t="shared" si="37"/>
        <v>1</v>
      </c>
      <c r="Q580" t="str">
        <f t="shared" si="38"/>
        <v/>
      </c>
      <c r="R580" t="str">
        <f t="shared" si="39"/>
        <v>BC,19c79c1,dc511b6</v>
      </c>
      <c r="S580" t="str">
        <f t="shared" si="40"/>
        <v/>
      </c>
    </row>
    <row r="581" spans="1:19">
      <c r="A581" t="s">
        <v>1807</v>
      </c>
      <c r="C581" s="2" t="s">
        <v>1587</v>
      </c>
      <c r="D581" s="3">
        <v>41043.957974537036</v>
      </c>
      <c r="E581" s="8" t="s">
        <v>1808</v>
      </c>
      <c r="F581" s="8" t="s">
        <v>1809</v>
      </c>
      <c r="G581" t="s">
        <v>1857</v>
      </c>
      <c r="H581" s="3">
        <v>41043.978217592594</v>
      </c>
      <c r="L581">
        <f t="shared" si="37"/>
        <v>0</v>
      </c>
      <c r="Q581" t="str">
        <f t="shared" si="38"/>
        <v/>
      </c>
      <c r="R581" t="str">
        <f t="shared" si="39"/>
        <v/>
      </c>
      <c r="S581" t="str">
        <f t="shared" si="40"/>
        <v/>
      </c>
    </row>
    <row r="582" spans="1:19">
      <c r="A582" t="s">
        <v>1642</v>
      </c>
      <c r="C582" s="2" t="s">
        <v>1587</v>
      </c>
      <c r="D582" s="3">
        <v>41043.978275462963</v>
      </c>
      <c r="E582" s="8" t="s">
        <v>1643</v>
      </c>
      <c r="F582" s="8" t="s">
        <v>1644</v>
      </c>
      <c r="G582" t="s">
        <v>1857</v>
      </c>
      <c r="H582" s="3">
        <v>41045.86891203704</v>
      </c>
      <c r="L582">
        <f t="shared" si="37"/>
        <v>0</v>
      </c>
      <c r="Q582" t="str">
        <f t="shared" si="38"/>
        <v/>
      </c>
      <c r="R582" t="str">
        <f t="shared" si="39"/>
        <v/>
      </c>
      <c r="S582" t="str">
        <f t="shared" si="40"/>
        <v/>
      </c>
    </row>
    <row r="583" spans="1:19">
      <c r="A583" t="s">
        <v>1846</v>
      </c>
      <c r="C583" s="2" t="s">
        <v>1587</v>
      </c>
      <c r="D583" s="3">
        <v>41043.04650462963</v>
      </c>
      <c r="E583" s="8" t="s">
        <v>1847</v>
      </c>
      <c r="F583" s="8" t="s">
        <v>1848</v>
      </c>
      <c r="G583" t="s">
        <v>1857</v>
      </c>
      <c r="H583" s="3">
        <v>41045.869004629632</v>
      </c>
      <c r="L583">
        <f t="shared" si="37"/>
        <v>0</v>
      </c>
      <c r="Q583" t="str">
        <f t="shared" si="38"/>
        <v/>
      </c>
      <c r="R583" t="str">
        <f t="shared" si="39"/>
        <v/>
      </c>
      <c r="S583" t="str">
        <f t="shared" si="40"/>
        <v/>
      </c>
    </row>
    <row r="584" spans="1:19">
      <c r="A584" t="s">
        <v>1639</v>
      </c>
      <c r="B584" t="s">
        <v>1736</v>
      </c>
      <c r="C584" s="2" t="s">
        <v>1587</v>
      </c>
      <c r="D584" s="3">
        <v>41046.58252314815</v>
      </c>
      <c r="E584" s="8" t="s">
        <v>1640</v>
      </c>
      <c r="F584" s="8" t="s">
        <v>1641</v>
      </c>
      <c r="G584" t="s">
        <v>1857</v>
      </c>
      <c r="H584" s="3">
        <v>41046.61005787037</v>
      </c>
      <c r="I584">
        <v>1</v>
      </c>
      <c r="J584">
        <v>1</v>
      </c>
      <c r="L584">
        <f t="shared" si="37"/>
        <v>2</v>
      </c>
      <c r="Q584" t="str">
        <f t="shared" si="38"/>
        <v>MC,6f99d47,58aeabf</v>
      </c>
      <c r="R584" t="str">
        <f t="shared" si="39"/>
        <v>BC,6f99d47,58aeabf</v>
      </c>
      <c r="S584" t="str">
        <f t="shared" si="40"/>
        <v/>
      </c>
    </row>
    <row r="585" spans="1:19">
      <c r="A585" t="s">
        <v>1725</v>
      </c>
      <c r="C585" s="2" t="s">
        <v>1587</v>
      </c>
      <c r="D585" s="3">
        <v>41046.756331018521</v>
      </c>
      <c r="E585" s="8" t="s">
        <v>1726</v>
      </c>
      <c r="F585" s="8" t="s">
        <v>1727</v>
      </c>
      <c r="G585" t="s">
        <v>1857</v>
      </c>
      <c r="H585" s="3">
        <v>41046.775092592594</v>
      </c>
      <c r="L585">
        <f t="shared" si="37"/>
        <v>0</v>
      </c>
      <c r="Q585" t="str">
        <f t="shared" si="38"/>
        <v/>
      </c>
      <c r="R585" t="str">
        <f t="shared" si="39"/>
        <v/>
      </c>
      <c r="S585" t="str">
        <f t="shared" si="40"/>
        <v/>
      </c>
    </row>
    <row r="586" spans="1:19">
      <c r="A586" t="s">
        <v>1697</v>
      </c>
      <c r="C586" s="2" t="s">
        <v>1587</v>
      </c>
      <c r="D586" s="3">
        <v>41046.775185185186</v>
      </c>
      <c r="E586" s="8" t="s">
        <v>1698</v>
      </c>
      <c r="F586" s="8" t="s">
        <v>1699</v>
      </c>
      <c r="G586" t="s">
        <v>1857</v>
      </c>
      <c r="H586" s="3">
        <v>41046.78025462963</v>
      </c>
      <c r="L586">
        <f t="shared" si="37"/>
        <v>0</v>
      </c>
      <c r="Q586" t="str">
        <f t="shared" si="38"/>
        <v/>
      </c>
      <c r="R586" t="str">
        <f t="shared" si="39"/>
        <v/>
      </c>
      <c r="S586" t="str">
        <f t="shared" si="40"/>
        <v/>
      </c>
    </row>
    <row r="587" spans="1:19">
      <c r="A587" t="s">
        <v>1719</v>
      </c>
      <c r="C587" s="2" t="s">
        <v>1593</v>
      </c>
      <c r="D587" s="3">
        <v>41049.975381944445</v>
      </c>
      <c r="E587" s="8" t="s">
        <v>1720</v>
      </c>
      <c r="F587" s="8" t="s">
        <v>1721</v>
      </c>
      <c r="G587" t="s">
        <v>1587</v>
      </c>
      <c r="H587" s="3">
        <v>41053.775300925925</v>
      </c>
      <c r="I587">
        <v>1</v>
      </c>
      <c r="L587">
        <f t="shared" si="37"/>
        <v>1</v>
      </c>
      <c r="Q587" t="str">
        <f t="shared" si="38"/>
        <v>MC,8475a74,28a0a27</v>
      </c>
      <c r="R587" t="str">
        <f t="shared" si="39"/>
        <v/>
      </c>
      <c r="S587" t="str">
        <f t="shared" si="40"/>
        <v/>
      </c>
    </row>
    <row r="588" spans="1:19">
      <c r="A588" t="s">
        <v>1852</v>
      </c>
      <c r="C588" s="2" t="s">
        <v>1587</v>
      </c>
      <c r="D588" s="3">
        <v>41046.78025462963</v>
      </c>
      <c r="E588" s="8" t="s">
        <v>1699</v>
      </c>
      <c r="F588" s="8" t="s">
        <v>1853</v>
      </c>
      <c r="G588" t="s">
        <v>1593</v>
      </c>
      <c r="H588" s="3">
        <v>41054.911585648151</v>
      </c>
      <c r="Q588" t="str">
        <f t="shared" si="38"/>
        <v/>
      </c>
      <c r="R588" t="str">
        <f t="shared" si="39"/>
        <v/>
      </c>
      <c r="S588" t="str">
        <f t="shared" si="40"/>
        <v/>
      </c>
    </row>
    <row r="589" spans="1:19">
      <c r="A589" t="s">
        <v>1822</v>
      </c>
      <c r="C589" s="2" t="s">
        <v>1587</v>
      </c>
      <c r="D589" s="3">
        <v>41056.805115740739</v>
      </c>
      <c r="E589" s="8" t="s">
        <v>1823</v>
      </c>
      <c r="F589" s="8" t="s">
        <v>1824</v>
      </c>
      <c r="G589" t="s">
        <v>1857</v>
      </c>
      <c r="H589" s="3">
        <v>41057.859907407408</v>
      </c>
      <c r="I589">
        <v>1</v>
      </c>
      <c r="K589">
        <v>1</v>
      </c>
      <c r="L589">
        <f t="shared" ref="L589:L599" si="41">COUNTA(I589:K589)</f>
        <v>2</v>
      </c>
      <c r="Q589" t="str">
        <f t="shared" si="38"/>
        <v>MC,3dfa3e7,4b38429</v>
      </c>
      <c r="R589" t="str">
        <f t="shared" si="39"/>
        <v/>
      </c>
      <c r="S589" t="str">
        <f t="shared" si="40"/>
        <v>TC,3dfa3e7,4b38429</v>
      </c>
    </row>
    <row r="590" spans="1:19">
      <c r="A590" t="s">
        <v>1813</v>
      </c>
      <c r="C590" s="2" t="s">
        <v>1593</v>
      </c>
      <c r="D590" s="3">
        <v>41060.337905092594</v>
      </c>
      <c r="E590" s="8" t="s">
        <v>1814</v>
      </c>
      <c r="F590" s="8" t="s">
        <v>1815</v>
      </c>
      <c r="G590" t="s">
        <v>1587</v>
      </c>
      <c r="H590" s="3">
        <v>41061.680925925924</v>
      </c>
      <c r="L590">
        <f t="shared" si="41"/>
        <v>0</v>
      </c>
      <c r="Q590" t="str">
        <f t="shared" si="38"/>
        <v/>
      </c>
      <c r="R590" t="str">
        <f t="shared" si="39"/>
        <v/>
      </c>
      <c r="S590" t="str">
        <f t="shared" si="40"/>
        <v/>
      </c>
    </row>
    <row r="591" spans="1:19">
      <c r="A591" t="s">
        <v>1650</v>
      </c>
      <c r="C591" s="2" t="s">
        <v>1651</v>
      </c>
      <c r="D591" s="3">
        <v>41047.827615740738</v>
      </c>
      <c r="E591" s="8" t="s">
        <v>1652</v>
      </c>
      <c r="F591" s="8" t="s">
        <v>1653</v>
      </c>
      <c r="G591" t="s">
        <v>1587</v>
      </c>
      <c r="H591" s="3">
        <v>41061.717118055552</v>
      </c>
      <c r="L591">
        <f t="shared" si="41"/>
        <v>0</v>
      </c>
      <c r="Q591" t="str">
        <f t="shared" si="38"/>
        <v/>
      </c>
      <c r="R591" t="str">
        <f t="shared" si="39"/>
        <v/>
      </c>
      <c r="S591" t="str">
        <f t="shared" si="40"/>
        <v/>
      </c>
    </row>
    <row r="592" spans="1:19">
      <c r="A592" t="s">
        <v>1670</v>
      </c>
      <c r="C592" s="2" t="s">
        <v>1587</v>
      </c>
      <c r="D592" s="3">
        <v>41062.019004629627</v>
      </c>
      <c r="E592" s="8" t="s">
        <v>1671</v>
      </c>
      <c r="F592" s="8" t="s">
        <v>1856</v>
      </c>
      <c r="G592" t="s">
        <v>1857</v>
      </c>
      <c r="H592" s="3">
        <v>41063.491215277776</v>
      </c>
      <c r="L592">
        <f t="shared" si="41"/>
        <v>0</v>
      </c>
      <c r="Q592" t="str">
        <f t="shared" si="38"/>
        <v/>
      </c>
      <c r="R592" t="str">
        <f t="shared" si="39"/>
        <v/>
      </c>
      <c r="S592" t="str">
        <f t="shared" si="40"/>
        <v/>
      </c>
    </row>
    <row r="593" spans="1:23">
      <c r="A593" t="s">
        <v>1772</v>
      </c>
      <c r="C593" s="2" t="s">
        <v>1593</v>
      </c>
      <c r="D593" s="3">
        <v>41064.482164351852</v>
      </c>
      <c r="E593" s="8" t="s">
        <v>1773</v>
      </c>
      <c r="F593" s="8" t="s">
        <v>1774</v>
      </c>
      <c r="G593" t="s">
        <v>1587</v>
      </c>
      <c r="H593" s="3">
        <v>41064.505706018521</v>
      </c>
      <c r="I593">
        <v>1</v>
      </c>
      <c r="L593">
        <f t="shared" si="41"/>
        <v>1</v>
      </c>
      <c r="Q593" t="str">
        <f t="shared" si="38"/>
        <v>MC,ebe8246,fbe2047</v>
      </c>
      <c r="R593" t="str">
        <f t="shared" si="39"/>
        <v/>
      </c>
      <c r="S593" t="str">
        <f t="shared" si="40"/>
        <v/>
      </c>
    </row>
    <row r="594" spans="1:23">
      <c r="A594" t="s">
        <v>1710</v>
      </c>
      <c r="C594" s="2" t="s">
        <v>1587</v>
      </c>
      <c r="D594" s="3">
        <v>41064.727627314816</v>
      </c>
      <c r="E594" s="8" t="s">
        <v>1701</v>
      </c>
      <c r="F594" s="8" t="s">
        <v>1711</v>
      </c>
      <c r="G594" t="s">
        <v>1857</v>
      </c>
      <c r="H594" s="3">
        <v>41064.811712962961</v>
      </c>
      <c r="I594">
        <v>1</v>
      </c>
      <c r="L594">
        <f t="shared" si="41"/>
        <v>1</v>
      </c>
      <c r="Q594" t="str">
        <f t="shared" si="38"/>
        <v>MC,436ae85,365eaeb</v>
      </c>
      <c r="R594" t="str">
        <f t="shared" si="39"/>
        <v/>
      </c>
      <c r="S594" t="str">
        <f t="shared" si="40"/>
        <v/>
      </c>
    </row>
    <row r="595" spans="1:23">
      <c r="A595" t="s">
        <v>1700</v>
      </c>
      <c r="C595" s="2" t="s">
        <v>1587</v>
      </c>
      <c r="D595" s="3">
        <v>41064.727627314816</v>
      </c>
      <c r="E595" s="8" t="s">
        <v>1701</v>
      </c>
      <c r="F595" s="8" t="s">
        <v>1702</v>
      </c>
      <c r="G595" t="s">
        <v>1593</v>
      </c>
      <c r="H595" s="3">
        <v>41065.459861111114</v>
      </c>
      <c r="L595">
        <f t="shared" si="41"/>
        <v>0</v>
      </c>
      <c r="Q595" t="str">
        <f t="shared" si="38"/>
        <v/>
      </c>
      <c r="R595" t="str">
        <f t="shared" si="39"/>
        <v/>
      </c>
      <c r="S595" t="str">
        <f t="shared" si="40"/>
        <v/>
      </c>
    </row>
    <row r="596" spans="1:23">
      <c r="A596" t="s">
        <v>1625</v>
      </c>
      <c r="B596" t="s">
        <v>1621</v>
      </c>
      <c r="C596" s="2" t="s">
        <v>1587</v>
      </c>
      <c r="D596" s="3">
        <v>41065.476886574077</v>
      </c>
      <c r="E596" s="8" t="s">
        <v>1626</v>
      </c>
      <c r="F596" s="8" t="s">
        <v>1627</v>
      </c>
      <c r="G596" t="s">
        <v>1593</v>
      </c>
      <c r="H596" s="3">
        <v>41065.510393518518</v>
      </c>
      <c r="L596">
        <f t="shared" si="41"/>
        <v>0</v>
      </c>
      <c r="Q596" t="str">
        <f t="shared" si="38"/>
        <v/>
      </c>
      <c r="R596" t="str">
        <f t="shared" si="39"/>
        <v/>
      </c>
      <c r="S596" t="str">
        <f t="shared" si="40"/>
        <v/>
      </c>
    </row>
    <row r="597" spans="1:23">
      <c r="A597" t="s">
        <v>1827</v>
      </c>
      <c r="C597" s="2" t="s">
        <v>1587</v>
      </c>
      <c r="D597" s="3">
        <v>41065.477199074077</v>
      </c>
      <c r="E597" s="8" t="s">
        <v>1828</v>
      </c>
      <c r="F597" s="8" t="s">
        <v>1829</v>
      </c>
      <c r="G597" t="s">
        <v>1857</v>
      </c>
      <c r="H597" s="3">
        <v>41066.033136574071</v>
      </c>
      <c r="L597">
        <f t="shared" si="41"/>
        <v>0</v>
      </c>
      <c r="Q597" t="str">
        <f t="shared" si="38"/>
        <v/>
      </c>
      <c r="R597" t="str">
        <f t="shared" si="39"/>
        <v/>
      </c>
      <c r="S597" t="str">
        <f t="shared" si="40"/>
        <v/>
      </c>
    </row>
    <row r="598" spans="1:23">
      <c r="A598" t="s">
        <v>1675</v>
      </c>
      <c r="C598" s="2" t="s">
        <v>1587</v>
      </c>
      <c r="D598" s="3">
        <v>41062.054652777777</v>
      </c>
      <c r="E598" s="8" t="s">
        <v>1676</v>
      </c>
      <c r="F598" s="8" t="s">
        <v>1677</v>
      </c>
      <c r="G598" t="s">
        <v>1857</v>
      </c>
      <c r="H598" s="3">
        <v>41066.042187500003</v>
      </c>
      <c r="K598">
        <v>1</v>
      </c>
      <c r="L598">
        <f t="shared" si="41"/>
        <v>1</v>
      </c>
      <c r="Q598" t="str">
        <f t="shared" si="38"/>
        <v/>
      </c>
      <c r="R598" t="str">
        <f t="shared" si="39"/>
        <v/>
      </c>
      <c r="S598" t="str">
        <f t="shared" si="40"/>
        <v>TC,2240ad3,5df7182</v>
      </c>
    </row>
    <row r="599" spans="1:23">
      <c r="A599" t="s">
        <v>1798</v>
      </c>
      <c r="C599" s="2" t="s">
        <v>1587</v>
      </c>
      <c r="D599" s="3">
        <v>41079.625219907408</v>
      </c>
      <c r="E599" s="8" t="s">
        <v>1799</v>
      </c>
      <c r="F599" s="8" t="s">
        <v>1800</v>
      </c>
      <c r="G599" t="s">
        <v>1857</v>
      </c>
      <c r="H599" s="3">
        <v>41080.970231481479</v>
      </c>
      <c r="K599">
        <v>1</v>
      </c>
      <c r="L599">
        <f t="shared" si="41"/>
        <v>1</v>
      </c>
      <c r="Q599" t="str">
        <f t="shared" si="38"/>
        <v/>
      </c>
      <c r="R599" t="str">
        <f t="shared" si="39"/>
        <v/>
      </c>
      <c r="S599" t="str">
        <f t="shared" si="40"/>
        <v>TC,c4a711a,39f41e6</v>
      </c>
    </row>
    <row r="600" spans="1:23">
      <c r="I600">
        <f>SUM(I513:I599)</f>
        <v>18</v>
      </c>
      <c r="J600">
        <f>SUM(J513:J599)</f>
        <v>9</v>
      </c>
      <c r="K600">
        <f>SUM(K513:K599)</f>
        <v>13</v>
      </c>
    </row>
    <row r="604" spans="1:23">
      <c r="A604" s="12" t="s">
        <v>1962</v>
      </c>
      <c r="F604" s="8" t="s">
        <v>287</v>
      </c>
      <c r="G604" t="s">
        <v>3687</v>
      </c>
      <c r="H604" t="s">
        <v>333</v>
      </c>
      <c r="I604" t="s">
        <v>3688</v>
      </c>
      <c r="J604" t="s">
        <v>3689</v>
      </c>
      <c r="K604" t="s">
        <v>327</v>
      </c>
      <c r="L604" t="s">
        <v>3690</v>
      </c>
    </row>
    <row r="605" spans="1:23">
      <c r="A605" t="s">
        <v>2506</v>
      </c>
      <c r="C605" t="s">
        <v>1971</v>
      </c>
      <c r="D605" s="3">
        <v>37418.671689814815</v>
      </c>
      <c r="E605" s="8" t="s">
        <v>2507</v>
      </c>
      <c r="F605" s="8" t="s">
        <v>2508</v>
      </c>
      <c r="G605" s="8" t="s">
        <v>2030</v>
      </c>
      <c r="H605" s="3">
        <v>37418.739247685182</v>
      </c>
      <c r="L605">
        <f t="shared" ref="L605:L636" si="42">COUNTA(I605:K605)</f>
        <v>0</v>
      </c>
      <c r="Q605" t="str">
        <f t="shared" ref="Q605:Q636" si="43">IF(I605&gt;0,CONCATENATE("MC,",E605,",",F605),"")</f>
        <v/>
      </c>
      <c r="R605" t="str">
        <f t="shared" ref="R605:R636" si="44">IF(J605&gt;0,CONCATENATE("BC,",E605,",",F605),"")</f>
        <v/>
      </c>
      <c r="S605" t="str">
        <f t="shared" ref="S605:S636" si="45">IF(K605&gt;0,CONCATENATE("TC,",E605,",",F605),"")</f>
        <v/>
      </c>
      <c r="U605" s="12" t="s">
        <v>1888</v>
      </c>
    </row>
    <row r="606" spans="1:23">
      <c r="A606" t="s">
        <v>2016</v>
      </c>
      <c r="C606" t="s">
        <v>1971</v>
      </c>
      <c r="D606" s="3">
        <v>37419.467546296299</v>
      </c>
      <c r="E606" s="8" t="s">
        <v>2017</v>
      </c>
      <c r="F606" s="8" t="s">
        <v>2018</v>
      </c>
      <c r="G606" s="8" t="s">
        <v>1969</v>
      </c>
      <c r="H606" s="3">
        <v>37421.066805555558</v>
      </c>
      <c r="K606">
        <v>1</v>
      </c>
      <c r="L606">
        <f t="shared" si="42"/>
        <v>1</v>
      </c>
      <c r="Q606" t="str">
        <f t="shared" si="43"/>
        <v/>
      </c>
      <c r="R606" t="str">
        <f t="shared" si="44"/>
        <v/>
      </c>
      <c r="S606" t="str">
        <f t="shared" si="45"/>
        <v>TC,3bef992,218ab4d</v>
      </c>
      <c r="U606" s="37" t="s">
        <v>1898</v>
      </c>
      <c r="V606" s="3">
        <v>37347</v>
      </c>
      <c r="W606" s="3">
        <v>37529.958333333336</v>
      </c>
    </row>
    <row r="607" spans="1:23">
      <c r="A607" t="s">
        <v>2372</v>
      </c>
      <c r="C607" t="s">
        <v>1971</v>
      </c>
      <c r="D607" s="3">
        <v>37421.358796296299</v>
      </c>
      <c r="E607" s="8" t="s">
        <v>2373</v>
      </c>
      <c r="F607" s="8" t="s">
        <v>2374</v>
      </c>
      <c r="G607" s="8" t="s">
        <v>1969</v>
      </c>
      <c r="H607" s="3">
        <v>37421.601134259261</v>
      </c>
      <c r="K607">
        <v>1</v>
      </c>
      <c r="L607">
        <f t="shared" si="42"/>
        <v>1</v>
      </c>
      <c r="Q607" t="str">
        <f t="shared" si="43"/>
        <v/>
      </c>
      <c r="R607" t="str">
        <f t="shared" si="44"/>
        <v/>
      </c>
      <c r="S607" t="str">
        <f t="shared" si="45"/>
        <v>TC,b9e06e2,f808df7</v>
      </c>
      <c r="U607" s="38" t="s">
        <v>1900</v>
      </c>
      <c r="V607" s="3">
        <v>40087</v>
      </c>
      <c r="W607" s="3">
        <v>40268.958333333336</v>
      </c>
    </row>
    <row r="608" spans="1:23">
      <c r="A608" t="s">
        <v>2415</v>
      </c>
      <c r="C608" t="s">
        <v>1971</v>
      </c>
      <c r="D608" s="3">
        <v>37421.719189814816</v>
      </c>
      <c r="E608" s="8" t="s">
        <v>2416</v>
      </c>
      <c r="F608" s="8" t="s">
        <v>2417</v>
      </c>
      <c r="G608" s="8" t="s">
        <v>2217</v>
      </c>
      <c r="H608" s="3">
        <v>37422.992673611108</v>
      </c>
      <c r="K608">
        <v>1</v>
      </c>
      <c r="L608">
        <f t="shared" si="42"/>
        <v>1</v>
      </c>
      <c r="Q608" t="str">
        <f t="shared" si="43"/>
        <v/>
      </c>
      <c r="R608" t="str">
        <f t="shared" si="44"/>
        <v/>
      </c>
      <c r="S608" t="str">
        <f t="shared" si="45"/>
        <v>TC,a1c9140,d5d4ec9</v>
      </c>
    </row>
    <row r="609" spans="1:19">
      <c r="A609" t="s">
        <v>2388</v>
      </c>
      <c r="C609" t="s">
        <v>2389</v>
      </c>
      <c r="D609" s="3">
        <v>37423.480219907404</v>
      </c>
      <c r="E609" s="8" t="s">
        <v>2390</v>
      </c>
      <c r="F609" s="8" t="s">
        <v>2391</v>
      </c>
      <c r="G609" s="8" t="s">
        <v>1971</v>
      </c>
      <c r="H609" s="3">
        <v>37423.693738425929</v>
      </c>
      <c r="K609">
        <v>1</v>
      </c>
      <c r="L609">
        <f t="shared" si="42"/>
        <v>1</v>
      </c>
      <c r="Q609" t="str">
        <f t="shared" si="43"/>
        <v/>
      </c>
      <c r="R609" t="str">
        <f t="shared" si="44"/>
        <v/>
      </c>
      <c r="S609" t="str">
        <f t="shared" si="45"/>
        <v>TC,947cb11,4b069b4</v>
      </c>
    </row>
    <row r="610" spans="1:19">
      <c r="A610" t="s">
        <v>2430</v>
      </c>
      <c r="C610" t="s">
        <v>2217</v>
      </c>
      <c r="D610" s="3">
        <v>37422.992673611108</v>
      </c>
      <c r="E610" s="8" t="s">
        <v>2417</v>
      </c>
      <c r="F610" s="8" t="s">
        <v>2391</v>
      </c>
      <c r="G610" s="8" t="s">
        <v>1971</v>
      </c>
      <c r="H610" s="3">
        <v>37423.693738425929</v>
      </c>
      <c r="K610">
        <v>1</v>
      </c>
      <c r="L610">
        <f t="shared" si="42"/>
        <v>1</v>
      </c>
      <c r="Q610" t="str">
        <f t="shared" si="43"/>
        <v/>
      </c>
      <c r="R610" t="str">
        <f t="shared" si="44"/>
        <v/>
      </c>
      <c r="S610" t="str">
        <f t="shared" si="45"/>
        <v>TC,d5d4ec9,4b069b4</v>
      </c>
    </row>
    <row r="611" spans="1:19">
      <c r="A611" t="s">
        <v>2509</v>
      </c>
      <c r="C611" t="s">
        <v>1971</v>
      </c>
      <c r="D611" s="3">
        <v>37424.529039351852</v>
      </c>
      <c r="E611" s="8" t="s">
        <v>2510</v>
      </c>
      <c r="F611" s="8" t="s">
        <v>2511</v>
      </c>
      <c r="G611" s="8" t="s">
        <v>2512</v>
      </c>
      <c r="H611" s="3">
        <v>37425.022083333337</v>
      </c>
      <c r="K611">
        <v>1</v>
      </c>
      <c r="L611">
        <f t="shared" si="42"/>
        <v>1</v>
      </c>
      <c r="Q611" t="str">
        <f t="shared" si="43"/>
        <v/>
      </c>
      <c r="R611" t="str">
        <f t="shared" si="44"/>
        <v/>
      </c>
      <c r="S611" t="str">
        <f t="shared" si="45"/>
        <v>TC,aca0dac,978ae42</v>
      </c>
    </row>
    <row r="612" spans="1:19">
      <c r="A612" t="s">
        <v>2513</v>
      </c>
      <c r="C612" t="s">
        <v>1969</v>
      </c>
      <c r="D612" s="3">
        <v>37425.132430555554</v>
      </c>
      <c r="E612" s="8" t="s">
        <v>2514</v>
      </c>
      <c r="F612" s="8" t="s">
        <v>2515</v>
      </c>
      <c r="G612" s="8" t="s">
        <v>1971</v>
      </c>
      <c r="H612" s="3">
        <v>37425.293842592589</v>
      </c>
      <c r="K612">
        <v>1</v>
      </c>
      <c r="L612">
        <f t="shared" si="42"/>
        <v>1</v>
      </c>
      <c r="Q612" t="str">
        <f t="shared" si="43"/>
        <v/>
      </c>
      <c r="R612" t="str">
        <f t="shared" si="44"/>
        <v/>
      </c>
      <c r="S612" t="str">
        <f t="shared" si="45"/>
        <v>TC,f9aa124,755e775</v>
      </c>
    </row>
    <row r="613" spans="1:19">
      <c r="A613" t="s">
        <v>2392</v>
      </c>
      <c r="C613" t="s">
        <v>1971</v>
      </c>
      <c r="D613" s="3">
        <v>37425.385011574072</v>
      </c>
      <c r="E613" s="8" t="s">
        <v>1976</v>
      </c>
      <c r="F613" s="8" t="s">
        <v>2393</v>
      </c>
      <c r="G613" s="8" t="s">
        <v>2217</v>
      </c>
      <c r="H613" s="3">
        <v>37425.730358796296</v>
      </c>
      <c r="K613">
        <v>1</v>
      </c>
      <c r="L613">
        <f t="shared" si="42"/>
        <v>1</v>
      </c>
      <c r="Q613" t="str">
        <f t="shared" si="43"/>
        <v/>
      </c>
      <c r="R613" t="str">
        <f t="shared" si="44"/>
        <v/>
      </c>
      <c r="S613" t="str">
        <f t="shared" si="45"/>
        <v>TC,01e6739,6ebe41a</v>
      </c>
    </row>
    <row r="614" spans="1:19">
      <c r="A614" t="s">
        <v>1975</v>
      </c>
      <c r="B614" t="s">
        <v>2022</v>
      </c>
      <c r="C614" t="s">
        <v>1971</v>
      </c>
      <c r="D614" s="3">
        <v>37425.385011574072</v>
      </c>
      <c r="E614" s="8" t="s">
        <v>1976</v>
      </c>
      <c r="F614" s="8" t="s">
        <v>1977</v>
      </c>
      <c r="G614" s="8" t="s">
        <v>1969</v>
      </c>
      <c r="H614" s="3">
        <v>37425.846817129626</v>
      </c>
      <c r="L614">
        <f t="shared" si="42"/>
        <v>0</v>
      </c>
      <c r="Q614" t="str">
        <f t="shared" si="43"/>
        <v/>
      </c>
      <c r="R614" t="str">
        <f t="shared" si="44"/>
        <v/>
      </c>
      <c r="S614" t="str">
        <f t="shared" si="45"/>
        <v/>
      </c>
    </row>
    <row r="615" spans="1:19">
      <c r="A615" t="s">
        <v>2530</v>
      </c>
      <c r="C615" t="s">
        <v>1971</v>
      </c>
      <c r="D615" s="3">
        <v>37426.510092592594</v>
      </c>
      <c r="E615" s="8" t="s">
        <v>2288</v>
      </c>
      <c r="F615" s="8" t="s">
        <v>2531</v>
      </c>
      <c r="G615" s="8" t="s">
        <v>1969</v>
      </c>
      <c r="H615" s="3">
        <v>37426.522962962961</v>
      </c>
      <c r="J615">
        <v>1</v>
      </c>
      <c r="L615">
        <f t="shared" si="42"/>
        <v>1</v>
      </c>
      <c r="Q615" t="str">
        <f t="shared" si="43"/>
        <v/>
      </c>
      <c r="R615" t="str">
        <f t="shared" si="44"/>
        <v>BC,0226bbd,dd9bbc5</v>
      </c>
      <c r="S615" t="str">
        <f t="shared" si="45"/>
        <v/>
      </c>
    </row>
    <row r="616" spans="1:19">
      <c r="A616" t="s">
        <v>2287</v>
      </c>
      <c r="C616" t="s">
        <v>1971</v>
      </c>
      <c r="D616" s="3">
        <v>37426.510092592594</v>
      </c>
      <c r="E616" s="8" t="s">
        <v>2288</v>
      </c>
      <c r="F616" s="8" t="s">
        <v>2289</v>
      </c>
      <c r="G616" s="8" t="s">
        <v>1969</v>
      </c>
      <c r="H616" s="3">
        <v>37426.588136574072</v>
      </c>
      <c r="L616">
        <f t="shared" si="42"/>
        <v>0</v>
      </c>
      <c r="Q616" t="str">
        <f t="shared" si="43"/>
        <v/>
      </c>
      <c r="R616" t="str">
        <f t="shared" si="44"/>
        <v/>
      </c>
      <c r="S616" t="str">
        <f t="shared" si="45"/>
        <v/>
      </c>
    </row>
    <row r="617" spans="1:19">
      <c r="A617" t="s">
        <v>1995</v>
      </c>
      <c r="B617" t="s">
        <v>2486</v>
      </c>
      <c r="C617" t="s">
        <v>1971</v>
      </c>
      <c r="D617" s="3">
        <v>37426.868680555555</v>
      </c>
      <c r="E617" s="8" t="s">
        <v>1996</v>
      </c>
      <c r="F617" s="8" t="s">
        <v>1997</v>
      </c>
      <c r="G617" s="8" t="s">
        <v>1998</v>
      </c>
      <c r="H617" s="3">
        <v>37427.011238425926</v>
      </c>
      <c r="L617">
        <f t="shared" si="42"/>
        <v>0</v>
      </c>
      <c r="Q617" t="str">
        <f t="shared" si="43"/>
        <v/>
      </c>
      <c r="R617" t="str">
        <f t="shared" si="44"/>
        <v/>
      </c>
      <c r="S617" t="str">
        <f t="shared" si="45"/>
        <v/>
      </c>
    </row>
    <row r="618" spans="1:19">
      <c r="A618" t="s">
        <v>2279</v>
      </c>
      <c r="C618" t="s">
        <v>1971</v>
      </c>
      <c r="D618" s="3">
        <v>37426.868680555555</v>
      </c>
      <c r="E618" s="8" t="s">
        <v>1996</v>
      </c>
      <c r="F618" s="8" t="s">
        <v>2280</v>
      </c>
      <c r="G618" s="8" t="s">
        <v>2096</v>
      </c>
      <c r="H618" s="3">
        <v>37427.202638888892</v>
      </c>
      <c r="L618">
        <f t="shared" si="42"/>
        <v>0</v>
      </c>
      <c r="Q618" t="str">
        <f t="shared" si="43"/>
        <v/>
      </c>
      <c r="R618" t="str">
        <f t="shared" si="44"/>
        <v/>
      </c>
      <c r="S618" t="str">
        <f t="shared" si="45"/>
        <v/>
      </c>
    </row>
    <row r="619" spans="1:19">
      <c r="A619" t="s">
        <v>2262</v>
      </c>
      <c r="C619" t="s">
        <v>1969</v>
      </c>
      <c r="D619" s="3">
        <v>37427.702337962961</v>
      </c>
      <c r="E619" s="8" t="s">
        <v>2263</v>
      </c>
      <c r="F619" s="8" t="s">
        <v>2264</v>
      </c>
      <c r="G619" s="8" t="s">
        <v>1971</v>
      </c>
      <c r="H619" s="3">
        <v>37427.70417824074</v>
      </c>
      <c r="L619">
        <f t="shared" si="42"/>
        <v>0</v>
      </c>
      <c r="Q619" t="str">
        <f t="shared" si="43"/>
        <v/>
      </c>
      <c r="R619" t="str">
        <f t="shared" si="44"/>
        <v/>
      </c>
      <c r="S619" t="str">
        <f t="shared" si="45"/>
        <v/>
      </c>
    </row>
    <row r="620" spans="1:19">
      <c r="A620" t="s">
        <v>2185</v>
      </c>
      <c r="C620" t="s">
        <v>1969</v>
      </c>
      <c r="D620" s="3">
        <v>37427.759386574071</v>
      </c>
      <c r="E620" s="8" t="s">
        <v>2186</v>
      </c>
      <c r="F620" s="8" t="s">
        <v>2187</v>
      </c>
      <c r="G620" s="8" t="s">
        <v>1971</v>
      </c>
      <c r="H620" s="3">
        <v>37427.836122685185</v>
      </c>
      <c r="J620">
        <v>1</v>
      </c>
      <c r="L620">
        <f t="shared" si="42"/>
        <v>1</v>
      </c>
      <c r="Q620" t="str">
        <f t="shared" si="43"/>
        <v/>
      </c>
      <c r="R620" t="str">
        <f t="shared" si="44"/>
        <v>BC,b132d76,2dc2558</v>
      </c>
      <c r="S620" t="str">
        <f t="shared" si="45"/>
        <v/>
      </c>
    </row>
    <row r="621" spans="1:19">
      <c r="A621" s="1" t="s">
        <v>2270</v>
      </c>
      <c r="C621" t="s">
        <v>1969</v>
      </c>
      <c r="D621" s="3">
        <v>37428.029791666668</v>
      </c>
      <c r="E621" s="8" t="s">
        <v>2271</v>
      </c>
      <c r="F621" s="8" t="s">
        <v>2272</v>
      </c>
      <c r="G621" s="8" t="s">
        <v>1971</v>
      </c>
      <c r="H621" s="3">
        <v>37428.365937499999</v>
      </c>
      <c r="I621">
        <v>1</v>
      </c>
      <c r="L621">
        <f t="shared" si="42"/>
        <v>1</v>
      </c>
      <c r="Q621" t="str">
        <f t="shared" si="43"/>
        <v>MC,0e96520,00f5185</v>
      </c>
      <c r="R621" t="str">
        <f t="shared" si="44"/>
        <v/>
      </c>
      <c r="S621" t="str">
        <f t="shared" si="45"/>
        <v/>
      </c>
    </row>
    <row r="622" spans="1:19">
      <c r="A622" t="s">
        <v>2033</v>
      </c>
      <c r="C622" t="s">
        <v>1969</v>
      </c>
      <c r="D622" s="3">
        <v>37428.551365740743</v>
      </c>
      <c r="E622" s="8" t="s">
        <v>2034</v>
      </c>
      <c r="F622" s="8" t="s">
        <v>2035</v>
      </c>
      <c r="G622" s="8" t="s">
        <v>1971</v>
      </c>
      <c r="H622" s="3">
        <v>37428.562581018516</v>
      </c>
      <c r="L622">
        <f t="shared" si="42"/>
        <v>0</v>
      </c>
      <c r="Q622" t="str">
        <f t="shared" si="43"/>
        <v/>
      </c>
      <c r="R622" t="str">
        <f t="shared" si="44"/>
        <v/>
      </c>
      <c r="S622" t="str">
        <f t="shared" si="45"/>
        <v/>
      </c>
    </row>
    <row r="623" spans="1:19">
      <c r="A623" s="1" t="s">
        <v>2309</v>
      </c>
      <c r="C623" t="s">
        <v>1971</v>
      </c>
      <c r="D623" s="3">
        <v>37428.589895833335</v>
      </c>
      <c r="E623" s="8" t="s">
        <v>2310</v>
      </c>
      <c r="F623" s="8" t="s">
        <v>2311</v>
      </c>
      <c r="G623" s="8" t="s">
        <v>1969</v>
      </c>
      <c r="H623" s="3">
        <v>37435.55228009259</v>
      </c>
      <c r="L623">
        <f t="shared" si="42"/>
        <v>0</v>
      </c>
      <c r="Q623" t="str">
        <f t="shared" si="43"/>
        <v/>
      </c>
      <c r="R623" t="str">
        <f t="shared" si="44"/>
        <v/>
      </c>
      <c r="S623" t="str">
        <f t="shared" si="45"/>
        <v/>
      </c>
    </row>
    <row r="624" spans="1:19">
      <c r="A624" t="s">
        <v>2159</v>
      </c>
      <c r="C624" t="s">
        <v>1971</v>
      </c>
      <c r="D624" s="3">
        <v>37435.7497337963</v>
      </c>
      <c r="E624" s="8" t="s">
        <v>2160</v>
      </c>
      <c r="F624" s="8" t="s">
        <v>2161</v>
      </c>
      <c r="G624" s="8" t="s">
        <v>1967</v>
      </c>
      <c r="H624" s="3">
        <v>37441.848032407404</v>
      </c>
      <c r="L624">
        <f t="shared" si="42"/>
        <v>0</v>
      </c>
      <c r="Q624" t="str">
        <f t="shared" si="43"/>
        <v/>
      </c>
      <c r="R624" t="str">
        <f t="shared" si="44"/>
        <v/>
      </c>
      <c r="S624" t="str">
        <f t="shared" si="45"/>
        <v/>
      </c>
    </row>
    <row r="625" spans="1:19">
      <c r="A625" t="s">
        <v>2036</v>
      </c>
      <c r="C625" t="s">
        <v>1971</v>
      </c>
      <c r="D625" s="3">
        <v>37442.295601851853</v>
      </c>
      <c r="E625" s="8" t="s">
        <v>2037</v>
      </c>
      <c r="F625" s="8" t="s">
        <v>2038</v>
      </c>
      <c r="G625" s="8" t="s">
        <v>1967</v>
      </c>
      <c r="H625" s="3">
        <v>37442.532199074078</v>
      </c>
      <c r="L625">
        <f t="shared" si="42"/>
        <v>0</v>
      </c>
      <c r="Q625" t="str">
        <f t="shared" si="43"/>
        <v/>
      </c>
      <c r="R625" t="str">
        <f t="shared" si="44"/>
        <v/>
      </c>
      <c r="S625" t="str">
        <f t="shared" si="45"/>
        <v/>
      </c>
    </row>
    <row r="626" spans="1:19">
      <c r="A626" t="s">
        <v>2247</v>
      </c>
      <c r="C626" t="s">
        <v>1971</v>
      </c>
      <c r="D626" s="3">
        <v>37443.29446759259</v>
      </c>
      <c r="E626" s="8" t="s">
        <v>2248</v>
      </c>
      <c r="F626" s="8" t="s">
        <v>2249</v>
      </c>
      <c r="G626" s="8" t="s">
        <v>1969</v>
      </c>
      <c r="H626" s="3">
        <v>37446.012372685182</v>
      </c>
      <c r="L626">
        <f t="shared" si="42"/>
        <v>0</v>
      </c>
      <c r="Q626" t="str">
        <f t="shared" si="43"/>
        <v/>
      </c>
      <c r="R626" t="str">
        <f t="shared" si="44"/>
        <v/>
      </c>
      <c r="S626" t="str">
        <f t="shared" si="45"/>
        <v/>
      </c>
    </row>
    <row r="627" spans="1:19">
      <c r="A627" t="s">
        <v>2431</v>
      </c>
      <c r="C627" t="s">
        <v>2432</v>
      </c>
      <c r="D627" s="3">
        <v>37445.761805555558</v>
      </c>
      <c r="E627" s="8" t="s">
        <v>2433</v>
      </c>
      <c r="F627" s="8" t="s">
        <v>2434</v>
      </c>
      <c r="G627" s="8" t="s">
        <v>1971</v>
      </c>
      <c r="H627" s="3">
        <v>37446.570902777778</v>
      </c>
      <c r="L627">
        <f t="shared" si="42"/>
        <v>0</v>
      </c>
      <c r="Q627" t="str">
        <f t="shared" si="43"/>
        <v/>
      </c>
      <c r="R627" t="str">
        <f t="shared" si="44"/>
        <v/>
      </c>
      <c r="S627" t="str">
        <f t="shared" si="45"/>
        <v/>
      </c>
    </row>
    <row r="628" spans="1:19">
      <c r="A628" t="s">
        <v>2540</v>
      </c>
      <c r="C628" t="s">
        <v>1969</v>
      </c>
      <c r="D628" s="3">
        <v>37446.689062500001</v>
      </c>
      <c r="E628" s="8" t="s">
        <v>2541</v>
      </c>
      <c r="F628" s="8" t="s">
        <v>2464</v>
      </c>
      <c r="G628" s="8" t="s">
        <v>1971</v>
      </c>
      <c r="H628" s="3">
        <v>37446.717835648145</v>
      </c>
      <c r="L628">
        <f t="shared" si="42"/>
        <v>0</v>
      </c>
      <c r="Q628" t="str">
        <f t="shared" si="43"/>
        <v/>
      </c>
      <c r="R628" t="str">
        <f t="shared" si="44"/>
        <v/>
      </c>
      <c r="S628" t="str">
        <f t="shared" si="45"/>
        <v/>
      </c>
    </row>
    <row r="629" spans="1:19">
      <c r="A629" t="s">
        <v>2463</v>
      </c>
      <c r="C629" t="s">
        <v>1971</v>
      </c>
      <c r="D629" s="3">
        <v>37446.717835648145</v>
      </c>
      <c r="E629" s="8" t="s">
        <v>2464</v>
      </c>
      <c r="F629" s="8" t="s">
        <v>2465</v>
      </c>
      <c r="G629" s="8" t="s">
        <v>1969</v>
      </c>
      <c r="H629" s="3">
        <v>37447.165949074071</v>
      </c>
      <c r="L629">
        <f t="shared" si="42"/>
        <v>0</v>
      </c>
      <c r="Q629" t="str">
        <f t="shared" si="43"/>
        <v/>
      </c>
      <c r="R629" t="str">
        <f t="shared" si="44"/>
        <v/>
      </c>
      <c r="S629" t="str">
        <f t="shared" si="45"/>
        <v/>
      </c>
    </row>
    <row r="630" spans="1:19">
      <c r="A630" t="s">
        <v>2079</v>
      </c>
      <c r="C630" t="s">
        <v>1971</v>
      </c>
      <c r="D630" s="3">
        <v>37447.290821759256</v>
      </c>
      <c r="E630" s="8" t="s">
        <v>2080</v>
      </c>
      <c r="F630" s="8" t="s">
        <v>2081</v>
      </c>
      <c r="G630" s="8" t="s">
        <v>2082</v>
      </c>
      <c r="H630" s="3">
        <v>37448.233252314814</v>
      </c>
      <c r="L630">
        <f t="shared" si="42"/>
        <v>0</v>
      </c>
      <c r="Q630" t="str">
        <f t="shared" si="43"/>
        <v/>
      </c>
      <c r="R630" t="str">
        <f t="shared" si="44"/>
        <v/>
      </c>
      <c r="S630" t="str">
        <f t="shared" si="45"/>
        <v/>
      </c>
    </row>
    <row r="631" spans="1:19">
      <c r="A631" t="s">
        <v>2250</v>
      </c>
      <c r="C631" t="s">
        <v>2030</v>
      </c>
      <c r="D631" s="3">
        <v>37448.256284722222</v>
      </c>
      <c r="E631" s="8" t="s">
        <v>2251</v>
      </c>
      <c r="F631" s="8" t="s">
        <v>2252</v>
      </c>
      <c r="G631" s="8" t="s">
        <v>1971</v>
      </c>
      <c r="H631" s="3">
        <v>37448.386643518519</v>
      </c>
      <c r="L631">
        <f t="shared" si="42"/>
        <v>0</v>
      </c>
      <c r="Q631" t="str">
        <f t="shared" si="43"/>
        <v/>
      </c>
      <c r="R631" t="str">
        <f t="shared" si="44"/>
        <v/>
      </c>
      <c r="S631" t="str">
        <f t="shared" si="45"/>
        <v/>
      </c>
    </row>
    <row r="632" spans="1:19">
      <c r="A632" t="s">
        <v>2375</v>
      </c>
      <c r="C632" t="s">
        <v>2082</v>
      </c>
      <c r="D632" s="3">
        <v>37448.233252314814</v>
      </c>
      <c r="E632" s="8" t="s">
        <v>2081</v>
      </c>
      <c r="F632" s="8" t="s">
        <v>2252</v>
      </c>
      <c r="G632" s="8" t="s">
        <v>1971</v>
      </c>
      <c r="H632" s="3">
        <v>37448.386643518519</v>
      </c>
      <c r="L632">
        <f t="shared" si="42"/>
        <v>0</v>
      </c>
      <c r="Q632" t="str">
        <f t="shared" si="43"/>
        <v/>
      </c>
      <c r="R632" t="str">
        <f t="shared" si="44"/>
        <v/>
      </c>
      <c r="S632" t="str">
        <f t="shared" si="45"/>
        <v/>
      </c>
    </row>
    <row r="633" spans="1:19">
      <c r="A633" t="s">
        <v>2466</v>
      </c>
      <c r="C633" t="s">
        <v>1971</v>
      </c>
      <c r="D633" s="3">
        <v>37448.648530092592</v>
      </c>
      <c r="E633" s="8" t="s">
        <v>2467</v>
      </c>
      <c r="F633" s="8" t="s">
        <v>2468</v>
      </c>
      <c r="G633" s="8" t="s">
        <v>1969</v>
      </c>
      <c r="H633" s="3">
        <v>37450.007025462961</v>
      </c>
      <c r="L633">
        <f t="shared" si="42"/>
        <v>0</v>
      </c>
      <c r="Q633" t="str">
        <f t="shared" si="43"/>
        <v/>
      </c>
      <c r="R633" t="str">
        <f t="shared" si="44"/>
        <v/>
      </c>
      <c r="S633" t="str">
        <f t="shared" si="45"/>
        <v/>
      </c>
    </row>
    <row r="634" spans="1:19">
      <c r="A634" t="s">
        <v>2348</v>
      </c>
      <c r="C634" t="s">
        <v>1971</v>
      </c>
      <c r="D634" s="3">
        <v>37450.38753472222</v>
      </c>
      <c r="E634" s="8" t="s">
        <v>2349</v>
      </c>
      <c r="F634" s="8" t="s">
        <v>2350</v>
      </c>
      <c r="G634" s="8" t="s">
        <v>1969</v>
      </c>
      <c r="H634" s="3">
        <v>37452.169340277775</v>
      </c>
      <c r="L634">
        <f t="shared" si="42"/>
        <v>0</v>
      </c>
      <c r="Q634" t="str">
        <f t="shared" si="43"/>
        <v/>
      </c>
      <c r="R634" t="str">
        <f t="shared" si="44"/>
        <v/>
      </c>
      <c r="S634" t="str">
        <f t="shared" si="45"/>
        <v/>
      </c>
    </row>
    <row r="635" spans="1:19">
      <c r="A635" t="s">
        <v>2113</v>
      </c>
      <c r="C635" t="s">
        <v>1971</v>
      </c>
      <c r="D635" s="3">
        <v>37452.289375</v>
      </c>
      <c r="E635" s="8" t="s">
        <v>2114</v>
      </c>
      <c r="F635" s="8" t="s">
        <v>2115</v>
      </c>
      <c r="G635" s="8" t="s">
        <v>1969</v>
      </c>
      <c r="H635" s="3">
        <v>37453.759606481479</v>
      </c>
      <c r="K635">
        <v>1</v>
      </c>
      <c r="L635">
        <f t="shared" si="42"/>
        <v>1</v>
      </c>
      <c r="Q635" t="str">
        <f t="shared" si="43"/>
        <v/>
      </c>
      <c r="R635" t="str">
        <f t="shared" si="44"/>
        <v/>
      </c>
      <c r="S635" t="str">
        <f t="shared" si="45"/>
        <v>TC,0716006,cc1c1d2</v>
      </c>
    </row>
    <row r="636" spans="1:19">
      <c r="A636" t="s">
        <v>2116</v>
      </c>
      <c r="C636" t="s">
        <v>1971</v>
      </c>
      <c r="D636" s="3">
        <v>37453.820532407408</v>
      </c>
      <c r="E636" s="8" t="s">
        <v>2117</v>
      </c>
      <c r="F636" s="8" t="s">
        <v>2118</v>
      </c>
      <c r="G636" s="8" t="s">
        <v>1969</v>
      </c>
      <c r="H636" s="3">
        <v>37454.133252314816</v>
      </c>
      <c r="K636">
        <v>1</v>
      </c>
      <c r="L636">
        <f t="shared" si="42"/>
        <v>1</v>
      </c>
      <c r="Q636" t="str">
        <f t="shared" si="43"/>
        <v/>
      </c>
      <c r="R636" t="str">
        <f t="shared" si="44"/>
        <v/>
      </c>
      <c r="S636" t="str">
        <f t="shared" si="45"/>
        <v>TC,8e93eb2,5d20095</v>
      </c>
    </row>
    <row r="637" spans="1:19">
      <c r="A637" t="s">
        <v>2532</v>
      </c>
      <c r="C637" t="s">
        <v>1971</v>
      </c>
      <c r="D637" s="3">
        <v>37454.273587962962</v>
      </c>
      <c r="E637" s="8" t="s">
        <v>2395</v>
      </c>
      <c r="F637" s="8" t="s">
        <v>2533</v>
      </c>
      <c r="G637" s="8" t="s">
        <v>1969</v>
      </c>
      <c r="H637" s="3">
        <v>37454.517812500002</v>
      </c>
      <c r="K637">
        <v>1</v>
      </c>
      <c r="L637">
        <f t="shared" ref="L637:L668" si="46">COUNTA(I637:K637)</f>
        <v>1</v>
      </c>
      <c r="Q637" t="str">
        <f t="shared" ref="Q637:Q668" si="47">IF(I637&gt;0,CONCATENATE("MC,",E637,",",F637),"")</f>
        <v/>
      </c>
      <c r="R637" t="str">
        <f t="shared" ref="R637:R668" si="48">IF(J637&gt;0,CONCATENATE("BC,",E637,",",F637),"")</f>
        <v/>
      </c>
      <c r="S637" t="str">
        <f t="shared" ref="S637:S668" si="49">IF(K637&gt;0,CONCATENATE("TC,",E637,",",F637),"")</f>
        <v>TC,14d8904,9d45c60</v>
      </c>
    </row>
    <row r="638" spans="1:19">
      <c r="A638" t="s">
        <v>2394</v>
      </c>
      <c r="C638" t="s">
        <v>1971</v>
      </c>
      <c r="D638" s="3">
        <v>37454.273587962962</v>
      </c>
      <c r="E638" s="8" t="s">
        <v>2395</v>
      </c>
      <c r="F638" s="8" t="s">
        <v>2396</v>
      </c>
      <c r="G638" s="8" t="s">
        <v>1969</v>
      </c>
      <c r="H638" s="3">
        <v>37454.685115740744</v>
      </c>
      <c r="K638">
        <v>1</v>
      </c>
      <c r="L638">
        <f t="shared" si="46"/>
        <v>1</v>
      </c>
      <c r="Q638" t="str">
        <f t="shared" si="47"/>
        <v/>
      </c>
      <c r="R638" t="str">
        <f t="shared" si="48"/>
        <v/>
      </c>
      <c r="S638" t="str">
        <f t="shared" si="49"/>
        <v>TC,14d8904,811b48f</v>
      </c>
    </row>
    <row r="639" spans="1:19">
      <c r="A639" t="s">
        <v>2376</v>
      </c>
      <c r="C639" t="s">
        <v>1971</v>
      </c>
      <c r="D639" s="3">
        <v>37454.812951388885</v>
      </c>
      <c r="E639" s="8" t="s">
        <v>2377</v>
      </c>
      <c r="F639" s="8" t="s">
        <v>2378</v>
      </c>
      <c r="G639" s="8" t="s">
        <v>1969</v>
      </c>
      <c r="H639" s="3">
        <v>37455.195983796293</v>
      </c>
      <c r="K639">
        <v>1</v>
      </c>
      <c r="L639">
        <f t="shared" si="46"/>
        <v>1</v>
      </c>
      <c r="Q639" t="str">
        <f t="shared" si="47"/>
        <v/>
      </c>
      <c r="R639" t="str">
        <f t="shared" si="48"/>
        <v/>
      </c>
      <c r="S639" t="str">
        <f t="shared" si="49"/>
        <v>TC,fe6a355,65fe0b2</v>
      </c>
    </row>
    <row r="640" spans="1:19">
      <c r="A640" t="s">
        <v>1999</v>
      </c>
      <c r="B640" t="s">
        <v>2216</v>
      </c>
      <c r="C640" t="s">
        <v>1971</v>
      </c>
      <c r="D640" s="3">
        <v>37455.313206018516</v>
      </c>
      <c r="E640" s="8" t="s">
        <v>2000</v>
      </c>
      <c r="F640" s="8" t="s">
        <v>2001</v>
      </c>
      <c r="G640" s="8" t="s">
        <v>1969</v>
      </c>
      <c r="H640" s="3">
        <v>37455.922592592593</v>
      </c>
      <c r="K640">
        <v>1</v>
      </c>
      <c r="L640">
        <f t="shared" si="46"/>
        <v>1</v>
      </c>
      <c r="Q640" t="str">
        <f t="shared" si="47"/>
        <v/>
      </c>
      <c r="R640" t="str">
        <f t="shared" si="48"/>
        <v/>
      </c>
      <c r="S640" t="str">
        <f t="shared" si="49"/>
        <v>TC,7cf2ce7,147da4b</v>
      </c>
    </row>
    <row r="641" spans="1:19">
      <c r="A641" t="s">
        <v>2019</v>
      </c>
      <c r="C641" t="s">
        <v>1969</v>
      </c>
      <c r="D641" s="3">
        <v>37456.032847222225</v>
      </c>
      <c r="E641" s="8" t="s">
        <v>2020</v>
      </c>
      <c r="F641" s="8" t="s">
        <v>2021</v>
      </c>
      <c r="G641" s="8" t="s">
        <v>1971</v>
      </c>
      <c r="H641" s="3">
        <v>37456.298344907409</v>
      </c>
      <c r="K641">
        <v>1</v>
      </c>
      <c r="L641">
        <f t="shared" si="46"/>
        <v>1</v>
      </c>
      <c r="Q641" t="str">
        <f t="shared" si="47"/>
        <v/>
      </c>
      <c r="R641" t="str">
        <f t="shared" si="48"/>
        <v/>
      </c>
      <c r="S641" t="str">
        <f t="shared" si="49"/>
        <v>TC,6b490b4,3eb7d03</v>
      </c>
    </row>
    <row r="642" spans="1:19">
      <c r="A642" t="s">
        <v>2439</v>
      </c>
      <c r="C642" t="s">
        <v>1969</v>
      </c>
      <c r="D642" s="3">
        <v>37456.032847222225</v>
      </c>
      <c r="E642" s="8" t="s">
        <v>2020</v>
      </c>
      <c r="F642" s="8" t="s">
        <v>2021</v>
      </c>
      <c r="G642" s="8" t="s">
        <v>1971</v>
      </c>
      <c r="H642" s="3">
        <v>37456.298344907409</v>
      </c>
      <c r="K642">
        <v>1</v>
      </c>
      <c r="L642">
        <f t="shared" si="46"/>
        <v>1</v>
      </c>
      <c r="Q642" t="str">
        <f t="shared" si="47"/>
        <v/>
      </c>
      <c r="R642" t="str">
        <f t="shared" si="48"/>
        <v/>
      </c>
      <c r="S642" t="str">
        <f t="shared" si="49"/>
        <v>TC,6b490b4,3eb7d03</v>
      </c>
    </row>
    <row r="643" spans="1:19">
      <c r="A643" t="s">
        <v>2162</v>
      </c>
      <c r="C643" t="s">
        <v>1971</v>
      </c>
      <c r="D643" s="3">
        <v>37460.33084490741</v>
      </c>
      <c r="E643" s="8" t="s">
        <v>2163</v>
      </c>
      <c r="F643" s="8" t="s">
        <v>2164</v>
      </c>
      <c r="G643" s="8" t="s">
        <v>2042</v>
      </c>
      <c r="H643" s="3">
        <v>37473.935243055559</v>
      </c>
      <c r="K643">
        <v>1</v>
      </c>
      <c r="L643">
        <f t="shared" si="46"/>
        <v>1</v>
      </c>
      <c r="Q643" t="str">
        <f t="shared" si="47"/>
        <v/>
      </c>
      <c r="R643" t="str">
        <f t="shared" si="48"/>
        <v/>
      </c>
      <c r="S643" t="str">
        <f t="shared" si="49"/>
        <v>TC,abc0a01,e55ac0f</v>
      </c>
    </row>
    <row r="644" spans="1:19">
      <c r="A644" t="s">
        <v>2440</v>
      </c>
      <c r="C644" t="s">
        <v>1971</v>
      </c>
      <c r="D644" s="3">
        <v>37479.434201388889</v>
      </c>
      <c r="E644" s="8" t="s">
        <v>2441</v>
      </c>
      <c r="F644" s="8" t="s">
        <v>2442</v>
      </c>
      <c r="G644" s="8" t="s">
        <v>2443</v>
      </c>
      <c r="H644" s="3">
        <v>37487.32545138889</v>
      </c>
      <c r="I644">
        <v>1</v>
      </c>
      <c r="K644">
        <v>1</v>
      </c>
      <c r="L644">
        <f t="shared" si="46"/>
        <v>2</v>
      </c>
      <c r="Q644" t="str">
        <f t="shared" si="47"/>
        <v>MC,e949e37,03d9e98</v>
      </c>
      <c r="R644" t="str">
        <f t="shared" si="48"/>
        <v/>
      </c>
      <c r="S644" t="str">
        <f t="shared" si="49"/>
        <v>TC,e949e37,03d9e98</v>
      </c>
    </row>
    <row r="645" spans="1:19">
      <c r="A645" t="s">
        <v>2351</v>
      </c>
      <c r="C645" t="s">
        <v>1971</v>
      </c>
      <c r="D645" s="3">
        <v>37488.301296296297</v>
      </c>
      <c r="E645" s="8" t="s">
        <v>2352</v>
      </c>
      <c r="F645" s="8" t="s">
        <v>2353</v>
      </c>
      <c r="G645" s="8" t="s">
        <v>2042</v>
      </c>
      <c r="H645" s="3">
        <v>37495.478148148148</v>
      </c>
      <c r="K645">
        <v>1</v>
      </c>
      <c r="L645">
        <f t="shared" si="46"/>
        <v>1</v>
      </c>
      <c r="Q645" t="str">
        <f t="shared" si="47"/>
        <v/>
      </c>
      <c r="R645" t="str">
        <f t="shared" si="48"/>
        <v/>
      </c>
      <c r="S645" t="str">
        <f t="shared" si="49"/>
        <v>TC,3c26928,dcbc17c</v>
      </c>
    </row>
    <row r="646" spans="1:19">
      <c r="A646" t="s">
        <v>2312</v>
      </c>
      <c r="C646" t="s">
        <v>1971</v>
      </c>
      <c r="D646" s="3">
        <v>37495.782199074078</v>
      </c>
      <c r="E646" s="8" t="s">
        <v>2313</v>
      </c>
      <c r="F646" s="8" t="s">
        <v>2314</v>
      </c>
      <c r="G646" s="8" t="s">
        <v>1969</v>
      </c>
      <c r="H646" s="3">
        <v>37498.4143287037</v>
      </c>
      <c r="K646">
        <v>1</v>
      </c>
      <c r="L646">
        <f t="shared" si="46"/>
        <v>1</v>
      </c>
      <c r="Q646" t="str">
        <f t="shared" si="47"/>
        <v/>
      </c>
      <c r="R646" t="str">
        <f t="shared" si="48"/>
        <v/>
      </c>
      <c r="S646" t="str">
        <f t="shared" si="49"/>
        <v>TC,54f3bd6,cfc8a80</v>
      </c>
    </row>
    <row r="647" spans="1:19">
      <c r="A647" t="s">
        <v>2418</v>
      </c>
      <c r="C647" t="s">
        <v>1971</v>
      </c>
      <c r="D647" s="3">
        <v>37498.338148148148</v>
      </c>
      <c r="E647" s="8" t="s">
        <v>2419</v>
      </c>
      <c r="F647" s="8" t="s">
        <v>2420</v>
      </c>
      <c r="G647" s="8" t="s">
        <v>2096</v>
      </c>
      <c r="H647" s="3">
        <v>37504.269861111112</v>
      </c>
      <c r="K647">
        <v>1</v>
      </c>
      <c r="L647">
        <f t="shared" si="46"/>
        <v>1</v>
      </c>
      <c r="Q647" t="str">
        <f t="shared" si="47"/>
        <v/>
      </c>
      <c r="R647" t="str">
        <f t="shared" si="48"/>
        <v/>
      </c>
      <c r="S647" t="str">
        <f t="shared" si="49"/>
        <v>TC,e87ef8c,83d0579</v>
      </c>
    </row>
    <row r="648" spans="1:19">
      <c r="A648" t="s">
        <v>2421</v>
      </c>
      <c r="C648" t="s">
        <v>1971</v>
      </c>
      <c r="D648" s="3">
        <v>37506.429398148146</v>
      </c>
      <c r="E648" s="8" t="s">
        <v>2422</v>
      </c>
      <c r="F648" s="8" t="s">
        <v>2423</v>
      </c>
      <c r="G648" s="8" t="s">
        <v>2102</v>
      </c>
      <c r="H648" s="3">
        <v>37512.584930555553</v>
      </c>
      <c r="K648">
        <v>1</v>
      </c>
      <c r="L648">
        <f t="shared" si="46"/>
        <v>1</v>
      </c>
      <c r="Q648" t="str">
        <f t="shared" si="47"/>
        <v/>
      </c>
      <c r="R648" t="str">
        <f t="shared" si="48"/>
        <v/>
      </c>
      <c r="S648" t="str">
        <f t="shared" si="49"/>
        <v>TC,cb5fdd8,478d307</v>
      </c>
    </row>
    <row r="649" spans="1:19">
      <c r="A649" t="s">
        <v>2315</v>
      </c>
      <c r="C649" t="s">
        <v>1971</v>
      </c>
      <c r="D649" s="3">
        <v>37514.455451388887</v>
      </c>
      <c r="E649" s="8" t="s">
        <v>2316</v>
      </c>
      <c r="F649" s="8" t="s">
        <v>2317</v>
      </c>
      <c r="G649" s="8" t="s">
        <v>2102</v>
      </c>
      <c r="H649" s="3">
        <v>37548.590520833335</v>
      </c>
      <c r="L649">
        <f t="shared" si="46"/>
        <v>0</v>
      </c>
      <c r="Q649" t="str">
        <f t="shared" si="47"/>
        <v/>
      </c>
      <c r="R649" t="str">
        <f t="shared" si="48"/>
        <v/>
      </c>
      <c r="S649" t="str">
        <f t="shared" si="49"/>
        <v/>
      </c>
    </row>
    <row r="650" spans="1:19">
      <c r="A650" t="s">
        <v>2435</v>
      </c>
      <c r="C650" t="s">
        <v>1971</v>
      </c>
      <c r="D650" s="3">
        <v>37550.743564814817</v>
      </c>
      <c r="E650" s="8" t="s">
        <v>2254</v>
      </c>
      <c r="F650" s="8" t="s">
        <v>2436</v>
      </c>
      <c r="G650" s="8" t="s">
        <v>1998</v>
      </c>
      <c r="H650" s="3">
        <v>37551.511354166665</v>
      </c>
      <c r="K650">
        <v>1</v>
      </c>
      <c r="L650">
        <f t="shared" si="46"/>
        <v>1</v>
      </c>
      <c r="Q650" t="str">
        <f t="shared" si="47"/>
        <v/>
      </c>
      <c r="R650" t="str">
        <f t="shared" si="48"/>
        <v/>
      </c>
      <c r="S650" t="str">
        <f t="shared" si="49"/>
        <v>TC,eb7e197,262eaca</v>
      </c>
    </row>
    <row r="651" spans="1:19">
      <c r="A651" t="s">
        <v>2237</v>
      </c>
      <c r="C651" t="s">
        <v>2102</v>
      </c>
      <c r="D651" s="3">
        <v>37554.491053240738</v>
      </c>
      <c r="E651" s="8" t="s">
        <v>2238</v>
      </c>
      <c r="F651" s="8" t="s">
        <v>2239</v>
      </c>
      <c r="G651" s="8" t="s">
        <v>1971</v>
      </c>
      <c r="H651" s="3">
        <v>37554.764374999999</v>
      </c>
      <c r="K651">
        <v>1</v>
      </c>
      <c r="L651">
        <f t="shared" si="46"/>
        <v>1</v>
      </c>
      <c r="Q651" t="str">
        <f t="shared" si="47"/>
        <v/>
      </c>
      <c r="R651" t="str">
        <f t="shared" si="48"/>
        <v/>
      </c>
      <c r="S651" t="str">
        <f t="shared" si="49"/>
        <v>TC,294f22c,e02aff1</v>
      </c>
    </row>
    <row r="652" spans="1:19">
      <c r="A652" t="s">
        <v>2039</v>
      </c>
      <c r="C652" t="s">
        <v>1971</v>
      </c>
      <c r="D652" s="3">
        <v>37554.765266203707</v>
      </c>
      <c r="E652" s="8" t="s">
        <v>2040</v>
      </c>
      <c r="F652" s="8" t="s">
        <v>2041</v>
      </c>
      <c r="G652" s="8" t="s">
        <v>2042</v>
      </c>
      <c r="H652" s="3">
        <v>37564.558206018519</v>
      </c>
      <c r="K652">
        <v>1</v>
      </c>
      <c r="L652">
        <f t="shared" si="46"/>
        <v>1</v>
      </c>
      <c r="Q652" t="str">
        <f t="shared" si="47"/>
        <v/>
      </c>
      <c r="R652" t="str">
        <f t="shared" si="48"/>
        <v/>
      </c>
      <c r="S652" t="str">
        <f t="shared" si="49"/>
        <v>TC,bf02d38,1d86a7f</v>
      </c>
    </row>
    <row r="653" spans="1:19">
      <c r="A653" t="s">
        <v>2444</v>
      </c>
      <c r="C653" t="s">
        <v>1971</v>
      </c>
      <c r="D653" s="3">
        <v>37554.765266203707</v>
      </c>
      <c r="E653" s="8" t="s">
        <v>2040</v>
      </c>
      <c r="F653" s="8" t="s">
        <v>2445</v>
      </c>
      <c r="G653" s="8" t="s">
        <v>1967</v>
      </c>
      <c r="H653" s="3">
        <v>37576.922731481478</v>
      </c>
      <c r="K653">
        <v>1</v>
      </c>
      <c r="L653">
        <f t="shared" si="46"/>
        <v>1</v>
      </c>
      <c r="Q653" t="str">
        <f t="shared" si="47"/>
        <v/>
      </c>
      <c r="R653" t="str">
        <f t="shared" si="48"/>
        <v/>
      </c>
      <c r="S653" t="str">
        <f t="shared" si="49"/>
        <v>TC,bf02d38,287a822</v>
      </c>
    </row>
    <row r="654" spans="1:19">
      <c r="A654" t="s">
        <v>2188</v>
      </c>
      <c r="C654" t="s">
        <v>1969</v>
      </c>
      <c r="D654" s="3">
        <v>37593.534039351849</v>
      </c>
      <c r="E654" s="8" t="s">
        <v>2189</v>
      </c>
      <c r="F654" s="8" t="s">
        <v>2190</v>
      </c>
      <c r="G654" s="8" t="s">
        <v>1971</v>
      </c>
      <c r="H654" s="3">
        <v>37593.535439814812</v>
      </c>
      <c r="I654">
        <v>1</v>
      </c>
      <c r="K654">
        <v>1</v>
      </c>
      <c r="L654">
        <f t="shared" si="46"/>
        <v>2</v>
      </c>
      <c r="Q654" t="str">
        <f t="shared" si="47"/>
        <v>MC,d90a703,a6bd83f</v>
      </c>
      <c r="R654" t="str">
        <f t="shared" si="48"/>
        <v/>
      </c>
      <c r="S654" t="str">
        <f t="shared" si="49"/>
        <v>TC,d90a703,a6bd83f</v>
      </c>
    </row>
    <row r="655" spans="1:19">
      <c r="A655" t="s">
        <v>2397</v>
      </c>
      <c r="C655" t="s">
        <v>1971</v>
      </c>
      <c r="D655" s="3">
        <v>37594.440023148149</v>
      </c>
      <c r="E655" s="8" t="s">
        <v>2398</v>
      </c>
      <c r="F655" s="8" t="s">
        <v>2399</v>
      </c>
      <c r="G655" s="8" t="s">
        <v>2096</v>
      </c>
      <c r="H655" s="3">
        <v>37621.172175925924</v>
      </c>
      <c r="K655">
        <v>1</v>
      </c>
      <c r="L655">
        <f t="shared" si="46"/>
        <v>1</v>
      </c>
      <c r="Q655" t="str">
        <f t="shared" si="47"/>
        <v/>
      </c>
      <c r="R655" t="str">
        <f t="shared" si="48"/>
        <v/>
      </c>
      <c r="S655" t="str">
        <f t="shared" si="49"/>
        <v>TC,3e4a31b,498d7dc</v>
      </c>
    </row>
    <row r="656" spans="1:19">
      <c r="A656" t="s">
        <v>2424</v>
      </c>
      <c r="C656" t="s">
        <v>1971</v>
      </c>
      <c r="D656" s="3">
        <v>37622.801759259259</v>
      </c>
      <c r="E656" s="8" t="s">
        <v>2425</v>
      </c>
      <c r="F656" s="8" t="s">
        <v>2426</v>
      </c>
      <c r="G656" s="8" t="s">
        <v>2030</v>
      </c>
      <c r="H656" s="3">
        <v>37630.364351851851</v>
      </c>
      <c r="K656">
        <v>1</v>
      </c>
      <c r="L656">
        <f t="shared" si="46"/>
        <v>1</v>
      </c>
      <c r="Q656" t="str">
        <f t="shared" si="47"/>
        <v/>
      </c>
      <c r="R656" t="str">
        <f t="shared" si="48"/>
        <v/>
      </c>
      <c r="S656" t="str">
        <f t="shared" si="49"/>
        <v>TC,6e6ca6c,0202f2d</v>
      </c>
    </row>
    <row r="657" spans="1:19">
      <c r="A657" t="s">
        <v>2253</v>
      </c>
      <c r="C657" t="s">
        <v>1971</v>
      </c>
      <c r="D657" s="3">
        <v>37550.743564814817</v>
      </c>
      <c r="E657" s="8" t="s">
        <v>2254</v>
      </c>
      <c r="F657" s="8" t="s">
        <v>2255</v>
      </c>
      <c r="G657" s="8" t="s">
        <v>1969</v>
      </c>
      <c r="H657" s="3">
        <v>37634.063206018516</v>
      </c>
      <c r="I657">
        <v>1</v>
      </c>
      <c r="K657">
        <v>1</v>
      </c>
      <c r="L657">
        <f t="shared" si="46"/>
        <v>2</v>
      </c>
      <c r="Q657" t="str">
        <f t="shared" si="47"/>
        <v>MC,eb7e197,636cdfa</v>
      </c>
      <c r="R657" t="str">
        <f t="shared" si="48"/>
        <v/>
      </c>
      <c r="S657" t="str">
        <f t="shared" si="49"/>
        <v>TC,eb7e197,636cdfa</v>
      </c>
    </row>
    <row r="658" spans="1:19">
      <c r="A658" t="s">
        <v>2130</v>
      </c>
      <c r="C658" t="s">
        <v>1971</v>
      </c>
      <c r="D658" s="3">
        <v>37633.587673611109</v>
      </c>
      <c r="E658" s="8" t="s">
        <v>2131</v>
      </c>
      <c r="F658" s="8" t="s">
        <v>2132</v>
      </c>
      <c r="G658" s="8" t="s">
        <v>1969</v>
      </c>
      <c r="H658" s="3">
        <v>37634.11010416667</v>
      </c>
      <c r="K658">
        <v>1</v>
      </c>
      <c r="L658">
        <f t="shared" si="46"/>
        <v>1</v>
      </c>
      <c r="Q658" t="str">
        <f t="shared" si="47"/>
        <v/>
      </c>
      <c r="R658" t="str">
        <f t="shared" si="48"/>
        <v/>
      </c>
      <c r="S658" t="str">
        <f t="shared" si="49"/>
        <v>TC,9217ff3,020b907</v>
      </c>
    </row>
    <row r="659" spans="1:19">
      <c r="A659" s="1" t="s">
        <v>2318</v>
      </c>
      <c r="C659" t="s">
        <v>1971</v>
      </c>
      <c r="D659" s="3">
        <v>37633.73232638889</v>
      </c>
      <c r="E659" s="8" t="s">
        <v>2319</v>
      </c>
      <c r="F659" s="8" t="s">
        <v>2320</v>
      </c>
      <c r="G659" s="8" t="s">
        <v>1969</v>
      </c>
      <c r="H659" s="3">
        <v>37634.111851851849</v>
      </c>
      <c r="K659">
        <v>1</v>
      </c>
      <c r="L659">
        <f t="shared" si="46"/>
        <v>1</v>
      </c>
      <c r="Q659" t="str">
        <f t="shared" si="47"/>
        <v/>
      </c>
      <c r="R659" t="str">
        <f t="shared" si="48"/>
        <v/>
      </c>
      <c r="S659" t="str">
        <f t="shared" si="49"/>
        <v>TC,0678cb2,dd27d36</v>
      </c>
    </row>
    <row r="660" spans="1:19">
      <c r="A660" t="s">
        <v>2191</v>
      </c>
      <c r="C660" t="s">
        <v>1971</v>
      </c>
      <c r="D660" s="3">
        <v>37634.42664351852</v>
      </c>
      <c r="E660" s="8" t="s">
        <v>2192</v>
      </c>
      <c r="F660" s="8" t="s">
        <v>2193</v>
      </c>
      <c r="G660" s="8" t="s">
        <v>1969</v>
      </c>
      <c r="H660" s="3">
        <v>37637.953738425924</v>
      </c>
      <c r="L660">
        <f t="shared" si="46"/>
        <v>0</v>
      </c>
      <c r="Q660" t="str">
        <f t="shared" si="47"/>
        <v/>
      </c>
      <c r="R660" t="str">
        <f t="shared" si="48"/>
        <v/>
      </c>
      <c r="S660" t="str">
        <f t="shared" si="49"/>
        <v/>
      </c>
    </row>
    <row r="661" spans="1:19">
      <c r="A661" t="s">
        <v>2484</v>
      </c>
      <c r="C661" t="s">
        <v>1971</v>
      </c>
      <c r="D661" s="3">
        <v>37638.587118055555</v>
      </c>
      <c r="E661" s="8" t="s">
        <v>2167</v>
      </c>
      <c r="F661" s="8" t="s">
        <v>2485</v>
      </c>
      <c r="G661" s="8" t="s">
        <v>1969</v>
      </c>
      <c r="H661" s="3">
        <v>37639.754872685182</v>
      </c>
      <c r="L661">
        <f t="shared" si="46"/>
        <v>0</v>
      </c>
      <c r="Q661" t="str">
        <f t="shared" si="47"/>
        <v/>
      </c>
      <c r="R661" t="str">
        <f t="shared" si="48"/>
        <v/>
      </c>
      <c r="S661" t="str">
        <f t="shared" si="49"/>
        <v/>
      </c>
    </row>
    <row r="662" spans="1:19">
      <c r="A662" t="s">
        <v>2166</v>
      </c>
      <c r="C662" t="s">
        <v>1971</v>
      </c>
      <c r="D662" s="3">
        <v>37638.587118055555</v>
      </c>
      <c r="E662" s="8" t="s">
        <v>2167</v>
      </c>
      <c r="F662" s="8" t="s">
        <v>2168</v>
      </c>
      <c r="G662" s="8" t="s">
        <v>2559</v>
      </c>
      <c r="H662" s="3">
        <v>37641.357060185182</v>
      </c>
      <c r="L662">
        <f t="shared" si="46"/>
        <v>0</v>
      </c>
      <c r="Q662" t="str">
        <f t="shared" si="47"/>
        <v/>
      </c>
      <c r="R662" t="str">
        <f t="shared" si="48"/>
        <v/>
      </c>
      <c r="S662" t="str">
        <f t="shared" si="49"/>
        <v/>
      </c>
    </row>
    <row r="663" spans="1:19">
      <c r="A663" t="s">
        <v>1978</v>
      </c>
      <c r="B663" t="s">
        <v>2253</v>
      </c>
      <c r="C663" t="s">
        <v>1971</v>
      </c>
      <c r="D663" s="3">
        <v>37641.631342592591</v>
      </c>
      <c r="E663" s="8" t="s">
        <v>1979</v>
      </c>
      <c r="F663" s="8" t="s">
        <v>2548</v>
      </c>
      <c r="G663" s="8" t="s">
        <v>1969</v>
      </c>
      <c r="H663" s="3">
        <v>37641.742256944446</v>
      </c>
      <c r="L663">
        <f t="shared" si="46"/>
        <v>0</v>
      </c>
      <c r="Q663" t="str">
        <f t="shared" si="47"/>
        <v/>
      </c>
      <c r="R663" t="str">
        <f t="shared" si="48"/>
        <v/>
      </c>
      <c r="S663" t="str">
        <f t="shared" si="49"/>
        <v/>
      </c>
    </row>
    <row r="664" spans="1:19">
      <c r="A664" t="s">
        <v>2022</v>
      </c>
      <c r="C664" t="s">
        <v>1971</v>
      </c>
      <c r="D664" s="3">
        <v>37642.870138888888</v>
      </c>
      <c r="E664" s="8" t="s">
        <v>2023</v>
      </c>
      <c r="F664" s="8" t="s">
        <v>2024</v>
      </c>
      <c r="G664" s="8" t="s">
        <v>2025</v>
      </c>
      <c r="H664" s="3">
        <v>37642.880706018521</v>
      </c>
      <c r="I664">
        <v>1</v>
      </c>
      <c r="L664">
        <f t="shared" si="46"/>
        <v>1</v>
      </c>
      <c r="Q664" t="str">
        <f t="shared" si="47"/>
        <v>MC,e852947,bead796</v>
      </c>
      <c r="R664" t="str">
        <f t="shared" si="48"/>
        <v/>
      </c>
      <c r="S664" t="str">
        <f t="shared" si="49"/>
        <v/>
      </c>
    </row>
    <row r="665" spans="1:19">
      <c r="A665" t="s">
        <v>2469</v>
      </c>
      <c r="C665" t="s">
        <v>2243</v>
      </c>
      <c r="D665" s="3">
        <v>37640.697152777779</v>
      </c>
      <c r="E665" s="8" t="s">
        <v>2470</v>
      </c>
      <c r="F665" s="8" t="s">
        <v>2471</v>
      </c>
      <c r="G665" s="8" t="s">
        <v>1971</v>
      </c>
      <c r="H665" s="3">
        <v>37643.519305555557</v>
      </c>
      <c r="K665">
        <v>1</v>
      </c>
      <c r="L665">
        <f t="shared" si="46"/>
        <v>1</v>
      </c>
      <c r="Q665" t="str">
        <f t="shared" si="47"/>
        <v/>
      </c>
      <c r="R665" t="str">
        <f t="shared" si="48"/>
        <v/>
      </c>
      <c r="S665" t="str">
        <f t="shared" si="49"/>
        <v>TC,6b42d12,9837d37</v>
      </c>
    </row>
    <row r="666" spans="1:19">
      <c r="A666" t="s">
        <v>1980</v>
      </c>
      <c r="B666" t="s">
        <v>2345</v>
      </c>
      <c r="C666" t="s">
        <v>1969</v>
      </c>
      <c r="D666" s="3">
        <v>37643.555219907408</v>
      </c>
      <c r="E666" s="8" t="s">
        <v>1981</v>
      </c>
      <c r="F666" s="8" t="s">
        <v>1982</v>
      </c>
      <c r="G666" s="8" t="s">
        <v>1971</v>
      </c>
      <c r="H666" s="3">
        <v>37643.722002314818</v>
      </c>
      <c r="L666">
        <f t="shared" si="46"/>
        <v>0</v>
      </c>
      <c r="Q666" t="str">
        <f t="shared" si="47"/>
        <v/>
      </c>
      <c r="R666" t="str">
        <f t="shared" si="48"/>
        <v/>
      </c>
      <c r="S666" t="str">
        <f t="shared" si="49"/>
        <v/>
      </c>
    </row>
    <row r="667" spans="1:19">
      <c r="A667" t="s">
        <v>2165</v>
      </c>
      <c r="C667" t="s">
        <v>1969</v>
      </c>
      <c r="D667" s="3">
        <v>37643.555219907408</v>
      </c>
      <c r="E667" s="8" t="s">
        <v>1981</v>
      </c>
      <c r="F667" s="8" t="s">
        <v>1982</v>
      </c>
      <c r="G667" s="8" t="s">
        <v>1971</v>
      </c>
      <c r="H667" s="3">
        <v>37643.722002314818</v>
      </c>
      <c r="L667">
        <f t="shared" si="46"/>
        <v>0</v>
      </c>
      <c r="Q667" t="str">
        <f t="shared" si="47"/>
        <v/>
      </c>
      <c r="R667" t="str">
        <f t="shared" si="48"/>
        <v/>
      </c>
      <c r="S667" t="str">
        <f t="shared" si="49"/>
        <v/>
      </c>
    </row>
    <row r="668" spans="1:19">
      <c r="A668" t="s">
        <v>2133</v>
      </c>
      <c r="C668" t="s">
        <v>1971</v>
      </c>
      <c r="D668" s="3">
        <v>37647.740497685183</v>
      </c>
      <c r="E668" s="8" t="s">
        <v>2134</v>
      </c>
      <c r="F668" s="8" t="s">
        <v>2135</v>
      </c>
      <c r="G668" s="8" t="s">
        <v>1969</v>
      </c>
      <c r="H668" s="3">
        <v>37652.374074074076</v>
      </c>
      <c r="L668">
        <f t="shared" si="46"/>
        <v>0</v>
      </c>
      <c r="Q668" t="str">
        <f t="shared" si="47"/>
        <v/>
      </c>
      <c r="R668" t="str">
        <f t="shared" si="48"/>
        <v/>
      </c>
      <c r="S668" t="str">
        <f t="shared" si="49"/>
        <v/>
      </c>
    </row>
    <row r="669" spans="1:19">
      <c r="A669" t="s">
        <v>2169</v>
      </c>
      <c r="C669" t="s">
        <v>1971</v>
      </c>
      <c r="D669" s="3">
        <v>37653.497766203705</v>
      </c>
      <c r="E669" s="8" t="s">
        <v>2084</v>
      </c>
      <c r="F669" s="8" t="s">
        <v>2170</v>
      </c>
      <c r="G669" s="8" t="s">
        <v>2082</v>
      </c>
      <c r="H669" s="3">
        <v>37653.500706018516</v>
      </c>
      <c r="L669">
        <f t="shared" ref="L669:L700" si="50">COUNTA(I669:K669)</f>
        <v>0</v>
      </c>
      <c r="Q669" t="str">
        <f t="shared" ref="Q669:Q700" si="51">IF(I669&gt;0,CONCATENATE("MC,",E669,",",F669),"")</f>
        <v/>
      </c>
      <c r="R669" t="str">
        <f t="shared" ref="R669:R700" si="52">IF(J669&gt;0,CONCATENATE("BC,",E669,",",F669),"")</f>
        <v/>
      </c>
      <c r="S669" t="str">
        <f t="shared" ref="S669:S700" si="53">IF(K669&gt;0,CONCATENATE("TC,",E669,",",F669),"")</f>
        <v/>
      </c>
    </row>
    <row r="670" spans="1:19">
      <c r="A670" t="s">
        <v>2083</v>
      </c>
      <c r="C670" t="s">
        <v>1971</v>
      </c>
      <c r="D670" s="3">
        <v>37653.497766203705</v>
      </c>
      <c r="E670" s="8" t="s">
        <v>2084</v>
      </c>
      <c r="F670" s="8" t="s">
        <v>2085</v>
      </c>
      <c r="G670" s="8" t="s">
        <v>2082</v>
      </c>
      <c r="H670" s="3">
        <v>37653.878194444442</v>
      </c>
      <c r="L670">
        <f t="shared" si="50"/>
        <v>0</v>
      </c>
      <c r="Q670" t="str">
        <f t="shared" si="51"/>
        <v/>
      </c>
      <c r="R670" t="str">
        <f t="shared" si="52"/>
        <v/>
      </c>
      <c r="S670" t="str">
        <f t="shared" si="53"/>
        <v/>
      </c>
    </row>
    <row r="671" spans="1:19">
      <c r="A671" t="s">
        <v>2086</v>
      </c>
      <c r="C671" t="s">
        <v>1971</v>
      </c>
      <c r="D671" s="3">
        <v>37654.4846875</v>
      </c>
      <c r="E671" s="8" t="s">
        <v>2087</v>
      </c>
      <c r="F671" s="8" t="s">
        <v>2088</v>
      </c>
      <c r="G671" s="8" t="s">
        <v>1969</v>
      </c>
      <c r="H671" s="3">
        <v>37667.360856481479</v>
      </c>
      <c r="I671">
        <v>1</v>
      </c>
      <c r="K671">
        <v>1</v>
      </c>
      <c r="L671">
        <f t="shared" si="50"/>
        <v>2</v>
      </c>
      <c r="Q671" t="str">
        <f t="shared" si="51"/>
        <v>MC,54c63ae,77e6095</v>
      </c>
      <c r="R671" t="str">
        <f t="shared" si="52"/>
        <v/>
      </c>
      <c r="S671" t="str">
        <f t="shared" si="53"/>
        <v>TC,54c63ae,77e6095</v>
      </c>
    </row>
    <row r="672" spans="1:19">
      <c r="A672" t="s">
        <v>2290</v>
      </c>
      <c r="C672" t="s">
        <v>1971</v>
      </c>
      <c r="D672" s="3">
        <v>37667.503483796296</v>
      </c>
      <c r="E672" s="8" t="s">
        <v>2291</v>
      </c>
      <c r="F672" s="8" t="s">
        <v>2292</v>
      </c>
      <c r="G672" s="8" t="s">
        <v>1969</v>
      </c>
      <c r="H672" s="3">
        <v>37668.354097222225</v>
      </c>
      <c r="L672">
        <f t="shared" si="50"/>
        <v>0</v>
      </c>
      <c r="Q672" t="str">
        <f t="shared" si="51"/>
        <v/>
      </c>
      <c r="R672" t="str">
        <f t="shared" si="52"/>
        <v/>
      </c>
      <c r="S672" t="str">
        <f t="shared" si="53"/>
        <v/>
      </c>
    </row>
    <row r="673" spans="1:19">
      <c r="A673" t="s">
        <v>2059</v>
      </c>
      <c r="C673" t="s">
        <v>1971</v>
      </c>
      <c r="D673" s="3">
        <v>37668.444791666669</v>
      </c>
      <c r="E673" s="8" t="s">
        <v>2060</v>
      </c>
      <c r="F673" s="8" t="s">
        <v>2061</v>
      </c>
      <c r="G673" s="8" t="s">
        <v>1969</v>
      </c>
      <c r="H673" s="3">
        <v>37687.361712962964</v>
      </c>
      <c r="K673">
        <v>1</v>
      </c>
      <c r="L673">
        <f t="shared" si="50"/>
        <v>1</v>
      </c>
      <c r="Q673" t="str">
        <f t="shared" si="51"/>
        <v/>
      </c>
      <c r="R673" t="str">
        <f t="shared" si="52"/>
        <v/>
      </c>
      <c r="S673" t="str">
        <f t="shared" si="53"/>
        <v>TC,36b7bd4,ab9e1bb</v>
      </c>
    </row>
    <row r="674" spans="1:19">
      <c r="A674" t="s">
        <v>2043</v>
      </c>
      <c r="C674" t="s">
        <v>1971</v>
      </c>
      <c r="D674" s="3">
        <v>37687.489907407406</v>
      </c>
      <c r="E674" s="8" t="s">
        <v>2044</v>
      </c>
      <c r="F674" s="8" t="s">
        <v>2045</v>
      </c>
      <c r="G674" s="8" t="s">
        <v>2046</v>
      </c>
      <c r="H674" s="3">
        <v>37695.544652777775</v>
      </c>
      <c r="L674">
        <f t="shared" si="50"/>
        <v>0</v>
      </c>
      <c r="Q674" t="str">
        <f t="shared" si="51"/>
        <v/>
      </c>
      <c r="R674" t="str">
        <f t="shared" si="52"/>
        <v/>
      </c>
      <c r="S674" t="str">
        <f t="shared" si="53"/>
        <v/>
      </c>
    </row>
    <row r="675" spans="1:19">
      <c r="A675" t="s">
        <v>2321</v>
      </c>
      <c r="C675" t="s">
        <v>1971</v>
      </c>
      <c r="D675" s="3">
        <v>37702.680289351854</v>
      </c>
      <c r="E675" s="8" t="s">
        <v>2322</v>
      </c>
      <c r="F675" s="8" t="s">
        <v>2553</v>
      </c>
      <c r="G675" s="8" t="s">
        <v>1969</v>
      </c>
      <c r="H675" s="3">
        <v>37711.452499999999</v>
      </c>
      <c r="L675">
        <f t="shared" si="50"/>
        <v>0</v>
      </c>
      <c r="Q675" t="str">
        <f t="shared" si="51"/>
        <v/>
      </c>
      <c r="R675" t="str">
        <f t="shared" si="52"/>
        <v/>
      </c>
      <c r="S675" t="str">
        <f t="shared" si="53"/>
        <v/>
      </c>
    </row>
    <row r="676" spans="1:19">
      <c r="A676" t="s">
        <v>2293</v>
      </c>
      <c r="C676" t="s">
        <v>1971</v>
      </c>
      <c r="D676" s="3">
        <v>37712.367245370369</v>
      </c>
      <c r="E676" s="8" t="s">
        <v>2294</v>
      </c>
      <c r="F676" s="8" t="s">
        <v>2551</v>
      </c>
      <c r="G676" s="8" t="s">
        <v>1969</v>
      </c>
      <c r="H676" s="3">
        <v>37728.389201388891</v>
      </c>
      <c r="L676">
        <f t="shared" si="50"/>
        <v>0</v>
      </c>
      <c r="Q676" t="str">
        <f t="shared" si="51"/>
        <v/>
      </c>
      <c r="R676" t="str">
        <f t="shared" si="52"/>
        <v/>
      </c>
      <c r="S676" t="str">
        <f t="shared" si="53"/>
        <v/>
      </c>
    </row>
    <row r="677" spans="1:19">
      <c r="A677" t="s">
        <v>1972</v>
      </c>
      <c r="B677" t="s">
        <v>2136</v>
      </c>
      <c r="C677" t="s">
        <v>1971</v>
      </c>
      <c r="D677" s="3">
        <v>37728.447789351849</v>
      </c>
      <c r="E677" s="8" t="s">
        <v>1973</v>
      </c>
      <c r="F677" s="8" t="s">
        <v>1974</v>
      </c>
      <c r="G677" s="8" t="s">
        <v>1969</v>
      </c>
      <c r="H677" s="3">
        <v>37738.34275462963</v>
      </c>
      <c r="K677">
        <v>1</v>
      </c>
      <c r="L677">
        <f t="shared" si="50"/>
        <v>1</v>
      </c>
      <c r="Q677" t="str">
        <f t="shared" si="51"/>
        <v/>
      </c>
      <c r="R677" t="str">
        <f t="shared" si="52"/>
        <v/>
      </c>
      <c r="S677" t="str">
        <f t="shared" si="53"/>
        <v>TC,b8d8eb3,db37a92</v>
      </c>
    </row>
    <row r="678" spans="1:19">
      <c r="A678" t="s">
        <v>2026</v>
      </c>
      <c r="C678" t="s">
        <v>1971</v>
      </c>
      <c r="D678" s="3">
        <v>37738.784062500003</v>
      </c>
      <c r="E678" s="8" t="s">
        <v>2027</v>
      </c>
      <c r="F678" s="8" t="s">
        <v>2028</v>
      </c>
      <c r="G678" s="8" t="s">
        <v>1969</v>
      </c>
      <c r="H678" s="3">
        <v>37743.362268518518</v>
      </c>
      <c r="K678">
        <v>1</v>
      </c>
      <c r="L678">
        <f t="shared" si="50"/>
        <v>1</v>
      </c>
      <c r="Q678" t="str">
        <f t="shared" si="51"/>
        <v/>
      </c>
      <c r="R678" t="str">
        <f t="shared" si="52"/>
        <v/>
      </c>
      <c r="S678" t="str">
        <f t="shared" si="53"/>
        <v>TC,7777929,d7aa441</v>
      </c>
    </row>
    <row r="679" spans="1:19">
      <c r="A679" t="s">
        <v>2481</v>
      </c>
      <c r="C679" t="s">
        <v>1971</v>
      </c>
      <c r="D679" s="3">
        <v>37743.567453703705</v>
      </c>
      <c r="E679" s="8" t="s">
        <v>2482</v>
      </c>
      <c r="F679" s="8" t="s">
        <v>2483</v>
      </c>
      <c r="G679" s="8" t="s">
        <v>1969</v>
      </c>
      <c r="H679" s="3">
        <v>37747.216932870368</v>
      </c>
      <c r="L679">
        <f t="shared" si="50"/>
        <v>0</v>
      </c>
      <c r="Q679" t="str">
        <f t="shared" si="51"/>
        <v/>
      </c>
      <c r="R679" t="str">
        <f t="shared" si="52"/>
        <v/>
      </c>
      <c r="S679" t="str">
        <f t="shared" si="53"/>
        <v/>
      </c>
    </row>
    <row r="680" spans="1:19">
      <c r="A680" t="s">
        <v>2519</v>
      </c>
      <c r="C680" t="s">
        <v>2520</v>
      </c>
      <c r="D680" s="3">
        <v>37733.245891203704</v>
      </c>
      <c r="E680" s="8" t="s">
        <v>2521</v>
      </c>
      <c r="F680" s="8" t="s">
        <v>2522</v>
      </c>
      <c r="G680" s="8" t="s">
        <v>1971</v>
      </c>
      <c r="H680" s="3">
        <v>37747.457256944443</v>
      </c>
      <c r="L680">
        <f t="shared" si="50"/>
        <v>0</v>
      </c>
      <c r="Q680" t="str">
        <f t="shared" si="51"/>
        <v/>
      </c>
      <c r="R680" t="str">
        <f t="shared" si="52"/>
        <v/>
      </c>
      <c r="S680" t="str">
        <f t="shared" si="53"/>
        <v/>
      </c>
    </row>
    <row r="681" spans="1:19">
      <c r="A681" t="s">
        <v>2503</v>
      </c>
      <c r="C681" t="s">
        <v>1971</v>
      </c>
      <c r="D681" s="3">
        <v>37749.605752314812</v>
      </c>
      <c r="E681" s="8" t="s">
        <v>2504</v>
      </c>
      <c r="F681" s="8" t="s">
        <v>2505</v>
      </c>
      <c r="G681" s="8" t="s">
        <v>1969</v>
      </c>
      <c r="H681" s="3">
        <v>37751.296875</v>
      </c>
      <c r="L681">
        <f t="shared" si="50"/>
        <v>0</v>
      </c>
      <c r="Q681" t="str">
        <f t="shared" si="51"/>
        <v/>
      </c>
      <c r="R681" t="str">
        <f t="shared" si="52"/>
        <v/>
      </c>
      <c r="S681" t="str">
        <f t="shared" si="53"/>
        <v/>
      </c>
    </row>
    <row r="682" spans="1:19">
      <c r="A682" t="s">
        <v>1968</v>
      </c>
      <c r="B682" s="5" t="s">
        <v>2122</v>
      </c>
      <c r="C682" t="s">
        <v>1969</v>
      </c>
      <c r="D682" s="3">
        <v>37751.455428240741</v>
      </c>
      <c r="E682" s="8" t="s">
        <v>1970</v>
      </c>
      <c r="F682" s="8" t="s">
        <v>2547</v>
      </c>
      <c r="G682" s="8" t="s">
        <v>1971</v>
      </c>
      <c r="H682" s="3">
        <v>37751.531423611108</v>
      </c>
      <c r="L682">
        <f t="shared" si="50"/>
        <v>0</v>
      </c>
      <c r="Q682" t="str">
        <f t="shared" si="51"/>
        <v/>
      </c>
      <c r="R682" t="str">
        <f t="shared" si="52"/>
        <v/>
      </c>
      <c r="S682" t="str">
        <f t="shared" si="53"/>
        <v/>
      </c>
    </row>
    <row r="683" spans="1:19">
      <c r="A683" t="s">
        <v>2525</v>
      </c>
      <c r="C683" t="s">
        <v>2096</v>
      </c>
      <c r="D683" s="3">
        <v>37752.650856481479</v>
      </c>
      <c r="E683" s="8" t="s">
        <v>2526</v>
      </c>
      <c r="F683" s="8" t="s">
        <v>2285</v>
      </c>
      <c r="G683" s="8" t="s">
        <v>2556</v>
      </c>
      <c r="H683" s="3">
        <v>37752.674942129626</v>
      </c>
      <c r="K683">
        <v>1</v>
      </c>
      <c r="L683">
        <f t="shared" si="50"/>
        <v>1</v>
      </c>
      <c r="Q683" t="str">
        <f t="shared" si="51"/>
        <v/>
      </c>
      <c r="R683" t="str">
        <f t="shared" si="52"/>
        <v/>
      </c>
      <c r="S683" t="str">
        <f t="shared" si="53"/>
        <v>TC,23f519f,a6dd044</v>
      </c>
    </row>
    <row r="684" spans="1:19">
      <c r="A684" t="s">
        <v>2284</v>
      </c>
      <c r="C684" t="s">
        <v>2096</v>
      </c>
      <c r="D684" s="3">
        <v>37752.674942129626</v>
      </c>
      <c r="E684" s="8" t="s">
        <v>2285</v>
      </c>
      <c r="F684" s="8" t="s">
        <v>2286</v>
      </c>
      <c r="G684" s="8" t="s">
        <v>1969</v>
      </c>
      <c r="H684" s="3">
        <v>37753.225856481484</v>
      </c>
      <c r="L684">
        <f t="shared" si="50"/>
        <v>0</v>
      </c>
      <c r="Q684" t="str">
        <f t="shared" si="51"/>
        <v/>
      </c>
      <c r="R684" t="str">
        <f t="shared" si="52"/>
        <v/>
      </c>
      <c r="S684" t="str">
        <f t="shared" si="53"/>
        <v/>
      </c>
    </row>
    <row r="685" spans="1:19">
      <c r="A685" t="s">
        <v>2093</v>
      </c>
      <c r="C685" t="s">
        <v>1971</v>
      </c>
      <c r="D685" s="3">
        <v>37753.748437499999</v>
      </c>
      <c r="E685" s="8" t="s">
        <v>2094</v>
      </c>
      <c r="F685" s="8" t="s">
        <v>2095</v>
      </c>
      <c r="G685" s="8" t="s">
        <v>2096</v>
      </c>
      <c r="H685" s="3">
        <v>37754.561597222222</v>
      </c>
      <c r="L685">
        <f t="shared" si="50"/>
        <v>0</v>
      </c>
      <c r="Q685" t="str">
        <f t="shared" si="51"/>
        <v/>
      </c>
      <c r="R685" t="str">
        <f t="shared" si="52"/>
        <v/>
      </c>
      <c r="S685" t="str">
        <f t="shared" si="53"/>
        <v/>
      </c>
    </row>
    <row r="686" spans="1:19">
      <c r="A686" t="s">
        <v>2336</v>
      </c>
      <c r="C686" t="s">
        <v>1971</v>
      </c>
      <c r="D686" s="3">
        <v>37754.690972222219</v>
      </c>
      <c r="E686" s="8" t="s">
        <v>2337</v>
      </c>
      <c r="F686" s="8" t="s">
        <v>2338</v>
      </c>
      <c r="G686" s="8" t="s">
        <v>2096</v>
      </c>
      <c r="H686" s="3">
        <v>37758.27275462963</v>
      </c>
      <c r="L686">
        <f t="shared" si="50"/>
        <v>0</v>
      </c>
      <c r="Q686" t="str">
        <f t="shared" si="51"/>
        <v/>
      </c>
      <c r="R686" t="str">
        <f t="shared" si="52"/>
        <v/>
      </c>
      <c r="S686" t="str">
        <f t="shared" si="53"/>
        <v/>
      </c>
    </row>
    <row r="687" spans="1:19">
      <c r="A687" t="s">
        <v>2013</v>
      </c>
      <c r="C687" t="s">
        <v>1971</v>
      </c>
      <c r="D687" s="3">
        <v>37758.65121527778</v>
      </c>
      <c r="E687" s="8" t="s">
        <v>2014</v>
      </c>
      <c r="F687" s="8" t="s">
        <v>2015</v>
      </c>
      <c r="G687" s="8" t="s">
        <v>1969</v>
      </c>
      <c r="H687" s="3">
        <v>37759.249282407407</v>
      </c>
      <c r="L687">
        <f t="shared" si="50"/>
        <v>0</v>
      </c>
      <c r="Q687" t="str">
        <f t="shared" si="51"/>
        <v/>
      </c>
      <c r="R687" t="str">
        <f t="shared" si="52"/>
        <v/>
      </c>
      <c r="S687" t="str">
        <f t="shared" si="53"/>
        <v/>
      </c>
    </row>
    <row r="688" spans="1:19">
      <c r="A688" t="s">
        <v>1992</v>
      </c>
      <c r="B688" t="s">
        <v>2009</v>
      </c>
      <c r="C688" t="s">
        <v>1969</v>
      </c>
      <c r="D688" s="3">
        <v>37759.331516203703</v>
      </c>
      <c r="E688" s="8" t="s">
        <v>1993</v>
      </c>
      <c r="F688" s="8" t="s">
        <v>1994</v>
      </c>
      <c r="G688" s="8" t="s">
        <v>1971</v>
      </c>
      <c r="H688" s="3">
        <v>37759.366863425923</v>
      </c>
      <c r="L688">
        <f t="shared" si="50"/>
        <v>0</v>
      </c>
      <c r="Q688" t="str">
        <f t="shared" si="51"/>
        <v/>
      </c>
      <c r="R688" t="str">
        <f t="shared" si="52"/>
        <v/>
      </c>
      <c r="S688" t="str">
        <f t="shared" si="53"/>
        <v/>
      </c>
    </row>
    <row r="689" spans="1:19">
      <c r="A689" t="s">
        <v>2437</v>
      </c>
      <c r="C689" t="s">
        <v>1971</v>
      </c>
      <c r="D689" s="3">
        <v>37759.763680555552</v>
      </c>
      <c r="E689" s="8" t="s">
        <v>2144</v>
      </c>
      <c r="F689" s="8" t="s">
        <v>2438</v>
      </c>
      <c r="G689" s="8" t="s">
        <v>1969</v>
      </c>
      <c r="H689" s="3">
        <v>37760.205740740741</v>
      </c>
      <c r="L689">
        <f t="shared" si="50"/>
        <v>0</v>
      </c>
      <c r="Q689" t="str">
        <f t="shared" si="51"/>
        <v/>
      </c>
      <c r="R689" t="str">
        <f t="shared" si="52"/>
        <v/>
      </c>
      <c r="S689" t="str">
        <f t="shared" si="53"/>
        <v/>
      </c>
    </row>
    <row r="690" spans="1:19">
      <c r="A690" t="s">
        <v>2143</v>
      </c>
      <c r="C690" t="s">
        <v>1971</v>
      </c>
      <c r="D690" s="3">
        <v>37759.763680555552</v>
      </c>
      <c r="E690" s="8" t="s">
        <v>2144</v>
      </c>
      <c r="F690" s="8" t="s">
        <v>2145</v>
      </c>
      <c r="G690" s="8" t="s">
        <v>1969</v>
      </c>
      <c r="H690" s="3">
        <v>37760.207233796296</v>
      </c>
      <c r="L690">
        <f t="shared" si="50"/>
        <v>0</v>
      </c>
      <c r="Q690" t="str">
        <f t="shared" si="51"/>
        <v/>
      </c>
      <c r="R690" t="str">
        <f t="shared" si="52"/>
        <v/>
      </c>
      <c r="S690" t="str">
        <f t="shared" si="53"/>
        <v/>
      </c>
    </row>
    <row r="691" spans="1:19">
      <c r="A691" t="s">
        <v>2446</v>
      </c>
      <c r="C691" t="s">
        <v>1971</v>
      </c>
      <c r="D691" s="3">
        <v>37760.663425925923</v>
      </c>
      <c r="E691" s="8" t="s">
        <v>2447</v>
      </c>
      <c r="F691" s="8" t="s">
        <v>2448</v>
      </c>
      <c r="G691" s="8" t="s">
        <v>1969</v>
      </c>
      <c r="H691" s="3">
        <v>37760.828043981484</v>
      </c>
      <c r="L691">
        <f t="shared" si="50"/>
        <v>0</v>
      </c>
      <c r="Q691" t="str">
        <f t="shared" si="51"/>
        <v/>
      </c>
      <c r="R691" t="str">
        <f t="shared" si="52"/>
        <v/>
      </c>
      <c r="S691" t="str">
        <f t="shared" si="53"/>
        <v/>
      </c>
    </row>
    <row r="692" spans="1:19">
      <c r="A692" t="s">
        <v>2240</v>
      </c>
      <c r="C692" t="s">
        <v>1971</v>
      </c>
      <c r="D692" s="3">
        <v>37762.844965277778</v>
      </c>
      <c r="E692" s="8" t="s">
        <v>2241</v>
      </c>
      <c r="F692" s="8" t="s">
        <v>2242</v>
      </c>
      <c r="G692" s="8" t="s">
        <v>2243</v>
      </c>
      <c r="H692" s="3">
        <v>37763.467581018522</v>
      </c>
      <c r="I692">
        <v>1</v>
      </c>
      <c r="K692">
        <v>1</v>
      </c>
      <c r="L692">
        <f t="shared" si="50"/>
        <v>2</v>
      </c>
      <c r="Q692" t="str">
        <f t="shared" si="51"/>
        <v>MC,a9a2892,241416b</v>
      </c>
      <c r="R692" t="str">
        <f t="shared" si="52"/>
        <v/>
      </c>
      <c r="S692" t="str">
        <f t="shared" si="53"/>
        <v>TC,a9a2892,241416b</v>
      </c>
    </row>
    <row r="693" spans="1:19">
      <c r="A693" t="s">
        <v>2299</v>
      </c>
      <c r="C693" t="s">
        <v>1971</v>
      </c>
      <c r="D693" s="3">
        <v>37765.783125000002</v>
      </c>
      <c r="E693" s="8" t="s">
        <v>2300</v>
      </c>
      <c r="F693" s="8" t="s">
        <v>2301</v>
      </c>
      <c r="G693" s="8" t="s">
        <v>2302</v>
      </c>
      <c r="H693" s="3">
        <v>37765.785752314812</v>
      </c>
      <c r="K693">
        <v>1</v>
      </c>
      <c r="L693">
        <f t="shared" si="50"/>
        <v>1</v>
      </c>
      <c r="Q693" t="str">
        <f t="shared" si="51"/>
        <v/>
      </c>
      <c r="R693" t="str">
        <f t="shared" si="52"/>
        <v/>
      </c>
      <c r="S693" t="str">
        <f t="shared" si="53"/>
        <v>TC,9cb315a,48dc1ee</v>
      </c>
    </row>
    <row r="694" spans="1:19">
      <c r="A694" t="s">
        <v>2345</v>
      </c>
      <c r="C694" t="s">
        <v>1971</v>
      </c>
      <c r="D694" s="3">
        <v>37767.661030092589</v>
      </c>
      <c r="E694" s="8" t="s">
        <v>2346</v>
      </c>
      <c r="F694" s="8" t="s">
        <v>2347</v>
      </c>
      <c r="G694" s="8" t="s">
        <v>1969</v>
      </c>
      <c r="H694" s="3">
        <v>37775.411099537036</v>
      </c>
      <c r="I694">
        <v>1</v>
      </c>
      <c r="K694">
        <v>1</v>
      </c>
      <c r="L694">
        <f t="shared" si="50"/>
        <v>2</v>
      </c>
      <c r="Q694" t="str">
        <f t="shared" si="51"/>
        <v>MC,56c566b,2941a2e</v>
      </c>
      <c r="R694" t="str">
        <f t="shared" si="52"/>
        <v/>
      </c>
      <c r="S694" t="str">
        <f t="shared" si="53"/>
        <v>TC,56c566b,2941a2e</v>
      </c>
    </row>
    <row r="695" spans="1:19">
      <c r="A695" t="s">
        <v>2110</v>
      </c>
      <c r="C695" t="s">
        <v>2096</v>
      </c>
      <c r="D695" s="3">
        <v>37780.773206018515</v>
      </c>
      <c r="E695" s="8" t="s">
        <v>2111</v>
      </c>
      <c r="F695" s="8" t="s">
        <v>2112</v>
      </c>
      <c r="G695" s="8" t="s">
        <v>1969</v>
      </c>
      <c r="H695" s="3">
        <v>37782.227465277778</v>
      </c>
      <c r="K695">
        <v>1</v>
      </c>
      <c r="L695">
        <f t="shared" si="50"/>
        <v>1</v>
      </c>
      <c r="Q695" t="str">
        <f t="shared" si="51"/>
        <v/>
      </c>
      <c r="R695" t="str">
        <f t="shared" si="52"/>
        <v/>
      </c>
      <c r="S695" t="str">
        <f t="shared" si="53"/>
        <v>TC,9d1c151,1efaba7</v>
      </c>
    </row>
    <row r="696" spans="1:19">
      <c r="A696" t="s">
        <v>2486</v>
      </c>
      <c r="C696" t="s">
        <v>1971</v>
      </c>
      <c r="D696" s="3">
        <v>37782.346180555556</v>
      </c>
      <c r="E696" s="8" t="s">
        <v>2487</v>
      </c>
      <c r="F696" s="8" t="s">
        <v>2488</v>
      </c>
      <c r="G696" s="8" t="s">
        <v>1969</v>
      </c>
      <c r="H696" s="3">
        <v>37799.422453703701</v>
      </c>
      <c r="I696">
        <v>1</v>
      </c>
      <c r="K696">
        <v>1</v>
      </c>
      <c r="L696">
        <f t="shared" si="50"/>
        <v>2</v>
      </c>
      <c r="Q696" t="str">
        <f t="shared" si="51"/>
        <v>MC,cf96d8a,871661e</v>
      </c>
      <c r="R696" t="str">
        <f t="shared" si="52"/>
        <v/>
      </c>
      <c r="S696" t="str">
        <f t="shared" si="53"/>
        <v>TC,cf96d8a,871661e</v>
      </c>
    </row>
    <row r="697" spans="1:19">
      <c r="A697" t="s">
        <v>2209</v>
      </c>
      <c r="C697" t="s">
        <v>1969</v>
      </c>
      <c r="D697" s="3">
        <v>37802.362395833334</v>
      </c>
      <c r="E697" s="8" t="s">
        <v>2210</v>
      </c>
      <c r="F697" s="8" t="s">
        <v>2211</v>
      </c>
      <c r="G697" s="8" t="s">
        <v>1971</v>
      </c>
      <c r="H697" s="3">
        <v>37802.404421296298</v>
      </c>
      <c r="K697">
        <v>1</v>
      </c>
      <c r="L697">
        <f t="shared" si="50"/>
        <v>1</v>
      </c>
      <c r="Q697" t="str">
        <f t="shared" si="51"/>
        <v/>
      </c>
      <c r="R697" t="str">
        <f t="shared" si="52"/>
        <v/>
      </c>
      <c r="S697" t="str">
        <f t="shared" si="53"/>
        <v>TC,7d8e7db,9d40e17</v>
      </c>
    </row>
    <row r="698" spans="1:19">
      <c r="A698" s="1" t="s">
        <v>2545</v>
      </c>
      <c r="C698" t="s">
        <v>1969</v>
      </c>
      <c r="D698" s="3">
        <v>37802.362395833334</v>
      </c>
      <c r="E698" s="8" t="s">
        <v>2210</v>
      </c>
      <c r="F698" s="8" t="s">
        <v>2546</v>
      </c>
      <c r="G698" s="8" t="s">
        <v>1971</v>
      </c>
      <c r="H698" s="3">
        <v>37802.600659722222</v>
      </c>
      <c r="L698">
        <f t="shared" si="50"/>
        <v>0</v>
      </c>
      <c r="Q698" t="str">
        <f t="shared" si="51"/>
        <v/>
      </c>
      <c r="R698" t="str">
        <f t="shared" si="52"/>
        <v/>
      </c>
      <c r="S698" t="str">
        <f t="shared" si="53"/>
        <v/>
      </c>
    </row>
    <row r="699" spans="1:19">
      <c r="A699" t="s">
        <v>2009</v>
      </c>
      <c r="B699" t="s">
        <v>2440</v>
      </c>
      <c r="C699" t="s">
        <v>2010</v>
      </c>
      <c r="D699" s="3">
        <v>39801.675219907411</v>
      </c>
      <c r="E699" s="8" t="s">
        <v>2011</v>
      </c>
      <c r="F699" s="8" t="s">
        <v>2012</v>
      </c>
      <c r="G699" s="8" t="s">
        <v>1991</v>
      </c>
      <c r="H699" s="3">
        <v>39801.716412037036</v>
      </c>
      <c r="I699">
        <v>1</v>
      </c>
      <c r="K699">
        <v>1</v>
      </c>
      <c r="L699">
        <f t="shared" si="50"/>
        <v>2</v>
      </c>
      <c r="Q699" t="str">
        <f t="shared" si="51"/>
        <v>MC,3b8a5fb,85d7fce</v>
      </c>
      <c r="R699" t="str">
        <f t="shared" si="52"/>
        <v/>
      </c>
      <c r="S699" t="str">
        <f t="shared" si="53"/>
        <v>TC,3b8a5fb,85d7fce</v>
      </c>
    </row>
    <row r="700" spans="1:19">
      <c r="A700" t="s">
        <v>2228</v>
      </c>
      <c r="C700" t="s">
        <v>1987</v>
      </c>
      <c r="D700" s="3">
        <v>39801.485081018516</v>
      </c>
      <c r="E700" s="8" t="s">
        <v>2229</v>
      </c>
      <c r="F700" s="8" t="s">
        <v>2230</v>
      </c>
      <c r="G700" s="8" t="s">
        <v>2231</v>
      </c>
      <c r="H700" s="3">
        <v>39801.734976851854</v>
      </c>
      <c r="L700">
        <f t="shared" si="50"/>
        <v>0</v>
      </c>
      <c r="Q700" t="str">
        <f t="shared" si="51"/>
        <v/>
      </c>
      <c r="R700" t="str">
        <f t="shared" si="52"/>
        <v/>
      </c>
      <c r="S700" t="str">
        <f t="shared" si="53"/>
        <v/>
      </c>
    </row>
    <row r="701" spans="1:19">
      <c r="A701" t="s">
        <v>2407</v>
      </c>
      <c r="C701" t="s">
        <v>1964</v>
      </c>
      <c r="D701" s="3">
        <v>39803.506631944445</v>
      </c>
      <c r="E701" s="8" t="s">
        <v>2408</v>
      </c>
      <c r="F701" s="8" t="s">
        <v>2409</v>
      </c>
      <c r="G701" s="8" t="s">
        <v>1984</v>
      </c>
      <c r="H701" s="3">
        <v>39803.857210648152</v>
      </c>
      <c r="L701">
        <f t="shared" ref="L701:L732" si="54">COUNTA(I701:K701)</f>
        <v>0</v>
      </c>
      <c r="Q701" t="str">
        <f t="shared" ref="Q701:Q732" si="55">IF(I701&gt;0,CONCATENATE("MC,",E701,",",F701),"")</f>
        <v/>
      </c>
      <c r="R701" t="str">
        <f t="shared" ref="R701:R732" si="56">IF(J701&gt;0,CONCATENATE("BC,",E701,",",F701),"")</f>
        <v/>
      </c>
      <c r="S701" t="str">
        <f t="shared" ref="S701:S732" si="57">IF(K701&gt;0,CONCATENATE("TC,",E701,",",F701),"")</f>
        <v/>
      </c>
    </row>
    <row r="702" spans="1:19">
      <c r="A702" t="s">
        <v>2101</v>
      </c>
      <c r="C702" t="s">
        <v>2102</v>
      </c>
      <c r="D702" s="3">
        <v>39805.756666666668</v>
      </c>
      <c r="E702" s="8" t="s">
        <v>2103</v>
      </c>
      <c r="F702" s="8" t="s">
        <v>2104</v>
      </c>
      <c r="G702" s="8" t="s">
        <v>2010</v>
      </c>
      <c r="H702" s="3">
        <v>39805.702928240738</v>
      </c>
      <c r="L702">
        <f t="shared" si="54"/>
        <v>0</v>
      </c>
      <c r="Q702" t="str">
        <f t="shared" si="55"/>
        <v/>
      </c>
      <c r="R702" t="str">
        <f t="shared" si="56"/>
        <v/>
      </c>
      <c r="S702" t="str">
        <f t="shared" si="57"/>
        <v/>
      </c>
    </row>
    <row r="703" spans="1:19">
      <c r="A703" t="s">
        <v>2456</v>
      </c>
      <c r="C703" t="s">
        <v>1964</v>
      </c>
      <c r="D703" s="3">
        <v>39803.901365740741</v>
      </c>
      <c r="E703" s="8" t="s">
        <v>2457</v>
      </c>
      <c r="F703" s="8" t="s">
        <v>2458</v>
      </c>
      <c r="G703" s="8" t="s">
        <v>2102</v>
      </c>
      <c r="H703" s="3">
        <v>39805.757569444446</v>
      </c>
      <c r="L703">
        <f t="shared" si="54"/>
        <v>0</v>
      </c>
      <c r="Q703" t="str">
        <f t="shared" si="55"/>
        <v/>
      </c>
      <c r="R703" t="str">
        <f t="shared" si="56"/>
        <v/>
      </c>
      <c r="S703" t="str">
        <f t="shared" si="57"/>
        <v/>
      </c>
    </row>
    <row r="704" spans="1:19">
      <c r="A704" t="s">
        <v>2273</v>
      </c>
      <c r="C704" t="s">
        <v>1964</v>
      </c>
      <c r="D704" s="3">
        <v>39805.776018518518</v>
      </c>
      <c r="E704" s="8" t="s">
        <v>2274</v>
      </c>
      <c r="F704" s="8" t="s">
        <v>2275</v>
      </c>
      <c r="G704" s="8" t="s">
        <v>1967</v>
      </c>
      <c r="H704" s="3">
        <v>39808.407708333332</v>
      </c>
      <c r="J704">
        <v>1</v>
      </c>
      <c r="L704">
        <f t="shared" si="54"/>
        <v>1</v>
      </c>
      <c r="Q704" t="str">
        <f t="shared" si="55"/>
        <v/>
      </c>
      <c r="R704" t="str">
        <f t="shared" si="56"/>
        <v>BC,4e32d3a,b16c2e4</v>
      </c>
      <c r="S704" t="str">
        <f t="shared" si="57"/>
        <v/>
      </c>
    </row>
    <row r="705" spans="1:19">
      <c r="A705" t="s">
        <v>2357</v>
      </c>
      <c r="C705" t="s">
        <v>1964</v>
      </c>
      <c r="D705" s="3">
        <v>39808.384618055556</v>
      </c>
      <c r="E705" s="8" t="s">
        <v>2358</v>
      </c>
      <c r="F705" s="8" t="s">
        <v>2554</v>
      </c>
      <c r="G705" s="8" t="s">
        <v>1967</v>
      </c>
      <c r="H705" s="3">
        <v>39808.550509259258</v>
      </c>
      <c r="L705">
        <f t="shared" si="54"/>
        <v>0</v>
      </c>
      <c r="Q705" t="str">
        <f t="shared" si="55"/>
        <v/>
      </c>
      <c r="R705" t="str">
        <f t="shared" si="56"/>
        <v/>
      </c>
      <c r="S705" t="str">
        <f t="shared" si="57"/>
        <v/>
      </c>
    </row>
    <row r="706" spans="1:19">
      <c r="A706" s="1" t="s">
        <v>1988</v>
      </c>
      <c r="B706" t="s">
        <v>2086</v>
      </c>
      <c r="C706" t="s">
        <v>1964</v>
      </c>
      <c r="D706" s="3">
        <v>39809.542384259257</v>
      </c>
      <c r="E706" s="8" t="s">
        <v>1989</v>
      </c>
      <c r="F706" s="8" t="s">
        <v>1990</v>
      </c>
      <c r="G706" s="8" t="s">
        <v>1991</v>
      </c>
      <c r="H706" s="3">
        <v>39809.919178240743</v>
      </c>
      <c r="L706">
        <f t="shared" si="54"/>
        <v>0</v>
      </c>
      <c r="Q706" t="str">
        <f t="shared" si="55"/>
        <v/>
      </c>
      <c r="R706" t="str">
        <f t="shared" si="56"/>
        <v/>
      </c>
      <c r="S706" t="str">
        <f t="shared" si="57"/>
        <v/>
      </c>
    </row>
    <row r="707" spans="1:19">
      <c r="A707" t="s">
        <v>2156</v>
      </c>
      <c r="C707" t="s">
        <v>1967</v>
      </c>
      <c r="D707" s="3">
        <v>39815.438472222224</v>
      </c>
      <c r="E707" s="8" t="s">
        <v>2157</v>
      </c>
      <c r="F707" s="8" t="s">
        <v>2158</v>
      </c>
      <c r="G707" s="8" t="s">
        <v>2558</v>
      </c>
      <c r="H707" s="3">
        <v>39815.448865740742</v>
      </c>
      <c r="L707">
        <f t="shared" si="54"/>
        <v>0</v>
      </c>
      <c r="Q707" t="str">
        <f t="shared" si="55"/>
        <v/>
      </c>
      <c r="R707" t="str">
        <f t="shared" si="56"/>
        <v/>
      </c>
      <c r="S707" t="str">
        <f t="shared" si="57"/>
        <v/>
      </c>
    </row>
    <row r="708" spans="1:19">
      <c r="A708" t="s">
        <v>2200</v>
      </c>
      <c r="C708" t="s">
        <v>1984</v>
      </c>
      <c r="D708" s="3">
        <v>39815.501273148147</v>
      </c>
      <c r="E708" s="8" t="s">
        <v>2201</v>
      </c>
      <c r="F708" s="8" t="s">
        <v>2202</v>
      </c>
      <c r="G708" s="8" t="s">
        <v>1967</v>
      </c>
      <c r="H708" s="3">
        <v>39815.504155092596</v>
      </c>
      <c r="L708">
        <f t="shared" si="54"/>
        <v>0</v>
      </c>
      <c r="Q708" t="str">
        <f t="shared" si="55"/>
        <v/>
      </c>
      <c r="R708" t="str">
        <f t="shared" si="56"/>
        <v/>
      </c>
      <c r="S708" t="str">
        <f t="shared" si="57"/>
        <v/>
      </c>
    </row>
    <row r="709" spans="1:19">
      <c r="A709" t="s">
        <v>2216</v>
      </c>
      <c r="C709" t="s">
        <v>2217</v>
      </c>
      <c r="D709" s="3">
        <v>39728.678587962961</v>
      </c>
      <c r="E709" s="8" t="s">
        <v>2218</v>
      </c>
      <c r="F709" s="8" t="s">
        <v>2219</v>
      </c>
      <c r="G709" s="8" t="s">
        <v>2008</v>
      </c>
      <c r="H709" s="3">
        <v>39816.59652777778</v>
      </c>
      <c r="I709">
        <v>1</v>
      </c>
      <c r="L709">
        <f t="shared" si="54"/>
        <v>1</v>
      </c>
      <c r="Q709" t="str">
        <f t="shared" si="55"/>
        <v>MC,d4fb0a1,2547c83</v>
      </c>
      <c r="R709" t="str">
        <f t="shared" si="56"/>
        <v/>
      </c>
      <c r="S709" t="str">
        <f t="shared" si="57"/>
        <v/>
      </c>
    </row>
    <row r="710" spans="1:19">
      <c r="A710" t="s">
        <v>1963</v>
      </c>
      <c r="B710" s="5" t="s">
        <v>2265</v>
      </c>
      <c r="C710" t="s">
        <v>1964</v>
      </c>
      <c r="D710" s="3">
        <v>39816.752974537034</v>
      </c>
      <c r="E710" s="8" t="s">
        <v>1965</v>
      </c>
      <c r="F710" s="8" t="s">
        <v>1966</v>
      </c>
      <c r="G710" s="8" t="s">
        <v>1967</v>
      </c>
      <c r="H710" s="3">
        <v>39816.788530092592</v>
      </c>
      <c r="L710">
        <f t="shared" si="54"/>
        <v>0</v>
      </c>
      <c r="Q710" t="str">
        <f t="shared" si="55"/>
        <v/>
      </c>
      <c r="R710" t="str">
        <f t="shared" si="56"/>
        <v/>
      </c>
      <c r="S710" t="str">
        <f t="shared" si="57"/>
        <v/>
      </c>
    </row>
    <row r="711" spans="1:19">
      <c r="A711" t="s">
        <v>2534</v>
      </c>
      <c r="C711" t="s">
        <v>2092</v>
      </c>
      <c r="D711" s="3">
        <v>39819.54650462963</v>
      </c>
      <c r="E711" s="8" t="s">
        <v>2535</v>
      </c>
      <c r="F711" s="8" t="s">
        <v>2536</v>
      </c>
      <c r="G711" s="8" t="s">
        <v>2058</v>
      </c>
      <c r="H711" s="3">
        <v>39819.742546296293</v>
      </c>
      <c r="L711">
        <f t="shared" si="54"/>
        <v>0</v>
      </c>
      <c r="Q711" t="str">
        <f t="shared" si="55"/>
        <v/>
      </c>
      <c r="R711" t="str">
        <f t="shared" si="56"/>
        <v/>
      </c>
      <c r="S711" t="str">
        <f t="shared" si="57"/>
        <v/>
      </c>
    </row>
    <row r="712" spans="1:19">
      <c r="A712" t="s">
        <v>2072</v>
      </c>
      <c r="C712" t="s">
        <v>2073</v>
      </c>
      <c r="D712" s="3">
        <v>39819.740011574075</v>
      </c>
      <c r="E712" s="8" t="s">
        <v>2074</v>
      </c>
      <c r="F712" s="8" t="s">
        <v>2075</v>
      </c>
      <c r="G712" s="8" t="s">
        <v>2058</v>
      </c>
      <c r="H712" s="3">
        <v>39819.743842592594</v>
      </c>
      <c r="L712">
        <f t="shared" si="54"/>
        <v>0</v>
      </c>
      <c r="Q712" t="str">
        <f t="shared" si="55"/>
        <v/>
      </c>
      <c r="R712" t="str">
        <f t="shared" si="56"/>
        <v/>
      </c>
      <c r="S712" t="str">
        <f t="shared" si="57"/>
        <v/>
      </c>
    </row>
    <row r="713" spans="1:19">
      <c r="A713" t="s">
        <v>2404</v>
      </c>
      <c r="C713" t="s">
        <v>1984</v>
      </c>
      <c r="D713" s="3">
        <v>39822.69798611111</v>
      </c>
      <c r="E713" s="8" t="s">
        <v>2405</v>
      </c>
      <c r="F713" s="8" t="s">
        <v>2406</v>
      </c>
      <c r="G713" s="8" t="s">
        <v>2058</v>
      </c>
      <c r="H713" s="3">
        <v>39822.708761574075</v>
      </c>
      <c r="L713">
        <f t="shared" si="54"/>
        <v>0</v>
      </c>
      <c r="Q713" t="str">
        <f t="shared" si="55"/>
        <v/>
      </c>
      <c r="R713" t="str">
        <f t="shared" si="56"/>
        <v/>
      </c>
      <c r="S713" t="str">
        <f t="shared" si="57"/>
        <v/>
      </c>
    </row>
    <row r="714" spans="1:19">
      <c r="A714" t="s">
        <v>2256</v>
      </c>
      <c r="C714" t="s">
        <v>2257</v>
      </c>
      <c r="D714" s="3">
        <v>39696.90761574074</v>
      </c>
      <c r="E714" s="8" t="s">
        <v>2258</v>
      </c>
      <c r="F714" s="8" t="s">
        <v>2259</v>
      </c>
      <c r="G714" s="8" t="s">
        <v>1967</v>
      </c>
      <c r="H714" s="3">
        <v>39822.714965277781</v>
      </c>
      <c r="L714">
        <f t="shared" si="54"/>
        <v>0</v>
      </c>
      <c r="Q714" t="str">
        <f t="shared" si="55"/>
        <v/>
      </c>
      <c r="R714" t="str">
        <f t="shared" si="56"/>
        <v/>
      </c>
      <c r="S714" t="str">
        <f t="shared" si="57"/>
        <v/>
      </c>
    </row>
    <row r="715" spans="1:19">
      <c r="A715" t="s">
        <v>2427</v>
      </c>
      <c r="C715" t="s">
        <v>2296</v>
      </c>
      <c r="D715" s="3">
        <v>39823.528240740743</v>
      </c>
      <c r="E715" s="8" t="s">
        <v>2428</v>
      </c>
      <c r="F715" s="8" t="s">
        <v>2429</v>
      </c>
      <c r="G715" s="8" t="s">
        <v>2092</v>
      </c>
      <c r="H715" s="3">
        <v>39823.815937500003</v>
      </c>
      <c r="J715">
        <v>1</v>
      </c>
      <c r="L715">
        <f t="shared" si="54"/>
        <v>1</v>
      </c>
      <c r="Q715" t="str">
        <f t="shared" si="55"/>
        <v/>
      </c>
      <c r="R715" t="str">
        <f t="shared" si="56"/>
        <v>BC,37930f0,a2f19a1</v>
      </c>
      <c r="S715" t="str">
        <f t="shared" si="57"/>
        <v/>
      </c>
    </row>
    <row r="716" spans="1:19">
      <c r="A716" t="s">
        <v>2489</v>
      </c>
      <c r="C716" t="s">
        <v>2030</v>
      </c>
      <c r="D716" s="3">
        <v>39824.413217592592</v>
      </c>
      <c r="E716" s="8" t="s">
        <v>2490</v>
      </c>
      <c r="F716" s="8" t="s">
        <v>2491</v>
      </c>
      <c r="G716" s="8" t="s">
        <v>2092</v>
      </c>
      <c r="H716" s="3">
        <v>39824.658576388887</v>
      </c>
      <c r="L716">
        <f t="shared" si="54"/>
        <v>0</v>
      </c>
      <c r="Q716" t="str">
        <f t="shared" si="55"/>
        <v/>
      </c>
      <c r="R716" t="str">
        <f t="shared" si="56"/>
        <v/>
      </c>
      <c r="S716" t="str">
        <f t="shared" si="57"/>
        <v/>
      </c>
    </row>
    <row r="717" spans="1:19">
      <c r="A717" s="1" t="s">
        <v>2295</v>
      </c>
      <c r="C717" t="s">
        <v>2296</v>
      </c>
      <c r="D717" s="3">
        <v>39831.550208333334</v>
      </c>
      <c r="E717" s="8" t="s">
        <v>2297</v>
      </c>
      <c r="F717" s="8" t="s">
        <v>2298</v>
      </c>
      <c r="G717" s="8" t="s">
        <v>1967</v>
      </c>
      <c r="H717" s="3">
        <v>39833.384097222224</v>
      </c>
      <c r="L717">
        <f t="shared" si="54"/>
        <v>0</v>
      </c>
      <c r="Q717" t="str">
        <f t="shared" si="55"/>
        <v/>
      </c>
      <c r="R717" t="str">
        <f t="shared" si="56"/>
        <v/>
      </c>
      <c r="S717" t="str">
        <f t="shared" si="57"/>
        <v/>
      </c>
    </row>
    <row r="718" spans="1:19">
      <c r="A718" t="s">
        <v>2332</v>
      </c>
      <c r="C718" t="s">
        <v>2333</v>
      </c>
      <c r="D718" s="3">
        <v>39836.799826388888</v>
      </c>
      <c r="E718" s="8" t="s">
        <v>2334</v>
      </c>
      <c r="F718" s="8" t="s">
        <v>2335</v>
      </c>
      <c r="G718" s="8" t="s">
        <v>1967</v>
      </c>
      <c r="H718" s="3">
        <v>39838.706469907411</v>
      </c>
      <c r="L718">
        <f t="shared" si="54"/>
        <v>0</v>
      </c>
      <c r="Q718" t="str">
        <f t="shared" si="55"/>
        <v/>
      </c>
      <c r="R718" t="str">
        <f t="shared" si="56"/>
        <v/>
      </c>
      <c r="S718" t="str">
        <f t="shared" si="57"/>
        <v/>
      </c>
    </row>
    <row r="719" spans="1:19">
      <c r="A719" t="s">
        <v>2066</v>
      </c>
      <c r="C719" t="s">
        <v>1967</v>
      </c>
      <c r="D719" s="3">
        <v>39861.581053240741</v>
      </c>
      <c r="E719" s="8" t="s">
        <v>2067</v>
      </c>
      <c r="F719" s="8" t="s">
        <v>2068</v>
      </c>
      <c r="G719" s="8" t="s">
        <v>2010</v>
      </c>
      <c r="H719" s="3">
        <v>39864.68818287037</v>
      </c>
      <c r="L719">
        <f t="shared" si="54"/>
        <v>0</v>
      </c>
      <c r="Q719" t="str">
        <f t="shared" si="55"/>
        <v/>
      </c>
      <c r="R719" t="str">
        <f t="shared" si="56"/>
        <v/>
      </c>
      <c r="S719" t="str">
        <f t="shared" si="57"/>
        <v/>
      </c>
    </row>
    <row r="720" spans="1:19">
      <c r="A720" t="s">
        <v>2149</v>
      </c>
      <c r="C720" t="s">
        <v>1987</v>
      </c>
      <c r="D720" s="3">
        <v>39867.55940972222</v>
      </c>
      <c r="E720" s="8" t="s">
        <v>2150</v>
      </c>
      <c r="F720" s="8" t="s">
        <v>2151</v>
      </c>
      <c r="G720" s="8" t="s">
        <v>2152</v>
      </c>
      <c r="H720" s="3">
        <v>39867.461192129631</v>
      </c>
      <c r="L720">
        <f t="shared" si="54"/>
        <v>0</v>
      </c>
      <c r="Q720" t="str">
        <f t="shared" si="55"/>
        <v/>
      </c>
      <c r="R720" t="str">
        <f t="shared" si="56"/>
        <v/>
      </c>
      <c r="S720" t="str">
        <f t="shared" si="57"/>
        <v/>
      </c>
    </row>
    <row r="721" spans="1:19">
      <c r="A721" t="s">
        <v>2089</v>
      </c>
      <c r="C721" t="s">
        <v>1987</v>
      </c>
      <c r="D721" s="3">
        <v>39896.379131944443</v>
      </c>
      <c r="E721" s="8" t="s">
        <v>2090</v>
      </c>
      <c r="F721" s="8" t="s">
        <v>2091</v>
      </c>
      <c r="G721" s="8" t="s">
        <v>2092</v>
      </c>
      <c r="H721" s="3">
        <v>39896.48128472222</v>
      </c>
      <c r="L721">
        <f t="shared" si="54"/>
        <v>0</v>
      </c>
      <c r="Q721" t="str">
        <f t="shared" si="55"/>
        <v/>
      </c>
      <c r="R721" t="str">
        <f t="shared" si="56"/>
        <v/>
      </c>
      <c r="S721" t="str">
        <f t="shared" si="57"/>
        <v/>
      </c>
    </row>
    <row r="722" spans="1:19">
      <c r="A722" t="s">
        <v>2339</v>
      </c>
      <c r="C722" t="s">
        <v>1987</v>
      </c>
      <c r="D722" s="3">
        <v>39896.553587962961</v>
      </c>
      <c r="E722" s="8" t="s">
        <v>2340</v>
      </c>
      <c r="F722" s="8" t="s">
        <v>2341</v>
      </c>
      <c r="G722" s="8" t="s">
        <v>2106</v>
      </c>
      <c r="H722" s="3">
        <v>39896.817511574074</v>
      </c>
      <c r="L722">
        <f t="shared" si="54"/>
        <v>0</v>
      </c>
      <c r="Q722" t="str">
        <f t="shared" si="55"/>
        <v/>
      </c>
      <c r="R722" t="str">
        <f t="shared" si="56"/>
        <v/>
      </c>
      <c r="S722" t="str">
        <f t="shared" si="57"/>
        <v/>
      </c>
    </row>
    <row r="723" spans="1:19">
      <c r="A723" t="s">
        <v>1983</v>
      </c>
      <c r="B723" t="s">
        <v>2270</v>
      </c>
      <c r="C723" t="s">
        <v>1984</v>
      </c>
      <c r="D723" s="3">
        <v>39896.972766203704</v>
      </c>
      <c r="E723" s="8" t="s">
        <v>1985</v>
      </c>
      <c r="F723" s="8" t="s">
        <v>1986</v>
      </c>
      <c r="G723" s="8" t="s">
        <v>1987</v>
      </c>
      <c r="H723" s="3">
        <v>39897.309733796297</v>
      </c>
      <c r="L723">
        <f t="shared" si="54"/>
        <v>0</v>
      </c>
      <c r="Q723" t="str">
        <f t="shared" si="55"/>
        <v/>
      </c>
      <c r="R723" t="str">
        <f t="shared" si="56"/>
        <v/>
      </c>
      <c r="S723" t="str">
        <f t="shared" si="57"/>
        <v/>
      </c>
    </row>
    <row r="724" spans="1:19">
      <c r="A724" t="s">
        <v>2029</v>
      </c>
      <c r="C724" t="s">
        <v>2030</v>
      </c>
      <c r="D724" s="3">
        <v>39898.674872685187</v>
      </c>
      <c r="E724" s="8" t="s">
        <v>2031</v>
      </c>
      <c r="F724" s="8" t="s">
        <v>2032</v>
      </c>
      <c r="G724" s="8" t="s">
        <v>1987</v>
      </c>
      <c r="H724" s="3">
        <v>39898.832905092589</v>
      </c>
      <c r="K724">
        <v>1</v>
      </c>
      <c r="L724">
        <f t="shared" si="54"/>
        <v>1</v>
      </c>
      <c r="Q724" t="str">
        <f t="shared" si="55"/>
        <v/>
      </c>
      <c r="R724" t="str">
        <f t="shared" si="56"/>
        <v/>
      </c>
      <c r="S724" t="str">
        <f t="shared" si="57"/>
        <v>TC,c826970,036d8bd</v>
      </c>
    </row>
    <row r="725" spans="1:19">
      <c r="A725" t="s">
        <v>2268</v>
      </c>
      <c r="C725" t="s">
        <v>297</v>
      </c>
      <c r="D725" s="3">
        <v>39898.655173611114</v>
      </c>
      <c r="E725" s="8" t="s">
        <v>2269</v>
      </c>
      <c r="F725" s="8" t="s">
        <v>2550</v>
      </c>
      <c r="G725" s="8" t="s">
        <v>1967</v>
      </c>
      <c r="H725" s="3">
        <v>39899.555046296293</v>
      </c>
      <c r="K725">
        <v>1</v>
      </c>
      <c r="L725">
        <f t="shared" si="54"/>
        <v>1</v>
      </c>
      <c r="Q725" t="str">
        <f t="shared" si="55"/>
        <v/>
      </c>
      <c r="R725" t="str">
        <f t="shared" si="56"/>
        <v/>
      </c>
      <c r="S725" t="str">
        <f t="shared" si="57"/>
        <v>TC,0e985b6,4411113</v>
      </c>
    </row>
    <row r="726" spans="1:19">
      <c r="A726" t="s">
        <v>2244</v>
      </c>
      <c r="C726" t="s">
        <v>1984</v>
      </c>
      <c r="D726" s="3">
        <v>39896.909189814818</v>
      </c>
      <c r="E726" s="8" t="s">
        <v>2245</v>
      </c>
      <c r="F726" s="8" t="s">
        <v>2246</v>
      </c>
      <c r="G726" s="8" t="s">
        <v>1964</v>
      </c>
      <c r="H726" s="3">
        <v>39901.902141203704</v>
      </c>
      <c r="L726">
        <f t="shared" si="54"/>
        <v>0</v>
      </c>
      <c r="Q726" t="str">
        <f t="shared" si="55"/>
        <v/>
      </c>
      <c r="R726" t="str">
        <f t="shared" si="56"/>
        <v/>
      </c>
      <c r="S726" t="str">
        <f t="shared" si="57"/>
        <v/>
      </c>
    </row>
    <row r="727" spans="1:19">
      <c r="A727" t="s">
        <v>2410</v>
      </c>
      <c r="C727" t="s">
        <v>2411</v>
      </c>
      <c r="D727" s="3">
        <v>39911.151192129626</v>
      </c>
      <c r="E727" s="8" t="s">
        <v>2412</v>
      </c>
      <c r="F727" s="8" t="s">
        <v>2413</v>
      </c>
      <c r="G727" s="8" t="s">
        <v>2414</v>
      </c>
      <c r="H727" s="3">
        <v>39911.617523148147</v>
      </c>
      <c r="L727">
        <f t="shared" si="54"/>
        <v>0</v>
      </c>
      <c r="Q727" t="str">
        <f t="shared" si="55"/>
        <v/>
      </c>
      <c r="R727" t="str">
        <f t="shared" si="56"/>
        <v/>
      </c>
      <c r="S727" t="str">
        <f t="shared" si="57"/>
        <v/>
      </c>
    </row>
    <row r="728" spans="1:19">
      <c r="A728" t="s">
        <v>2069</v>
      </c>
      <c r="C728" t="s">
        <v>1987</v>
      </c>
      <c r="D728" s="3">
        <v>39916.37263888889</v>
      </c>
      <c r="E728" s="8" t="s">
        <v>2070</v>
      </c>
      <c r="F728" s="8" t="s">
        <v>2071</v>
      </c>
      <c r="G728" s="8" t="s">
        <v>1964</v>
      </c>
      <c r="H728" s="3">
        <v>39916.610208333332</v>
      </c>
      <c r="L728">
        <f t="shared" si="54"/>
        <v>0</v>
      </c>
      <c r="Q728" t="str">
        <f t="shared" si="55"/>
        <v/>
      </c>
      <c r="R728" t="str">
        <f t="shared" si="56"/>
        <v/>
      </c>
      <c r="S728" t="str">
        <f t="shared" si="57"/>
        <v/>
      </c>
    </row>
    <row r="729" spans="1:19">
      <c r="A729" t="s">
        <v>2136</v>
      </c>
      <c r="C729" t="s">
        <v>1967</v>
      </c>
      <c r="D729" s="3">
        <v>39938.387835648151</v>
      </c>
      <c r="E729" s="8" t="s">
        <v>2137</v>
      </c>
      <c r="F729" s="8" t="s">
        <v>2138</v>
      </c>
      <c r="G729" s="8" t="s">
        <v>2558</v>
      </c>
      <c r="H729" s="3">
        <v>39938.413506944446</v>
      </c>
      <c r="I729">
        <v>1</v>
      </c>
      <c r="K729">
        <v>1</v>
      </c>
      <c r="L729">
        <f t="shared" si="54"/>
        <v>2</v>
      </c>
      <c r="Q729" t="str">
        <f t="shared" si="55"/>
        <v>MC,216e7de,f1bef09</v>
      </c>
      <c r="R729" t="str">
        <f t="shared" si="56"/>
        <v/>
      </c>
      <c r="S729" t="str">
        <f t="shared" si="57"/>
        <v>TC,216e7de,f1bef09</v>
      </c>
    </row>
    <row r="730" spans="1:19">
      <c r="A730" t="s">
        <v>2220</v>
      </c>
      <c r="C730" t="s">
        <v>2221</v>
      </c>
      <c r="D730" s="3">
        <v>39944.63989583333</v>
      </c>
      <c r="E730" s="8" t="s">
        <v>2222</v>
      </c>
      <c r="F730" s="8" t="s">
        <v>2223</v>
      </c>
      <c r="G730" s="8" t="s">
        <v>1967</v>
      </c>
      <c r="H730" s="3">
        <v>39946.437581018516</v>
      </c>
      <c r="K730">
        <v>1</v>
      </c>
      <c r="L730">
        <f t="shared" si="54"/>
        <v>1</v>
      </c>
      <c r="Q730" t="str">
        <f t="shared" si="55"/>
        <v/>
      </c>
      <c r="R730" t="str">
        <f t="shared" si="56"/>
        <v/>
      </c>
      <c r="S730" t="str">
        <f t="shared" si="57"/>
        <v>TC,f7bbabd,289d21b</v>
      </c>
    </row>
    <row r="731" spans="1:19">
      <c r="A731" t="s">
        <v>2475</v>
      </c>
      <c r="C731" t="s">
        <v>1967</v>
      </c>
      <c r="D731" s="3">
        <v>39959.623171296298</v>
      </c>
      <c r="E731" s="8" t="s">
        <v>2476</v>
      </c>
      <c r="F731" s="8" t="s">
        <v>2477</v>
      </c>
      <c r="G731" s="8" t="s">
        <v>1984</v>
      </c>
      <c r="H731" s="3">
        <v>39959.706006944441</v>
      </c>
      <c r="L731">
        <f t="shared" si="54"/>
        <v>0</v>
      </c>
      <c r="Q731" t="str">
        <f t="shared" si="55"/>
        <v/>
      </c>
      <c r="R731" t="str">
        <f t="shared" si="56"/>
        <v/>
      </c>
      <c r="S731" t="str">
        <f t="shared" si="57"/>
        <v/>
      </c>
    </row>
    <row r="732" spans="1:19">
      <c r="A732" t="s">
        <v>2523</v>
      </c>
      <c r="C732" t="s">
        <v>1967</v>
      </c>
      <c r="D732" s="3">
        <v>39959.737303240741</v>
      </c>
      <c r="E732" s="8" t="s">
        <v>2524</v>
      </c>
      <c r="F732" s="8" t="s">
        <v>2555</v>
      </c>
      <c r="G732" s="8" t="s">
        <v>1984</v>
      </c>
      <c r="H732" s="3">
        <v>39959.756423611114</v>
      </c>
      <c r="L732">
        <f t="shared" si="54"/>
        <v>0</v>
      </c>
      <c r="Q732" t="str">
        <f t="shared" si="55"/>
        <v/>
      </c>
      <c r="R732" t="str">
        <f t="shared" si="56"/>
        <v/>
      </c>
      <c r="S732" t="str">
        <f t="shared" si="57"/>
        <v/>
      </c>
    </row>
    <row r="733" spans="1:19">
      <c r="A733" t="s">
        <v>2362</v>
      </c>
      <c r="C733" t="s">
        <v>2178</v>
      </c>
      <c r="D733" s="3">
        <v>39959.596145833333</v>
      </c>
      <c r="E733" s="8" t="s">
        <v>2363</v>
      </c>
      <c r="F733" s="8" t="s">
        <v>2364</v>
      </c>
      <c r="G733" s="8" t="s">
        <v>1967</v>
      </c>
      <c r="H733" s="3">
        <v>39959.768518518518</v>
      </c>
      <c r="L733">
        <f t="shared" ref="L733:L764" si="58">COUNTA(I733:K733)</f>
        <v>0</v>
      </c>
      <c r="Q733" t="str">
        <f t="shared" ref="Q733:Q764" si="59">IF(I733&gt;0,CONCATENATE("MC,",E733,",",F733),"")</f>
        <v/>
      </c>
      <c r="R733" t="str">
        <f t="shared" ref="R733:R764" si="60">IF(J733&gt;0,CONCATENATE("BC,",E733,",",F733),"")</f>
        <v/>
      </c>
      <c r="S733" t="str">
        <f t="shared" ref="S733:S764" si="61">IF(K733&gt;0,CONCATENATE("TC,",E733,",",F733),"")</f>
        <v/>
      </c>
    </row>
    <row r="734" spans="1:19">
      <c r="A734" t="s">
        <v>2499</v>
      </c>
      <c r="C734" t="s">
        <v>2500</v>
      </c>
      <c r="D734" s="3">
        <v>39964.616539351853</v>
      </c>
      <c r="E734" s="8" t="s">
        <v>2501</v>
      </c>
      <c r="F734" s="8" t="s">
        <v>2502</v>
      </c>
      <c r="G734" s="8" t="s">
        <v>1967</v>
      </c>
      <c r="H734" s="3">
        <v>39964.631898148145</v>
      </c>
      <c r="L734">
        <f t="shared" si="58"/>
        <v>0</v>
      </c>
      <c r="Q734" t="str">
        <f t="shared" si="59"/>
        <v/>
      </c>
      <c r="R734" t="str">
        <f t="shared" si="60"/>
        <v/>
      </c>
      <c r="S734" t="str">
        <f t="shared" si="61"/>
        <v/>
      </c>
    </row>
    <row r="735" spans="1:19">
      <c r="A735" t="s">
        <v>2383</v>
      </c>
      <c r="C735" t="s">
        <v>1967</v>
      </c>
      <c r="D735" s="3">
        <v>39965.661469907405</v>
      </c>
      <c r="E735" s="8" t="s">
        <v>2384</v>
      </c>
      <c r="F735" s="8" t="s">
        <v>2385</v>
      </c>
      <c r="G735" s="8" t="s">
        <v>2008</v>
      </c>
      <c r="H735" s="3">
        <v>39966.05128472222</v>
      </c>
      <c r="L735">
        <f t="shared" si="58"/>
        <v>0</v>
      </c>
      <c r="Q735" t="str">
        <f t="shared" si="59"/>
        <v/>
      </c>
      <c r="R735" t="str">
        <f t="shared" si="60"/>
        <v/>
      </c>
      <c r="S735" t="str">
        <f t="shared" si="61"/>
        <v/>
      </c>
    </row>
    <row r="736" spans="1:19">
      <c r="A736" t="s">
        <v>2002</v>
      </c>
      <c r="B736" t="s">
        <v>2188</v>
      </c>
      <c r="C736" t="s">
        <v>1967</v>
      </c>
      <c r="D736" s="3">
        <v>39965.731203703705</v>
      </c>
      <c r="E736" s="8" t="s">
        <v>2003</v>
      </c>
      <c r="F736" s="8" t="s">
        <v>2004</v>
      </c>
      <c r="G736" s="8" t="s">
        <v>2558</v>
      </c>
      <c r="H736" s="3">
        <v>39966.365752314814</v>
      </c>
      <c r="L736">
        <f t="shared" si="58"/>
        <v>0</v>
      </c>
      <c r="Q736" t="str">
        <f t="shared" si="59"/>
        <v/>
      </c>
      <c r="R736" t="str">
        <f t="shared" si="60"/>
        <v/>
      </c>
      <c r="S736" t="str">
        <f t="shared" si="61"/>
        <v/>
      </c>
    </row>
    <row r="737" spans="1:19">
      <c r="A737" t="s">
        <v>2386</v>
      </c>
      <c r="C737" t="s">
        <v>2008</v>
      </c>
      <c r="D737" s="3">
        <v>39967.071064814816</v>
      </c>
      <c r="E737" s="8" t="s">
        <v>2120</v>
      </c>
      <c r="F737" s="8" t="s">
        <v>2387</v>
      </c>
      <c r="G737" s="8" t="s">
        <v>2109</v>
      </c>
      <c r="H737" s="3">
        <v>39967.561967592592</v>
      </c>
      <c r="L737">
        <f t="shared" si="58"/>
        <v>0</v>
      </c>
      <c r="Q737" t="str">
        <f t="shared" si="59"/>
        <v/>
      </c>
      <c r="R737" t="str">
        <f t="shared" si="60"/>
        <v/>
      </c>
      <c r="S737" t="str">
        <f t="shared" si="61"/>
        <v/>
      </c>
    </row>
    <row r="738" spans="1:19">
      <c r="A738" t="s">
        <v>2119</v>
      </c>
      <c r="C738" t="s">
        <v>2008</v>
      </c>
      <c r="D738" s="3">
        <v>39967.071064814816</v>
      </c>
      <c r="E738" s="8" t="s">
        <v>2120</v>
      </c>
      <c r="F738" s="8" t="s">
        <v>2121</v>
      </c>
      <c r="G738" s="8" t="s">
        <v>2102</v>
      </c>
      <c r="H738" s="3">
        <v>39968.400578703702</v>
      </c>
      <c r="L738">
        <f t="shared" si="58"/>
        <v>0</v>
      </c>
      <c r="Q738" t="str">
        <f t="shared" si="59"/>
        <v/>
      </c>
      <c r="R738" t="str">
        <f t="shared" si="60"/>
        <v/>
      </c>
      <c r="S738" t="str">
        <f t="shared" si="61"/>
        <v/>
      </c>
    </row>
    <row r="739" spans="1:19">
      <c r="A739" t="s">
        <v>2478</v>
      </c>
      <c r="C739" t="s">
        <v>2109</v>
      </c>
      <c r="D739" s="3">
        <v>39968.674791666665</v>
      </c>
      <c r="E739" s="8" t="s">
        <v>2479</v>
      </c>
      <c r="F739" s="8" t="s">
        <v>2480</v>
      </c>
      <c r="G739" s="8" t="s">
        <v>2092</v>
      </c>
      <c r="H739" s="3">
        <v>39970.572430555556</v>
      </c>
      <c r="L739">
        <f t="shared" si="58"/>
        <v>0</v>
      </c>
      <c r="Q739" t="str">
        <f t="shared" si="59"/>
        <v/>
      </c>
      <c r="R739" t="str">
        <f t="shared" si="60"/>
        <v/>
      </c>
      <c r="S739" t="str">
        <f t="shared" si="61"/>
        <v/>
      </c>
    </row>
    <row r="740" spans="1:19">
      <c r="A740" t="s">
        <v>2400</v>
      </c>
      <c r="C740" t="s">
        <v>2401</v>
      </c>
      <c r="D740" s="3">
        <v>39974.356041666666</v>
      </c>
      <c r="E740" s="8" t="s">
        <v>2402</v>
      </c>
      <c r="F740" s="8" t="s">
        <v>2403</v>
      </c>
      <c r="G740" s="8" t="s">
        <v>2092</v>
      </c>
      <c r="H740" s="3">
        <v>39974.517916666664</v>
      </c>
      <c r="L740">
        <f t="shared" si="58"/>
        <v>0</v>
      </c>
      <c r="Q740" t="str">
        <f t="shared" si="59"/>
        <v/>
      </c>
      <c r="R740" t="str">
        <f t="shared" si="60"/>
        <v/>
      </c>
      <c r="S740" t="str">
        <f t="shared" si="61"/>
        <v/>
      </c>
    </row>
    <row r="741" spans="1:19">
      <c r="A741" t="s">
        <v>2174</v>
      </c>
      <c r="C741" t="s">
        <v>1984</v>
      </c>
      <c r="D741" s="3">
        <v>39977.660277777781</v>
      </c>
      <c r="E741" s="8" t="s">
        <v>2175</v>
      </c>
      <c r="F741" s="8" t="s">
        <v>2176</v>
      </c>
      <c r="G741" s="8" t="s">
        <v>1967</v>
      </c>
      <c r="H741" s="3">
        <v>39977.66064814815</v>
      </c>
      <c r="L741">
        <f t="shared" si="58"/>
        <v>0</v>
      </c>
      <c r="Q741" t="str">
        <f t="shared" si="59"/>
        <v/>
      </c>
      <c r="R741" t="str">
        <f t="shared" si="60"/>
        <v/>
      </c>
      <c r="S741" t="str">
        <f t="shared" si="61"/>
        <v/>
      </c>
    </row>
    <row r="742" spans="1:19">
      <c r="A742" t="s">
        <v>2105</v>
      </c>
      <c r="C742" t="s">
        <v>2106</v>
      </c>
      <c r="D742" s="3">
        <v>39978.498553240737</v>
      </c>
      <c r="E742" s="8" t="s">
        <v>2107</v>
      </c>
      <c r="F742" s="8" t="s">
        <v>2108</v>
      </c>
      <c r="G742" s="8" t="s">
        <v>2109</v>
      </c>
      <c r="H742" s="3">
        <v>39978.524247685185</v>
      </c>
      <c r="K742">
        <v>1</v>
      </c>
      <c r="L742">
        <f t="shared" si="58"/>
        <v>1</v>
      </c>
      <c r="Q742" t="str">
        <f t="shared" si="59"/>
        <v/>
      </c>
      <c r="R742" t="str">
        <f t="shared" si="60"/>
        <v/>
      </c>
      <c r="S742" t="str">
        <f t="shared" si="61"/>
        <v>TC,4231740,9c955c4</v>
      </c>
    </row>
    <row r="743" spans="1:19">
      <c r="A743" t="s">
        <v>2206</v>
      </c>
      <c r="C743" t="s">
        <v>1967</v>
      </c>
      <c r="D743" s="3">
        <v>39981.787974537037</v>
      </c>
      <c r="E743" s="8" t="s">
        <v>2207</v>
      </c>
      <c r="F743" s="8" t="s">
        <v>2208</v>
      </c>
      <c r="G743" s="8" t="s">
        <v>2030</v>
      </c>
      <c r="H743" s="3">
        <v>39981.891539351855</v>
      </c>
      <c r="L743">
        <f t="shared" si="58"/>
        <v>0</v>
      </c>
      <c r="Q743" t="str">
        <f t="shared" si="59"/>
        <v/>
      </c>
      <c r="R743" t="str">
        <f t="shared" si="60"/>
        <v/>
      </c>
      <c r="S743" t="str">
        <f t="shared" si="61"/>
        <v/>
      </c>
    </row>
    <row r="744" spans="1:19">
      <c r="A744" t="s">
        <v>2126</v>
      </c>
      <c r="C744" t="s">
        <v>2109</v>
      </c>
      <c r="D744" s="3">
        <v>39978.524594907409</v>
      </c>
      <c r="E744" s="8" t="s">
        <v>2127</v>
      </c>
      <c r="F744" s="8" t="s">
        <v>2128</v>
      </c>
      <c r="G744" s="8" t="s">
        <v>2129</v>
      </c>
      <c r="H744" s="3">
        <v>39985.328101851854</v>
      </c>
      <c r="K744">
        <v>1</v>
      </c>
      <c r="L744">
        <f t="shared" si="58"/>
        <v>1</v>
      </c>
      <c r="Q744" t="str">
        <f t="shared" si="59"/>
        <v/>
      </c>
      <c r="R744" t="str">
        <f t="shared" si="60"/>
        <v/>
      </c>
      <c r="S744" t="str">
        <f t="shared" si="61"/>
        <v>TC,eb78bf8,b953482</v>
      </c>
    </row>
    <row r="745" spans="1:19">
      <c r="A745" t="s">
        <v>2492</v>
      </c>
      <c r="C745" t="s">
        <v>2493</v>
      </c>
      <c r="D745" s="3">
        <v>39986.663530092592</v>
      </c>
      <c r="E745" s="8" t="s">
        <v>2494</v>
      </c>
      <c r="F745" s="8" t="s">
        <v>2495</v>
      </c>
      <c r="G745" s="8" t="s">
        <v>1964</v>
      </c>
      <c r="H745" s="3">
        <v>39986.864849537036</v>
      </c>
      <c r="L745">
        <f t="shared" si="58"/>
        <v>0</v>
      </c>
      <c r="Q745" t="str">
        <f t="shared" si="59"/>
        <v/>
      </c>
      <c r="R745" t="str">
        <f t="shared" si="60"/>
        <v/>
      </c>
      <c r="S745" t="str">
        <f t="shared" si="61"/>
        <v/>
      </c>
    </row>
    <row r="746" spans="1:19">
      <c r="A746" t="s">
        <v>2005</v>
      </c>
      <c r="B746" t="s">
        <v>2240</v>
      </c>
      <c r="C746" t="s">
        <v>1967</v>
      </c>
      <c r="D746" s="3">
        <v>40001.461261574077</v>
      </c>
      <c r="E746" s="8" t="s">
        <v>2006</v>
      </c>
      <c r="F746" s="8" t="s">
        <v>2007</v>
      </c>
      <c r="G746" s="8" t="s">
        <v>2008</v>
      </c>
      <c r="H746" s="3">
        <v>40001.783750000002</v>
      </c>
      <c r="L746">
        <f t="shared" si="58"/>
        <v>0</v>
      </c>
      <c r="Q746" t="str">
        <f t="shared" si="59"/>
        <v/>
      </c>
      <c r="R746" t="str">
        <f t="shared" si="60"/>
        <v/>
      </c>
      <c r="S746" t="str">
        <f t="shared" si="61"/>
        <v/>
      </c>
    </row>
    <row r="747" spans="1:19">
      <c r="A747" t="s">
        <v>2379</v>
      </c>
      <c r="C747" t="s">
        <v>2307</v>
      </c>
      <c r="D747" s="3">
        <v>40003.027557870373</v>
      </c>
      <c r="E747" s="8" t="s">
        <v>2380</v>
      </c>
      <c r="F747" s="8" t="s">
        <v>2381</v>
      </c>
      <c r="G747" s="8" t="s">
        <v>2382</v>
      </c>
      <c r="H747" s="3">
        <v>40003.586516203701</v>
      </c>
      <c r="L747">
        <f t="shared" si="58"/>
        <v>0</v>
      </c>
      <c r="Q747" t="str">
        <f t="shared" si="59"/>
        <v/>
      </c>
      <c r="R747" t="str">
        <f t="shared" si="60"/>
        <v/>
      </c>
      <c r="S747" t="str">
        <f t="shared" si="61"/>
        <v/>
      </c>
    </row>
    <row r="748" spans="1:19">
      <c r="A748" t="s">
        <v>2076</v>
      </c>
      <c r="C748" t="s">
        <v>1967</v>
      </c>
      <c r="D748" s="3">
        <v>40016.475138888891</v>
      </c>
      <c r="E748" s="8" t="s">
        <v>2077</v>
      </c>
      <c r="F748" s="8" t="s">
        <v>2078</v>
      </c>
      <c r="G748" s="8" t="s">
        <v>1984</v>
      </c>
      <c r="H748" s="3">
        <v>40016.4919212963</v>
      </c>
      <c r="L748">
        <f t="shared" si="58"/>
        <v>0</v>
      </c>
      <c r="Q748" t="str">
        <f t="shared" si="59"/>
        <v/>
      </c>
      <c r="R748" t="str">
        <f t="shared" si="60"/>
        <v/>
      </c>
      <c r="S748" t="str">
        <f t="shared" si="61"/>
        <v/>
      </c>
    </row>
    <row r="749" spans="1:19">
      <c r="A749" t="s">
        <v>2212</v>
      </c>
      <c r="C749" t="s">
        <v>2073</v>
      </c>
      <c r="D749" s="3">
        <v>40016.722870370373</v>
      </c>
      <c r="E749" s="8" t="s">
        <v>2213</v>
      </c>
      <c r="F749" s="8" t="s">
        <v>2214</v>
      </c>
      <c r="G749" s="8" t="s">
        <v>2215</v>
      </c>
      <c r="H749" s="3">
        <v>40016.936921296299</v>
      </c>
      <c r="L749">
        <f t="shared" si="58"/>
        <v>0</v>
      </c>
      <c r="Q749" t="str">
        <f t="shared" si="59"/>
        <v/>
      </c>
      <c r="R749" t="str">
        <f t="shared" si="60"/>
        <v/>
      </c>
      <c r="S749" t="str">
        <f t="shared" si="61"/>
        <v/>
      </c>
    </row>
    <row r="750" spans="1:19">
      <c r="A750" t="s">
        <v>2224</v>
      </c>
      <c r="C750" t="s">
        <v>1984</v>
      </c>
      <c r="D750" s="3">
        <v>40021.676076388889</v>
      </c>
      <c r="E750" s="8" t="s">
        <v>2225</v>
      </c>
      <c r="F750" s="8" t="s">
        <v>2226</v>
      </c>
      <c r="G750" s="8" t="s">
        <v>2227</v>
      </c>
      <c r="H750" s="3">
        <v>40023.601365740738</v>
      </c>
      <c r="L750">
        <f t="shared" si="58"/>
        <v>0</v>
      </c>
      <c r="Q750" t="str">
        <f t="shared" si="59"/>
        <v/>
      </c>
      <c r="R750" t="str">
        <f t="shared" si="60"/>
        <v/>
      </c>
      <c r="S750" t="str">
        <f t="shared" si="61"/>
        <v/>
      </c>
    </row>
    <row r="751" spans="1:19">
      <c r="A751" t="s">
        <v>2516</v>
      </c>
      <c r="C751" t="s">
        <v>2063</v>
      </c>
      <c r="D751" s="3">
        <v>40038.360185185185</v>
      </c>
      <c r="E751" s="8" t="s">
        <v>2517</v>
      </c>
      <c r="F751" s="8" t="s">
        <v>2518</v>
      </c>
      <c r="G751" s="8" t="s">
        <v>1984</v>
      </c>
      <c r="H751" s="3">
        <v>40038.565833333334</v>
      </c>
      <c r="L751">
        <f t="shared" si="58"/>
        <v>0</v>
      </c>
      <c r="Q751" t="str">
        <f t="shared" si="59"/>
        <v/>
      </c>
      <c r="R751" t="str">
        <f t="shared" si="60"/>
        <v/>
      </c>
      <c r="S751" t="str">
        <f t="shared" si="61"/>
        <v/>
      </c>
    </row>
    <row r="752" spans="1:19">
      <c r="A752" t="s">
        <v>2051</v>
      </c>
      <c r="C752" t="s">
        <v>2052</v>
      </c>
      <c r="D752" s="3">
        <v>40034.822442129633</v>
      </c>
      <c r="E752" s="8" t="s">
        <v>2053</v>
      </c>
      <c r="F752" s="8" t="s">
        <v>2054</v>
      </c>
      <c r="G752" s="8" t="s">
        <v>2010</v>
      </c>
      <c r="H752" s="3">
        <v>40049.390787037039</v>
      </c>
      <c r="L752">
        <f t="shared" si="58"/>
        <v>0</v>
      </c>
      <c r="Q752" t="str">
        <f t="shared" si="59"/>
        <v/>
      </c>
      <c r="R752" t="str">
        <f t="shared" si="60"/>
        <v/>
      </c>
      <c r="S752" t="str">
        <f t="shared" si="61"/>
        <v/>
      </c>
    </row>
    <row r="753" spans="1:19">
      <c r="A753" t="s">
        <v>2459</v>
      </c>
      <c r="C753" t="s">
        <v>2063</v>
      </c>
      <c r="D753" s="3">
        <v>40049.482418981483</v>
      </c>
      <c r="E753" s="8" t="s">
        <v>2460</v>
      </c>
      <c r="F753" s="8" t="s">
        <v>2461</v>
      </c>
      <c r="G753" s="8" t="s">
        <v>2462</v>
      </c>
      <c r="H753" s="3">
        <v>40049.678379629629</v>
      </c>
      <c r="L753">
        <f t="shared" si="58"/>
        <v>0</v>
      </c>
      <c r="Q753" t="str">
        <f t="shared" si="59"/>
        <v/>
      </c>
      <c r="R753" t="str">
        <f t="shared" si="60"/>
        <v/>
      </c>
      <c r="S753" t="str">
        <f t="shared" si="61"/>
        <v/>
      </c>
    </row>
    <row r="754" spans="1:19">
      <c r="A754" t="s">
        <v>2323</v>
      </c>
      <c r="C754" t="s">
        <v>2152</v>
      </c>
      <c r="D754" s="3">
        <v>40032.477951388886</v>
      </c>
      <c r="E754" s="8" t="s">
        <v>2324</v>
      </c>
      <c r="F754" s="8" t="s">
        <v>2325</v>
      </c>
      <c r="G754" s="8" t="s">
        <v>2063</v>
      </c>
      <c r="H754" s="3">
        <v>40049.690613425926</v>
      </c>
      <c r="L754">
        <f t="shared" si="58"/>
        <v>0</v>
      </c>
      <c r="Q754" t="str">
        <f t="shared" si="59"/>
        <v/>
      </c>
      <c r="R754" t="str">
        <f t="shared" si="60"/>
        <v/>
      </c>
      <c r="S754" t="str">
        <f t="shared" si="61"/>
        <v/>
      </c>
    </row>
    <row r="755" spans="1:19">
      <c r="A755" t="s">
        <v>2303</v>
      </c>
      <c r="C755" t="s">
        <v>2063</v>
      </c>
      <c r="D755" s="3">
        <v>40049.506064814814</v>
      </c>
      <c r="E755" s="8" t="s">
        <v>2304</v>
      </c>
      <c r="F755" s="8" t="s">
        <v>2305</v>
      </c>
      <c r="G755" s="8" t="s">
        <v>1964</v>
      </c>
      <c r="H755" s="3">
        <v>40049.701655092591</v>
      </c>
      <c r="L755">
        <f t="shared" si="58"/>
        <v>0</v>
      </c>
      <c r="Q755" t="str">
        <f t="shared" si="59"/>
        <v/>
      </c>
      <c r="R755" t="str">
        <f t="shared" si="60"/>
        <v/>
      </c>
      <c r="S755" t="str">
        <f t="shared" si="61"/>
        <v/>
      </c>
    </row>
    <row r="756" spans="1:19">
      <c r="A756" s="1" t="s">
        <v>2365</v>
      </c>
      <c r="C756" t="s">
        <v>2307</v>
      </c>
      <c r="D756" s="3">
        <v>40051.559629629628</v>
      </c>
      <c r="E756" s="8" t="s">
        <v>2366</v>
      </c>
      <c r="F756" s="8" t="s">
        <v>2367</v>
      </c>
      <c r="G756" s="8" t="s">
        <v>1964</v>
      </c>
      <c r="H756" s="3">
        <v>40051.871944444443</v>
      </c>
      <c r="L756">
        <f t="shared" si="58"/>
        <v>0</v>
      </c>
      <c r="Q756" t="str">
        <f t="shared" si="59"/>
        <v/>
      </c>
      <c r="R756" t="str">
        <f t="shared" si="60"/>
        <v/>
      </c>
      <c r="S756" t="str">
        <f t="shared" si="61"/>
        <v/>
      </c>
    </row>
    <row r="757" spans="1:19">
      <c r="A757" t="s">
        <v>2306</v>
      </c>
      <c r="C757" t="s">
        <v>2307</v>
      </c>
      <c r="D757" s="3">
        <v>40055.634328703702</v>
      </c>
      <c r="E757" s="8" t="s">
        <v>2308</v>
      </c>
      <c r="F757" s="8" t="s">
        <v>2552</v>
      </c>
      <c r="G757" s="8" t="s">
        <v>1984</v>
      </c>
      <c r="H757" s="3">
        <v>40055.980219907404</v>
      </c>
      <c r="L757">
        <f t="shared" si="58"/>
        <v>0</v>
      </c>
      <c r="Q757" t="str">
        <f t="shared" si="59"/>
        <v/>
      </c>
      <c r="R757" t="str">
        <f t="shared" si="60"/>
        <v/>
      </c>
      <c r="S757" t="str">
        <f t="shared" si="61"/>
        <v/>
      </c>
    </row>
    <row r="758" spans="1:19">
      <c r="A758" t="s">
        <v>2203</v>
      </c>
      <c r="C758" t="s">
        <v>1984</v>
      </c>
      <c r="D758" s="3">
        <v>40056.792939814812</v>
      </c>
      <c r="E758" s="8" t="s">
        <v>2204</v>
      </c>
      <c r="F758" s="8" t="s">
        <v>2205</v>
      </c>
      <c r="G758" s="8" t="s">
        <v>1964</v>
      </c>
      <c r="H758" s="3">
        <v>40056.907500000001</v>
      </c>
      <c r="L758">
        <f t="shared" si="58"/>
        <v>0</v>
      </c>
      <c r="Q758" t="str">
        <f t="shared" si="59"/>
        <v/>
      </c>
      <c r="R758" t="str">
        <f t="shared" si="60"/>
        <v/>
      </c>
      <c r="S758" t="str">
        <f t="shared" si="61"/>
        <v/>
      </c>
    </row>
    <row r="759" spans="1:19">
      <c r="A759" t="s">
        <v>2139</v>
      </c>
      <c r="C759" t="s">
        <v>2140</v>
      </c>
      <c r="D759" s="3">
        <v>40059.484756944446</v>
      </c>
      <c r="E759" s="8" t="s">
        <v>2141</v>
      </c>
      <c r="F759" s="8" t="s">
        <v>2142</v>
      </c>
      <c r="G759" s="8" t="s">
        <v>2100</v>
      </c>
      <c r="H759" s="3">
        <v>40062.530601851853</v>
      </c>
      <c r="K759">
        <v>1</v>
      </c>
      <c r="L759">
        <f t="shared" si="58"/>
        <v>1</v>
      </c>
      <c r="Q759" t="str">
        <f t="shared" si="59"/>
        <v/>
      </c>
      <c r="R759" t="str">
        <f t="shared" si="60"/>
        <v/>
      </c>
      <c r="S759" t="str">
        <f t="shared" si="61"/>
        <v>TC,124653e,503b513</v>
      </c>
    </row>
    <row r="760" spans="1:19">
      <c r="A760" t="s">
        <v>2359</v>
      </c>
      <c r="C760" t="s">
        <v>2100</v>
      </c>
      <c r="D760" s="3">
        <v>40063.409641203703</v>
      </c>
      <c r="E760" s="8" t="s">
        <v>2360</v>
      </c>
      <c r="F760" s="8" t="s">
        <v>2361</v>
      </c>
      <c r="G760" s="8" t="s">
        <v>1967</v>
      </c>
      <c r="H760" s="3">
        <v>40063.440057870372</v>
      </c>
      <c r="L760">
        <f t="shared" si="58"/>
        <v>0</v>
      </c>
      <c r="Q760" t="str">
        <f t="shared" si="59"/>
        <v/>
      </c>
      <c r="R760" t="str">
        <f t="shared" si="60"/>
        <v/>
      </c>
      <c r="S760" t="str">
        <f t="shared" si="61"/>
        <v/>
      </c>
    </row>
    <row r="761" spans="1:19">
      <c r="A761" t="s">
        <v>2354</v>
      </c>
      <c r="C761" t="s">
        <v>2100</v>
      </c>
      <c r="D761" s="3">
        <v>40063.443576388891</v>
      </c>
      <c r="E761" s="8" t="s">
        <v>2355</v>
      </c>
      <c r="F761" s="8" t="s">
        <v>2356</v>
      </c>
      <c r="G761" s="8" t="s">
        <v>1967</v>
      </c>
      <c r="H761" s="3">
        <v>40063.481921296298</v>
      </c>
      <c r="K761">
        <v>1</v>
      </c>
      <c r="L761">
        <f t="shared" si="58"/>
        <v>1</v>
      </c>
      <c r="Q761" t="str">
        <f t="shared" si="59"/>
        <v/>
      </c>
      <c r="R761" t="str">
        <f t="shared" si="60"/>
        <v/>
      </c>
      <c r="S761" t="str">
        <f t="shared" si="61"/>
        <v>TC,20ed56d,0aeed65</v>
      </c>
    </row>
    <row r="762" spans="1:19">
      <c r="A762" t="s">
        <v>2265</v>
      </c>
      <c r="C762" t="s">
        <v>1964</v>
      </c>
      <c r="D762" s="3">
        <v>40063.501284722224</v>
      </c>
      <c r="E762" s="8" t="s">
        <v>2266</v>
      </c>
      <c r="F762" s="8" t="s">
        <v>2267</v>
      </c>
      <c r="G762" s="8" t="s">
        <v>2100</v>
      </c>
      <c r="H762" s="3">
        <v>40063.521678240744</v>
      </c>
      <c r="I762">
        <v>1</v>
      </c>
      <c r="K762">
        <v>1</v>
      </c>
      <c r="L762">
        <f t="shared" si="58"/>
        <v>2</v>
      </c>
      <c r="Q762" t="str">
        <f t="shared" si="59"/>
        <v>MC,65d043b,d96f3ac</v>
      </c>
      <c r="R762" t="str">
        <f t="shared" si="60"/>
        <v/>
      </c>
      <c r="S762" t="str">
        <f t="shared" si="61"/>
        <v>TC,65d043b,d96f3ac</v>
      </c>
    </row>
    <row r="763" spans="1:19">
      <c r="A763" t="s">
        <v>2542</v>
      </c>
      <c r="C763" t="s">
        <v>2233</v>
      </c>
      <c r="D763" s="3">
        <v>40080.658715277779</v>
      </c>
      <c r="E763" s="8" t="s">
        <v>2543</v>
      </c>
      <c r="F763" s="8" t="s">
        <v>2544</v>
      </c>
      <c r="G763" s="8" t="s">
        <v>2557</v>
      </c>
      <c r="H763" s="3">
        <v>40080.712546296294</v>
      </c>
      <c r="L763">
        <f t="shared" si="58"/>
        <v>0</v>
      </c>
      <c r="Q763" t="str">
        <f t="shared" si="59"/>
        <v/>
      </c>
      <c r="R763" t="str">
        <f t="shared" si="60"/>
        <v/>
      </c>
      <c r="S763" t="str">
        <f t="shared" si="61"/>
        <v/>
      </c>
    </row>
    <row r="764" spans="1:19">
      <c r="A764" t="s">
        <v>2232</v>
      </c>
      <c r="C764" t="s">
        <v>2233</v>
      </c>
      <c r="D764" s="3">
        <v>40080.658229166664</v>
      </c>
      <c r="E764" s="8" t="s">
        <v>2234</v>
      </c>
      <c r="F764" s="8" t="s">
        <v>2235</v>
      </c>
      <c r="G764" s="8" t="s">
        <v>2236</v>
      </c>
      <c r="H764" s="3">
        <v>40080.88758101852</v>
      </c>
      <c r="L764">
        <f t="shared" si="58"/>
        <v>0</v>
      </c>
      <c r="Q764" t="str">
        <f t="shared" si="59"/>
        <v/>
      </c>
      <c r="R764" t="str">
        <f t="shared" si="60"/>
        <v/>
      </c>
      <c r="S764" t="str">
        <f t="shared" si="61"/>
        <v/>
      </c>
    </row>
    <row r="765" spans="1:19">
      <c r="A765" t="s">
        <v>2496</v>
      </c>
      <c r="C765" t="s">
        <v>2063</v>
      </c>
      <c r="D765" s="3">
        <v>40091.627696759257</v>
      </c>
      <c r="E765" s="8" t="s">
        <v>2497</v>
      </c>
      <c r="F765" s="8" t="s">
        <v>2498</v>
      </c>
      <c r="G765" s="8" t="s">
        <v>2236</v>
      </c>
      <c r="H765" s="3">
        <v>40091.793969907405</v>
      </c>
      <c r="L765">
        <f t="shared" ref="L765:L789" si="62">COUNTA(I765:K765)</f>
        <v>0</v>
      </c>
      <c r="Q765" t="str">
        <f t="shared" ref="Q765:Q789" si="63">IF(I765&gt;0,CONCATENATE("MC,",E765,",",F765),"")</f>
        <v/>
      </c>
      <c r="R765" t="str">
        <f t="shared" ref="R765:R789" si="64">IF(J765&gt;0,CONCATENATE("BC,",E765,",",F765),"")</f>
        <v/>
      </c>
      <c r="S765" t="str">
        <f t="shared" ref="S765:S789" si="65">IF(K765&gt;0,CONCATENATE("TC,",E765,",",F765),"")</f>
        <v/>
      </c>
    </row>
    <row r="766" spans="1:19">
      <c r="A766" t="s">
        <v>2276</v>
      </c>
      <c r="C766" t="s">
        <v>1967</v>
      </c>
      <c r="D766" s="3">
        <v>40094.622870370367</v>
      </c>
      <c r="E766" s="8" t="s">
        <v>2277</v>
      </c>
      <c r="F766" s="8" t="s">
        <v>2278</v>
      </c>
      <c r="G766" s="8" t="s">
        <v>2558</v>
      </c>
      <c r="H766" s="3">
        <v>40094.633460648147</v>
      </c>
      <c r="L766">
        <f t="shared" si="62"/>
        <v>0</v>
      </c>
      <c r="Q766" t="str">
        <f t="shared" si="63"/>
        <v/>
      </c>
      <c r="R766" t="str">
        <f t="shared" si="64"/>
        <v/>
      </c>
      <c r="S766" t="str">
        <f t="shared" si="65"/>
        <v/>
      </c>
    </row>
    <row r="767" spans="1:19">
      <c r="A767" t="s">
        <v>2171</v>
      </c>
      <c r="C767" t="s">
        <v>1987</v>
      </c>
      <c r="D767" s="3">
        <v>40101.383993055555</v>
      </c>
      <c r="E767" s="8" t="s">
        <v>2172</v>
      </c>
      <c r="F767" s="8" t="s">
        <v>2173</v>
      </c>
      <c r="G767" s="8" t="s">
        <v>1964</v>
      </c>
      <c r="H767" s="3">
        <v>40101.633900462963</v>
      </c>
      <c r="L767">
        <f t="shared" si="62"/>
        <v>0</v>
      </c>
      <c r="Q767" t="str">
        <f t="shared" si="63"/>
        <v/>
      </c>
      <c r="R767" t="str">
        <f t="shared" si="64"/>
        <v/>
      </c>
      <c r="S767" t="str">
        <f t="shared" si="65"/>
        <v/>
      </c>
    </row>
    <row r="768" spans="1:19">
      <c r="A768" t="s">
        <v>2146</v>
      </c>
      <c r="C768" t="s">
        <v>2063</v>
      </c>
      <c r="D768" s="3">
        <v>40105.892118055555</v>
      </c>
      <c r="E768" s="8" t="s">
        <v>2147</v>
      </c>
      <c r="F768" s="8" t="s">
        <v>2148</v>
      </c>
      <c r="G768" s="8" t="s">
        <v>2073</v>
      </c>
      <c r="H768" s="3">
        <v>40105.900185185186</v>
      </c>
      <c r="L768">
        <f t="shared" si="62"/>
        <v>0</v>
      </c>
      <c r="Q768" t="str">
        <f t="shared" si="63"/>
        <v/>
      </c>
      <c r="R768" t="str">
        <f t="shared" si="64"/>
        <v/>
      </c>
      <c r="S768" t="str">
        <f t="shared" si="65"/>
        <v/>
      </c>
    </row>
    <row r="769" spans="1:19">
      <c r="A769" t="s">
        <v>2122</v>
      </c>
      <c r="C769" t="s">
        <v>2123</v>
      </c>
      <c r="D769" s="3">
        <v>39832.517118055555</v>
      </c>
      <c r="E769" s="8" t="s">
        <v>2124</v>
      </c>
      <c r="F769" s="8" t="s">
        <v>2125</v>
      </c>
      <c r="G769" s="8" t="s">
        <v>2073</v>
      </c>
      <c r="H769" s="3">
        <v>40123.587141203701</v>
      </c>
      <c r="I769">
        <v>1</v>
      </c>
      <c r="L769">
        <f t="shared" si="62"/>
        <v>1</v>
      </c>
      <c r="Q769" t="str">
        <f t="shared" si="63"/>
        <v>MC,6606016,e3f38af</v>
      </c>
      <c r="R769" t="str">
        <f t="shared" si="64"/>
        <v/>
      </c>
      <c r="S769" t="str">
        <f t="shared" si="65"/>
        <v/>
      </c>
    </row>
    <row r="770" spans="1:19">
      <c r="A770" t="s">
        <v>2449</v>
      </c>
      <c r="C770" t="s">
        <v>2450</v>
      </c>
      <c r="D770" s="3">
        <v>40124.543437499997</v>
      </c>
      <c r="E770" s="8" t="s">
        <v>2451</v>
      </c>
      <c r="F770" s="8" t="s">
        <v>2452</v>
      </c>
      <c r="G770" s="8" t="s">
        <v>2231</v>
      </c>
      <c r="H770" s="3">
        <v>40124.619259259256</v>
      </c>
      <c r="L770">
        <f t="shared" si="62"/>
        <v>0</v>
      </c>
      <c r="Q770" t="str">
        <f t="shared" si="63"/>
        <v/>
      </c>
      <c r="R770" t="str">
        <f t="shared" si="64"/>
        <v/>
      </c>
      <c r="S770" t="str">
        <f t="shared" si="65"/>
        <v/>
      </c>
    </row>
    <row r="771" spans="1:19">
      <c r="A771" t="s">
        <v>2047</v>
      </c>
      <c r="C771" t="s">
        <v>2048</v>
      </c>
      <c r="D771" s="3">
        <v>40124.870578703703</v>
      </c>
      <c r="E771" s="8" t="s">
        <v>2049</v>
      </c>
      <c r="F771" s="8" t="s">
        <v>2050</v>
      </c>
      <c r="G771" s="8" t="s">
        <v>2558</v>
      </c>
      <c r="H771" s="3">
        <v>40124.870578703703</v>
      </c>
      <c r="L771">
        <f t="shared" si="62"/>
        <v>0</v>
      </c>
      <c r="Q771" t="str">
        <f t="shared" si="63"/>
        <v/>
      </c>
      <c r="R771" t="str">
        <f t="shared" si="64"/>
        <v/>
      </c>
      <c r="S771" t="str">
        <f t="shared" si="65"/>
        <v/>
      </c>
    </row>
    <row r="772" spans="1:19">
      <c r="A772" t="s">
        <v>2472</v>
      </c>
      <c r="C772" t="s">
        <v>2010</v>
      </c>
      <c r="D772" s="3">
        <v>40135.878472222219</v>
      </c>
      <c r="E772" s="8" t="s">
        <v>2473</v>
      </c>
      <c r="F772" s="8" t="s">
        <v>2474</v>
      </c>
      <c r="G772" s="8" t="s">
        <v>1984</v>
      </c>
      <c r="H772" s="3">
        <v>40135.90625</v>
      </c>
      <c r="L772">
        <f t="shared" si="62"/>
        <v>0</v>
      </c>
      <c r="Q772" t="str">
        <f t="shared" si="63"/>
        <v/>
      </c>
      <c r="R772" t="str">
        <f t="shared" si="64"/>
        <v/>
      </c>
      <c r="S772" t="str">
        <f t="shared" si="65"/>
        <v/>
      </c>
    </row>
    <row r="773" spans="1:19">
      <c r="A773" t="s">
        <v>2197</v>
      </c>
      <c r="C773" t="s">
        <v>1964</v>
      </c>
      <c r="D773" s="3">
        <v>40136.712430555555</v>
      </c>
      <c r="E773" s="8" t="s">
        <v>2198</v>
      </c>
      <c r="F773" s="8" t="s">
        <v>2199</v>
      </c>
      <c r="G773" s="8" t="s">
        <v>2010</v>
      </c>
      <c r="H773" s="3">
        <v>40136.719317129631</v>
      </c>
      <c r="L773">
        <f t="shared" si="62"/>
        <v>0</v>
      </c>
      <c r="Q773" t="str">
        <f t="shared" si="63"/>
        <v/>
      </c>
      <c r="R773" t="str">
        <f t="shared" si="64"/>
        <v/>
      </c>
      <c r="S773" t="str">
        <f t="shared" si="65"/>
        <v/>
      </c>
    </row>
    <row r="774" spans="1:19">
      <c r="A774" t="s">
        <v>2326</v>
      </c>
      <c r="C774" t="s">
        <v>2010</v>
      </c>
      <c r="D774" s="3">
        <v>40136.673506944448</v>
      </c>
      <c r="E774" s="8" t="s">
        <v>2327</v>
      </c>
      <c r="F774" s="8" t="s">
        <v>2328</v>
      </c>
      <c r="G774" s="8" t="s">
        <v>2102</v>
      </c>
      <c r="H774" s="3">
        <v>40136.72115740741</v>
      </c>
      <c r="L774">
        <f t="shared" si="62"/>
        <v>0</v>
      </c>
      <c r="Q774" t="str">
        <f t="shared" si="63"/>
        <v/>
      </c>
      <c r="R774" t="str">
        <f t="shared" si="64"/>
        <v/>
      </c>
      <c r="S774" t="str">
        <f t="shared" si="65"/>
        <v/>
      </c>
    </row>
    <row r="775" spans="1:19">
      <c r="A775" t="s">
        <v>2055</v>
      </c>
      <c r="C775" t="s">
        <v>1964</v>
      </c>
      <c r="D775" s="3">
        <v>40137.571527777778</v>
      </c>
      <c r="E775" s="8" t="s">
        <v>2056</v>
      </c>
      <c r="F775" s="8" t="s">
        <v>2057</v>
      </c>
      <c r="G775" s="8" t="s">
        <v>2058</v>
      </c>
      <c r="H775" s="3">
        <v>40137.790671296294</v>
      </c>
      <c r="L775">
        <f t="shared" si="62"/>
        <v>0</v>
      </c>
      <c r="Q775" t="str">
        <f t="shared" si="63"/>
        <v/>
      </c>
      <c r="R775" t="str">
        <f t="shared" si="64"/>
        <v/>
      </c>
      <c r="S775" t="str">
        <f t="shared" si="65"/>
        <v/>
      </c>
    </row>
    <row r="776" spans="1:19">
      <c r="A776" t="s">
        <v>2453</v>
      </c>
      <c r="C776" t="s">
        <v>1984</v>
      </c>
      <c r="D776" s="3">
        <v>40138.921886574077</v>
      </c>
      <c r="E776" s="8" t="s">
        <v>2454</v>
      </c>
      <c r="F776" s="8" t="s">
        <v>2455</v>
      </c>
      <c r="G776" s="8" t="s">
        <v>1967</v>
      </c>
      <c r="H776" s="3">
        <v>40139.901284722226</v>
      </c>
      <c r="L776">
        <f t="shared" si="62"/>
        <v>0</v>
      </c>
      <c r="Q776" t="str">
        <f t="shared" si="63"/>
        <v/>
      </c>
      <c r="R776" t="str">
        <f t="shared" si="64"/>
        <v/>
      </c>
      <c r="S776" t="str">
        <f t="shared" si="65"/>
        <v/>
      </c>
    </row>
    <row r="777" spans="1:19">
      <c r="A777" t="s">
        <v>2153</v>
      </c>
      <c r="C777" t="s">
        <v>2140</v>
      </c>
      <c r="D777" s="3">
        <v>40145.503171296295</v>
      </c>
      <c r="E777" s="8" t="s">
        <v>2154</v>
      </c>
      <c r="F777" s="8" t="s">
        <v>2155</v>
      </c>
      <c r="G777" s="8" t="s">
        <v>1987</v>
      </c>
      <c r="H777" s="3">
        <v>40145.988321759258</v>
      </c>
      <c r="L777">
        <f t="shared" si="62"/>
        <v>0</v>
      </c>
      <c r="Q777" t="str">
        <f t="shared" si="63"/>
        <v/>
      </c>
      <c r="R777" t="str">
        <f t="shared" si="64"/>
        <v/>
      </c>
      <c r="S777" t="str">
        <f t="shared" si="65"/>
        <v/>
      </c>
    </row>
    <row r="778" spans="1:19">
      <c r="A778" t="s">
        <v>2368</v>
      </c>
      <c r="C778" t="s">
        <v>2307</v>
      </c>
      <c r="D778" s="3">
        <v>40114.713946759257</v>
      </c>
      <c r="E778" s="8" t="s">
        <v>2369</v>
      </c>
      <c r="F778" s="8" t="s">
        <v>2370</v>
      </c>
      <c r="G778" s="8" t="s">
        <v>2371</v>
      </c>
      <c r="H778" s="3">
        <v>40153.947002314817</v>
      </c>
      <c r="L778">
        <f t="shared" si="62"/>
        <v>0</v>
      </c>
      <c r="Q778" t="str">
        <f t="shared" si="63"/>
        <v/>
      </c>
      <c r="R778" t="str">
        <f t="shared" si="64"/>
        <v/>
      </c>
      <c r="S778" t="str">
        <f t="shared" si="65"/>
        <v/>
      </c>
    </row>
    <row r="779" spans="1:19">
      <c r="A779" t="s">
        <v>2177</v>
      </c>
      <c r="C779" t="s">
        <v>2178</v>
      </c>
      <c r="D779" s="3">
        <v>40155.483958333331</v>
      </c>
      <c r="E779" s="8" t="s">
        <v>2179</v>
      </c>
      <c r="F779" s="8" t="s">
        <v>2180</v>
      </c>
      <c r="G779" s="8" t="s">
        <v>2181</v>
      </c>
      <c r="H779" s="3">
        <v>40155.52983796296</v>
      </c>
      <c r="L779">
        <f t="shared" si="62"/>
        <v>0</v>
      </c>
      <c r="Q779" t="str">
        <f t="shared" si="63"/>
        <v/>
      </c>
      <c r="R779" t="str">
        <f t="shared" si="64"/>
        <v/>
      </c>
      <c r="S779" t="str">
        <f t="shared" si="65"/>
        <v/>
      </c>
    </row>
    <row r="780" spans="1:19">
      <c r="A780" t="s">
        <v>2329</v>
      </c>
      <c r="C780" t="s">
        <v>2140</v>
      </c>
      <c r="D780" s="3">
        <v>40152.931689814817</v>
      </c>
      <c r="E780" s="8" t="s">
        <v>2330</v>
      </c>
      <c r="F780" s="8" t="s">
        <v>2331</v>
      </c>
      <c r="G780" s="8" t="s">
        <v>2063</v>
      </c>
      <c r="H780" s="3">
        <v>40157.555868055555</v>
      </c>
      <c r="L780">
        <f t="shared" si="62"/>
        <v>0</v>
      </c>
      <c r="Q780" t="str">
        <f t="shared" si="63"/>
        <v/>
      </c>
      <c r="R780" t="str">
        <f t="shared" si="64"/>
        <v/>
      </c>
      <c r="S780" t="str">
        <f t="shared" si="65"/>
        <v/>
      </c>
    </row>
    <row r="781" spans="1:19">
      <c r="A781" t="s">
        <v>2260</v>
      </c>
      <c r="C781" t="s">
        <v>2140</v>
      </c>
      <c r="D781" s="3">
        <v>40167.600844907407</v>
      </c>
      <c r="E781" s="8" t="s">
        <v>2261</v>
      </c>
      <c r="F781" s="8" t="s">
        <v>2549</v>
      </c>
      <c r="G781" s="8" t="s">
        <v>2063</v>
      </c>
      <c r="H781" s="3">
        <v>40167.701562499999</v>
      </c>
      <c r="L781">
        <f t="shared" si="62"/>
        <v>0</v>
      </c>
      <c r="Q781" t="str">
        <f t="shared" si="63"/>
        <v/>
      </c>
      <c r="R781" t="str">
        <f t="shared" si="64"/>
        <v/>
      </c>
      <c r="S781" t="str">
        <f t="shared" si="65"/>
        <v/>
      </c>
    </row>
    <row r="782" spans="1:19">
      <c r="A782" t="s">
        <v>2062</v>
      </c>
      <c r="C782" t="s">
        <v>2063</v>
      </c>
      <c r="D782" s="3">
        <v>40167.722719907404</v>
      </c>
      <c r="E782" s="8" t="s">
        <v>2064</v>
      </c>
      <c r="F782" s="8" t="s">
        <v>2065</v>
      </c>
      <c r="G782" s="8" t="s">
        <v>1967</v>
      </c>
      <c r="H782" s="3">
        <v>40167.970138888886</v>
      </c>
      <c r="L782">
        <f t="shared" si="62"/>
        <v>0</v>
      </c>
      <c r="Q782" t="str">
        <f t="shared" si="63"/>
        <v/>
      </c>
      <c r="R782" t="str">
        <f t="shared" si="64"/>
        <v/>
      </c>
      <c r="S782" t="str">
        <f t="shared" si="65"/>
        <v/>
      </c>
    </row>
    <row r="783" spans="1:19">
      <c r="A783" t="s">
        <v>2342</v>
      </c>
      <c r="C783" t="s">
        <v>2063</v>
      </c>
      <c r="D783" s="3">
        <v>40167.735266203701</v>
      </c>
      <c r="E783" s="8" t="s">
        <v>2343</v>
      </c>
      <c r="F783" s="8" t="s">
        <v>2344</v>
      </c>
      <c r="G783" s="8" t="s">
        <v>2140</v>
      </c>
      <c r="H783" s="3">
        <v>40167.981898148151</v>
      </c>
      <c r="L783">
        <f t="shared" si="62"/>
        <v>0</v>
      </c>
      <c r="Q783" t="str">
        <f t="shared" si="63"/>
        <v/>
      </c>
      <c r="R783" t="str">
        <f t="shared" si="64"/>
        <v/>
      </c>
      <c r="S783" t="str">
        <f t="shared" si="65"/>
        <v/>
      </c>
    </row>
    <row r="784" spans="1:19">
      <c r="A784" t="s">
        <v>2537</v>
      </c>
      <c r="C784" t="s">
        <v>2102</v>
      </c>
      <c r="D784" s="3">
        <v>40184.368981481479</v>
      </c>
      <c r="E784" s="8" t="s">
        <v>2538</v>
      </c>
      <c r="F784" s="8" t="s">
        <v>2539</v>
      </c>
      <c r="G784" s="8" t="s">
        <v>2058</v>
      </c>
      <c r="H784" s="3">
        <v>40184.763321759259</v>
      </c>
      <c r="L784">
        <f t="shared" si="62"/>
        <v>0</v>
      </c>
      <c r="Q784" t="str">
        <f t="shared" si="63"/>
        <v/>
      </c>
      <c r="R784" t="str">
        <f t="shared" si="64"/>
        <v/>
      </c>
      <c r="S784" t="str">
        <f t="shared" si="65"/>
        <v/>
      </c>
    </row>
    <row r="785" spans="1:23">
      <c r="A785" t="s">
        <v>2097</v>
      </c>
      <c r="C785" t="s">
        <v>2063</v>
      </c>
      <c r="D785" s="3">
        <v>40203.204340277778</v>
      </c>
      <c r="E785" s="8" t="s">
        <v>2098</v>
      </c>
      <c r="F785" s="8" t="s">
        <v>2099</v>
      </c>
      <c r="G785" s="8" t="s">
        <v>2100</v>
      </c>
      <c r="H785" s="3">
        <v>40203.452233796299</v>
      </c>
      <c r="L785">
        <f t="shared" si="62"/>
        <v>0</v>
      </c>
      <c r="Q785" t="str">
        <f t="shared" si="63"/>
        <v/>
      </c>
      <c r="R785" t="str">
        <f t="shared" si="64"/>
        <v/>
      </c>
      <c r="S785" t="str">
        <f t="shared" si="65"/>
        <v/>
      </c>
    </row>
    <row r="786" spans="1:23">
      <c r="A786" t="s">
        <v>2527</v>
      </c>
      <c r="C786" t="s">
        <v>2140</v>
      </c>
      <c r="D786" s="3">
        <v>40206.389513888891</v>
      </c>
      <c r="E786" s="8" t="s">
        <v>2528</v>
      </c>
      <c r="F786" s="8" t="s">
        <v>2529</v>
      </c>
      <c r="G786" s="8" t="s">
        <v>2058</v>
      </c>
      <c r="H786" s="3">
        <v>40206.886493055557</v>
      </c>
      <c r="K786">
        <v>1</v>
      </c>
      <c r="L786">
        <f t="shared" si="62"/>
        <v>1</v>
      </c>
      <c r="Q786" t="str">
        <f t="shared" si="63"/>
        <v/>
      </c>
      <c r="R786" t="str">
        <f t="shared" si="64"/>
        <v/>
      </c>
      <c r="S786" t="str">
        <f t="shared" si="65"/>
        <v>TC,b21d8e5,29e8de6</v>
      </c>
    </row>
    <row r="787" spans="1:23">
      <c r="A787" t="s">
        <v>2281</v>
      </c>
      <c r="C787" t="s">
        <v>2063</v>
      </c>
      <c r="D787" s="3">
        <v>40212.404953703706</v>
      </c>
      <c r="E787" s="8" t="s">
        <v>2282</v>
      </c>
      <c r="F787" s="8" t="s">
        <v>2283</v>
      </c>
      <c r="G787" s="8" t="s">
        <v>2058</v>
      </c>
      <c r="H787" s="3">
        <v>40212.767893518518</v>
      </c>
      <c r="L787">
        <f t="shared" si="62"/>
        <v>0</v>
      </c>
      <c r="Q787" t="str">
        <f t="shared" si="63"/>
        <v/>
      </c>
      <c r="R787" t="str">
        <f t="shared" si="64"/>
        <v/>
      </c>
      <c r="S787" t="str">
        <f t="shared" si="65"/>
        <v/>
      </c>
    </row>
    <row r="788" spans="1:23">
      <c r="A788" t="s">
        <v>2182</v>
      </c>
      <c r="C788" t="s">
        <v>2073</v>
      </c>
      <c r="D788" s="3">
        <v>40215.631481481483</v>
      </c>
      <c r="E788" s="8" t="s">
        <v>2183</v>
      </c>
      <c r="F788" s="8" t="s">
        <v>2184</v>
      </c>
      <c r="G788" s="8" t="s">
        <v>1964</v>
      </c>
      <c r="H788" s="3">
        <v>40215.746898148151</v>
      </c>
      <c r="K788">
        <v>1</v>
      </c>
      <c r="L788">
        <f t="shared" si="62"/>
        <v>1</v>
      </c>
      <c r="Q788" t="str">
        <f t="shared" si="63"/>
        <v/>
      </c>
      <c r="R788" t="str">
        <f t="shared" si="64"/>
        <v/>
      </c>
      <c r="S788" t="str">
        <f t="shared" si="65"/>
        <v>TC,6369c73,d963bf0</v>
      </c>
    </row>
    <row r="789" spans="1:23">
      <c r="A789" t="s">
        <v>2194</v>
      </c>
      <c r="C789" t="s">
        <v>2008</v>
      </c>
      <c r="D789" s="3">
        <v>40217.880509259259</v>
      </c>
      <c r="E789" s="8" t="s">
        <v>2195</v>
      </c>
      <c r="F789" s="8" t="s">
        <v>2196</v>
      </c>
      <c r="G789" s="8" t="s">
        <v>2063</v>
      </c>
      <c r="H789" s="3">
        <v>40218.313379629632</v>
      </c>
      <c r="J789">
        <v>1</v>
      </c>
      <c r="L789">
        <f t="shared" si="62"/>
        <v>1</v>
      </c>
      <c r="Q789" t="str">
        <f t="shared" si="63"/>
        <v/>
      </c>
      <c r="R789" t="str">
        <f t="shared" si="64"/>
        <v>BC,0972ecd,d27f8d4</v>
      </c>
      <c r="S789" t="str">
        <f t="shared" si="65"/>
        <v/>
      </c>
    </row>
    <row r="790" spans="1:23">
      <c r="I790">
        <f>SUM(I605:I789)</f>
        <v>14</v>
      </c>
      <c r="J790">
        <f t="shared" ref="J790:K790" si="66">SUM(J605:J789)</f>
        <v>5</v>
      </c>
      <c r="K790">
        <f t="shared" si="66"/>
        <v>56</v>
      </c>
    </row>
    <row r="793" spans="1:23">
      <c r="A793" s="12" t="s">
        <v>2560</v>
      </c>
      <c r="F793" s="8" t="s">
        <v>287</v>
      </c>
      <c r="G793" t="s">
        <v>3687</v>
      </c>
      <c r="H793" t="s">
        <v>333</v>
      </c>
      <c r="I793" t="s">
        <v>3688</v>
      </c>
      <c r="J793" t="s">
        <v>3689</v>
      </c>
      <c r="K793" t="s">
        <v>327</v>
      </c>
      <c r="L793" t="s">
        <v>3690</v>
      </c>
    </row>
    <row r="794" spans="1:23">
      <c r="A794" t="s">
        <v>2802</v>
      </c>
      <c r="C794" t="s">
        <v>2565</v>
      </c>
      <c r="D794" s="3">
        <v>39964.559942129628</v>
      </c>
      <c r="E794" s="8" t="s">
        <v>2803</v>
      </c>
      <c r="F794" s="8" t="s">
        <v>2804</v>
      </c>
      <c r="G794" s="8" t="s">
        <v>3683</v>
      </c>
      <c r="H794" s="3">
        <v>39964.973541666666</v>
      </c>
      <c r="K794">
        <v>1</v>
      </c>
      <c r="L794">
        <f t="shared" ref="L794:L857" si="67">COUNTA(I794:K794)</f>
        <v>1</v>
      </c>
      <c r="Q794" t="str">
        <f t="shared" ref="Q794:Q857" si="68">IF(I794&gt;0,CONCATENATE("MC,",E794,",",F794),"")</f>
        <v/>
      </c>
      <c r="R794" t="str">
        <f t="shared" ref="R794:R857" si="69">IF(J794&gt;0,CONCATENATE("BC,",E794,",",F794),"")</f>
        <v/>
      </c>
      <c r="S794" t="str">
        <f t="shared" ref="S794:S857" si="70">IF(K794&gt;0,CONCATENATE("TC,",E794,",",F794),"")</f>
        <v>TC,09650cf,979c128</v>
      </c>
      <c r="U794" s="12" t="s">
        <v>1888</v>
      </c>
    </row>
    <row r="795" spans="1:23">
      <c r="A795" t="s">
        <v>3246</v>
      </c>
      <c r="C795" t="s">
        <v>2738</v>
      </c>
      <c r="D795" s="3">
        <v>39966.716805555552</v>
      </c>
      <c r="E795" s="8" t="s">
        <v>3247</v>
      </c>
      <c r="F795" s="8" t="s">
        <v>3612</v>
      </c>
      <c r="G795" s="8" t="s">
        <v>2565</v>
      </c>
      <c r="H795" s="3">
        <v>39967.686180555553</v>
      </c>
      <c r="L795">
        <f t="shared" si="67"/>
        <v>0</v>
      </c>
      <c r="Q795" t="str">
        <f t="shared" si="68"/>
        <v/>
      </c>
      <c r="R795" t="str">
        <f t="shared" si="69"/>
        <v/>
      </c>
      <c r="S795" t="str">
        <f t="shared" si="70"/>
        <v/>
      </c>
      <c r="U795" s="37" t="s">
        <v>1898</v>
      </c>
      <c r="V795" s="3">
        <v>40179</v>
      </c>
      <c r="W795" s="3">
        <v>40359.958333333336</v>
      </c>
    </row>
    <row r="796" spans="1:23">
      <c r="A796" t="s">
        <v>2847</v>
      </c>
      <c r="C796" t="s">
        <v>2738</v>
      </c>
      <c r="D796" s="3">
        <v>39967.45380787037</v>
      </c>
      <c r="E796" s="8" t="s">
        <v>2848</v>
      </c>
      <c r="F796" s="8" t="s">
        <v>2849</v>
      </c>
      <c r="G796" s="8" t="s">
        <v>2565</v>
      </c>
      <c r="H796" s="3">
        <v>39967.774814814817</v>
      </c>
      <c r="K796">
        <v>1</v>
      </c>
      <c r="L796">
        <f t="shared" si="67"/>
        <v>1</v>
      </c>
      <c r="Q796" t="str">
        <f t="shared" si="68"/>
        <v/>
      </c>
      <c r="R796" t="str">
        <f t="shared" si="69"/>
        <v/>
      </c>
      <c r="S796" t="str">
        <f t="shared" si="70"/>
        <v>TC,602eca2,567c1b5</v>
      </c>
      <c r="U796" s="38" t="s">
        <v>1900</v>
      </c>
      <c r="V796" s="3">
        <v>40634</v>
      </c>
      <c r="W796" s="3">
        <v>40816.958333333336</v>
      </c>
    </row>
    <row r="797" spans="1:23">
      <c r="A797" t="s">
        <v>2774</v>
      </c>
      <c r="C797" t="s">
        <v>2598</v>
      </c>
      <c r="D797" s="3">
        <v>39967.572291666664</v>
      </c>
      <c r="E797" s="8" t="s">
        <v>2775</v>
      </c>
      <c r="F797" s="8" t="s">
        <v>3016</v>
      </c>
      <c r="G797" s="8" t="s">
        <v>2565</v>
      </c>
      <c r="H797" s="3">
        <v>39967.981817129628</v>
      </c>
      <c r="K797">
        <v>1</v>
      </c>
      <c r="L797">
        <f t="shared" si="67"/>
        <v>1</v>
      </c>
      <c r="Q797" t="str">
        <f t="shared" si="68"/>
        <v/>
      </c>
      <c r="R797" t="str">
        <f t="shared" si="69"/>
        <v/>
      </c>
      <c r="S797" t="str">
        <f t="shared" si="70"/>
        <v>TC,cc042a4,6971600</v>
      </c>
    </row>
    <row r="798" spans="1:23">
      <c r="A798" t="s">
        <v>3611</v>
      </c>
      <c r="C798" t="s">
        <v>2565</v>
      </c>
      <c r="D798" s="3">
        <v>39967.686180555553</v>
      </c>
      <c r="E798" s="8" t="s">
        <v>3612</v>
      </c>
      <c r="F798" s="8" t="s">
        <v>3016</v>
      </c>
      <c r="G798" s="8" t="s">
        <v>3683</v>
      </c>
      <c r="H798" s="3">
        <v>39967.981817129628</v>
      </c>
      <c r="K798">
        <v>1</v>
      </c>
      <c r="L798">
        <f t="shared" si="67"/>
        <v>1</v>
      </c>
      <c r="Q798" t="str">
        <f t="shared" si="68"/>
        <v/>
      </c>
      <c r="R798" t="str">
        <f t="shared" si="69"/>
        <v/>
      </c>
      <c r="S798" t="str">
        <f t="shared" si="70"/>
        <v>TC,1843552,6971600</v>
      </c>
    </row>
    <row r="799" spans="1:23">
      <c r="A799" t="s">
        <v>3015</v>
      </c>
      <c r="C799" t="s">
        <v>2565</v>
      </c>
      <c r="D799" s="3">
        <v>39967.981817129628</v>
      </c>
      <c r="E799" s="8" t="s">
        <v>3016</v>
      </c>
      <c r="F799" s="8" t="s">
        <v>3017</v>
      </c>
      <c r="G799" s="8" t="s">
        <v>2562</v>
      </c>
      <c r="H799" s="3">
        <v>39968.944062499999</v>
      </c>
      <c r="L799">
        <f t="shared" si="67"/>
        <v>0</v>
      </c>
      <c r="Q799" t="str">
        <f t="shared" si="68"/>
        <v/>
      </c>
      <c r="R799" t="str">
        <f t="shared" si="69"/>
        <v/>
      </c>
      <c r="S799" t="str">
        <f t="shared" si="70"/>
        <v/>
      </c>
    </row>
    <row r="800" spans="1:23">
      <c r="A800" t="s">
        <v>2826</v>
      </c>
      <c r="C800" t="s">
        <v>2598</v>
      </c>
      <c r="D800" s="3">
        <v>39968.731944444444</v>
      </c>
      <c r="E800" s="8" t="s">
        <v>2827</v>
      </c>
      <c r="F800" s="8" t="s">
        <v>2828</v>
      </c>
      <c r="G800" s="8" t="s">
        <v>2595</v>
      </c>
      <c r="H800" s="3">
        <v>39969.465381944443</v>
      </c>
      <c r="J800">
        <v>1</v>
      </c>
      <c r="L800">
        <f t="shared" si="67"/>
        <v>1</v>
      </c>
      <c r="Q800" t="str">
        <f t="shared" si="68"/>
        <v/>
      </c>
      <c r="R800" t="str">
        <f t="shared" si="69"/>
        <v>BC,37fa554,3e8ced6</v>
      </c>
      <c r="S800" t="str">
        <f t="shared" si="70"/>
        <v/>
      </c>
    </row>
    <row r="801" spans="1:19">
      <c r="A801" t="s">
        <v>3329</v>
      </c>
      <c r="C801" t="s">
        <v>2595</v>
      </c>
      <c r="D801" s="3">
        <v>39969.484212962961</v>
      </c>
      <c r="E801" s="8" t="s">
        <v>2639</v>
      </c>
      <c r="F801" s="8" t="s">
        <v>3330</v>
      </c>
      <c r="G801" s="8" t="s">
        <v>2598</v>
      </c>
      <c r="H801" s="3">
        <v>39969.660821759258</v>
      </c>
      <c r="L801">
        <f t="shared" si="67"/>
        <v>0</v>
      </c>
      <c r="Q801" t="str">
        <f t="shared" si="68"/>
        <v/>
      </c>
      <c r="R801" t="str">
        <f t="shared" si="69"/>
        <v/>
      </c>
      <c r="S801" t="str">
        <f t="shared" si="70"/>
        <v/>
      </c>
    </row>
    <row r="802" spans="1:19">
      <c r="A802" t="s">
        <v>2638</v>
      </c>
      <c r="C802" t="s">
        <v>2595</v>
      </c>
      <c r="D802" s="3">
        <v>39969.484212962961</v>
      </c>
      <c r="E802" s="8" t="s">
        <v>2639</v>
      </c>
      <c r="F802" s="8" t="s">
        <v>2640</v>
      </c>
      <c r="G802" s="8" t="s">
        <v>2565</v>
      </c>
      <c r="H802" s="3">
        <v>39969.822881944441</v>
      </c>
      <c r="L802">
        <f t="shared" si="67"/>
        <v>0</v>
      </c>
      <c r="Q802" t="str">
        <f t="shared" si="68"/>
        <v/>
      </c>
      <c r="R802" t="str">
        <f t="shared" si="69"/>
        <v/>
      </c>
      <c r="S802" t="str">
        <f t="shared" si="70"/>
        <v/>
      </c>
    </row>
    <row r="803" spans="1:19">
      <c r="A803" t="s">
        <v>2667</v>
      </c>
      <c r="C803" t="s">
        <v>2562</v>
      </c>
      <c r="D803" s="3">
        <v>39969.034849537034</v>
      </c>
      <c r="E803" s="8" t="s">
        <v>2668</v>
      </c>
      <c r="F803" s="8" t="s">
        <v>2669</v>
      </c>
      <c r="G803" s="8" t="s">
        <v>2565</v>
      </c>
      <c r="H803" s="3">
        <v>39969.823773148149</v>
      </c>
      <c r="L803">
        <f t="shared" si="67"/>
        <v>0</v>
      </c>
      <c r="Q803" t="str">
        <f t="shared" si="68"/>
        <v/>
      </c>
      <c r="R803" t="str">
        <f t="shared" si="69"/>
        <v/>
      </c>
      <c r="S803" t="str">
        <f t="shared" si="70"/>
        <v/>
      </c>
    </row>
    <row r="804" spans="1:19">
      <c r="A804" t="s">
        <v>2691</v>
      </c>
      <c r="C804" t="s">
        <v>2598</v>
      </c>
      <c r="D804" s="3">
        <v>39969.662928240738</v>
      </c>
      <c r="E804" s="8" t="s">
        <v>2692</v>
      </c>
      <c r="F804" s="8" t="s">
        <v>2693</v>
      </c>
      <c r="G804" s="8" t="s">
        <v>2600</v>
      </c>
      <c r="H804" s="3">
        <v>39971.151180555556</v>
      </c>
      <c r="L804">
        <f t="shared" si="67"/>
        <v>0</v>
      </c>
      <c r="Q804" t="str">
        <f t="shared" si="68"/>
        <v/>
      </c>
      <c r="R804" t="str">
        <f t="shared" si="69"/>
        <v/>
      </c>
      <c r="S804" t="str">
        <f t="shared" si="70"/>
        <v/>
      </c>
    </row>
    <row r="805" spans="1:19">
      <c r="A805" t="s">
        <v>3505</v>
      </c>
      <c r="C805" t="s">
        <v>2562</v>
      </c>
      <c r="D805" s="3">
        <v>39969.937002314815</v>
      </c>
      <c r="E805" s="8" t="s">
        <v>3506</v>
      </c>
      <c r="F805" s="8" t="s">
        <v>2693</v>
      </c>
      <c r="G805" s="8" t="s">
        <v>2600</v>
      </c>
      <c r="H805" s="3">
        <v>39971.151180555556</v>
      </c>
      <c r="L805">
        <f t="shared" si="67"/>
        <v>0</v>
      </c>
      <c r="Q805" t="str">
        <f t="shared" si="68"/>
        <v/>
      </c>
      <c r="R805" t="str">
        <f t="shared" si="69"/>
        <v/>
      </c>
      <c r="S805" t="str">
        <f t="shared" si="70"/>
        <v/>
      </c>
    </row>
    <row r="806" spans="1:19">
      <c r="A806" t="s">
        <v>2594</v>
      </c>
      <c r="C806" t="s">
        <v>2595</v>
      </c>
      <c r="D806" s="3">
        <v>39972.616759259261</v>
      </c>
      <c r="E806" s="8" t="s">
        <v>2596</v>
      </c>
      <c r="F806" s="8" t="s">
        <v>2597</v>
      </c>
      <c r="G806" s="8" t="s">
        <v>2598</v>
      </c>
      <c r="H806" s="3">
        <v>39972.697094907409</v>
      </c>
      <c r="L806">
        <f t="shared" si="67"/>
        <v>0</v>
      </c>
      <c r="Q806" t="str">
        <f t="shared" si="68"/>
        <v/>
      </c>
      <c r="R806" t="str">
        <f t="shared" si="69"/>
        <v/>
      </c>
      <c r="S806" t="str">
        <f t="shared" si="70"/>
        <v/>
      </c>
    </row>
    <row r="807" spans="1:19">
      <c r="A807" t="s">
        <v>2905</v>
      </c>
      <c r="C807" t="s">
        <v>2906</v>
      </c>
      <c r="D807" s="3">
        <v>39973.49454861111</v>
      </c>
      <c r="E807" s="8" t="s">
        <v>2907</v>
      </c>
      <c r="F807" s="8" t="s">
        <v>2908</v>
      </c>
      <c r="G807" s="8" t="s">
        <v>2598</v>
      </c>
      <c r="H807" s="3">
        <v>39973.500462962962</v>
      </c>
      <c r="L807">
        <f t="shared" si="67"/>
        <v>0</v>
      </c>
      <c r="Q807" t="str">
        <f t="shared" si="68"/>
        <v/>
      </c>
      <c r="R807" t="str">
        <f t="shared" si="69"/>
        <v/>
      </c>
      <c r="S807" t="str">
        <f t="shared" si="70"/>
        <v/>
      </c>
    </row>
    <row r="808" spans="1:19">
      <c r="A808" t="s">
        <v>3203</v>
      </c>
      <c r="C808" t="s">
        <v>2598</v>
      </c>
      <c r="D808" s="3">
        <v>39972.697939814818</v>
      </c>
      <c r="E808" s="8" t="s">
        <v>3204</v>
      </c>
      <c r="F808" s="8" t="s">
        <v>3205</v>
      </c>
      <c r="G808" s="8" t="s">
        <v>2600</v>
      </c>
      <c r="H808" s="3">
        <v>39973.527638888889</v>
      </c>
      <c r="L808">
        <f t="shared" si="67"/>
        <v>0</v>
      </c>
      <c r="Q808" t="str">
        <f t="shared" si="68"/>
        <v/>
      </c>
      <c r="R808" t="str">
        <f t="shared" si="69"/>
        <v/>
      </c>
      <c r="S808" t="str">
        <f t="shared" si="70"/>
        <v/>
      </c>
    </row>
    <row r="809" spans="1:19">
      <c r="A809" t="s">
        <v>3248</v>
      </c>
      <c r="C809" t="s">
        <v>2906</v>
      </c>
      <c r="D809" s="3">
        <v>39973.49454861111</v>
      </c>
      <c r="E809" s="8" t="s">
        <v>2907</v>
      </c>
      <c r="F809" s="8" t="s">
        <v>3249</v>
      </c>
      <c r="G809" s="8" t="s">
        <v>2562</v>
      </c>
      <c r="H809" s="3">
        <v>39973.55841435185</v>
      </c>
      <c r="L809">
        <f t="shared" si="67"/>
        <v>0</v>
      </c>
      <c r="Q809" t="str">
        <f t="shared" si="68"/>
        <v/>
      </c>
      <c r="R809" t="str">
        <f t="shared" si="69"/>
        <v/>
      </c>
      <c r="S809" t="str">
        <f t="shared" si="70"/>
        <v/>
      </c>
    </row>
    <row r="810" spans="1:19">
      <c r="A810" t="s">
        <v>3307</v>
      </c>
      <c r="C810" t="s">
        <v>2565</v>
      </c>
      <c r="D810" s="3">
        <v>39971.936145833337</v>
      </c>
      <c r="E810" s="8" t="s">
        <v>3308</v>
      </c>
      <c r="F810" s="8" t="s">
        <v>3309</v>
      </c>
      <c r="G810" s="8" t="s">
        <v>2595</v>
      </c>
      <c r="H810" s="3">
        <v>39973.958877314813</v>
      </c>
      <c r="L810">
        <f t="shared" si="67"/>
        <v>0</v>
      </c>
      <c r="Q810" t="str">
        <f t="shared" si="68"/>
        <v/>
      </c>
      <c r="R810" t="str">
        <f t="shared" si="69"/>
        <v/>
      </c>
      <c r="S810" t="str">
        <f t="shared" si="70"/>
        <v/>
      </c>
    </row>
    <row r="811" spans="1:19">
      <c r="A811" t="s">
        <v>3364</v>
      </c>
      <c r="C811" t="s">
        <v>2565</v>
      </c>
      <c r="D811" s="3">
        <v>39974.015289351853</v>
      </c>
      <c r="E811" s="8" t="s">
        <v>3365</v>
      </c>
      <c r="F811" s="8" t="s">
        <v>3366</v>
      </c>
      <c r="G811" s="8" t="s">
        <v>2595</v>
      </c>
      <c r="H811" s="3">
        <v>39974.189386574071</v>
      </c>
      <c r="L811">
        <f t="shared" si="67"/>
        <v>0</v>
      </c>
      <c r="Q811" t="str">
        <f t="shared" si="68"/>
        <v/>
      </c>
      <c r="R811" t="str">
        <f t="shared" si="69"/>
        <v/>
      </c>
      <c r="S811" t="str">
        <f t="shared" si="70"/>
        <v/>
      </c>
    </row>
    <row r="812" spans="1:19">
      <c r="A812" t="s">
        <v>3507</v>
      </c>
      <c r="C812" t="s">
        <v>2598</v>
      </c>
      <c r="D812" s="3">
        <v>39973.671180555553</v>
      </c>
      <c r="E812" s="8" t="s">
        <v>3508</v>
      </c>
      <c r="F812" s="8" t="s">
        <v>3366</v>
      </c>
      <c r="G812" s="8" t="s">
        <v>2595</v>
      </c>
      <c r="H812" s="3">
        <v>39974.189386574071</v>
      </c>
      <c r="L812">
        <f t="shared" si="67"/>
        <v>0</v>
      </c>
      <c r="Q812" t="str">
        <f t="shared" si="68"/>
        <v/>
      </c>
      <c r="R812" t="str">
        <f t="shared" si="69"/>
        <v/>
      </c>
      <c r="S812" t="str">
        <f t="shared" si="70"/>
        <v/>
      </c>
    </row>
    <row r="813" spans="1:19">
      <c r="A813" t="s">
        <v>2726</v>
      </c>
      <c r="C813" t="s">
        <v>2565</v>
      </c>
      <c r="D813" s="3">
        <v>39974.426770833335</v>
      </c>
      <c r="E813" s="8" t="s">
        <v>2727</v>
      </c>
      <c r="F813" s="8" t="s">
        <v>2728</v>
      </c>
      <c r="G813" s="8" t="s">
        <v>2598</v>
      </c>
      <c r="H813" s="3">
        <v>39974.599652777775</v>
      </c>
      <c r="L813">
        <f t="shared" si="67"/>
        <v>0</v>
      </c>
      <c r="Q813" t="str">
        <f t="shared" si="68"/>
        <v/>
      </c>
      <c r="R813" t="str">
        <f t="shared" si="69"/>
        <v/>
      </c>
      <c r="S813" t="str">
        <f t="shared" si="70"/>
        <v/>
      </c>
    </row>
    <row r="814" spans="1:19">
      <c r="A814" t="s">
        <v>2641</v>
      </c>
      <c r="C814" t="s">
        <v>2598</v>
      </c>
      <c r="D814" s="3">
        <v>39976.692731481482</v>
      </c>
      <c r="E814" s="8" t="s">
        <v>2642</v>
      </c>
      <c r="F814" s="8" t="s">
        <v>2643</v>
      </c>
      <c r="G814" s="8" t="s">
        <v>2565</v>
      </c>
      <c r="H814" s="3">
        <v>39978.836168981485</v>
      </c>
      <c r="L814">
        <f t="shared" si="67"/>
        <v>0</v>
      </c>
      <c r="Q814" t="str">
        <f t="shared" si="68"/>
        <v/>
      </c>
      <c r="R814" t="str">
        <f t="shared" si="69"/>
        <v/>
      </c>
      <c r="S814" t="str">
        <f t="shared" si="70"/>
        <v/>
      </c>
    </row>
    <row r="815" spans="1:19">
      <c r="A815" t="s">
        <v>2909</v>
      </c>
      <c r="C815" t="s">
        <v>2598</v>
      </c>
      <c r="D815" s="3">
        <v>39979.367800925924</v>
      </c>
      <c r="E815" s="8" t="s">
        <v>2910</v>
      </c>
      <c r="F815" s="8" t="s">
        <v>2911</v>
      </c>
      <c r="G815" s="8" t="s">
        <v>2595</v>
      </c>
      <c r="H815" s="3">
        <v>39979.477083333331</v>
      </c>
      <c r="L815">
        <f t="shared" si="67"/>
        <v>0</v>
      </c>
      <c r="Q815" t="str">
        <f t="shared" si="68"/>
        <v/>
      </c>
      <c r="R815" t="str">
        <f t="shared" si="69"/>
        <v/>
      </c>
      <c r="S815" t="str">
        <f t="shared" si="70"/>
        <v/>
      </c>
    </row>
    <row r="816" spans="1:19">
      <c r="A816" t="s">
        <v>3509</v>
      </c>
      <c r="C816" t="s">
        <v>2562</v>
      </c>
      <c r="D816" s="3">
        <v>39973.644201388888</v>
      </c>
      <c r="E816" s="8" t="s">
        <v>3510</v>
      </c>
      <c r="F816" s="8" t="s">
        <v>2911</v>
      </c>
      <c r="G816" s="8" t="s">
        <v>2595</v>
      </c>
      <c r="H816" s="3">
        <v>39979.477083333331</v>
      </c>
      <c r="L816">
        <f t="shared" si="67"/>
        <v>0</v>
      </c>
      <c r="Q816" t="str">
        <f t="shared" si="68"/>
        <v/>
      </c>
      <c r="R816" t="str">
        <f t="shared" si="69"/>
        <v/>
      </c>
      <c r="S816" t="str">
        <f t="shared" si="70"/>
        <v/>
      </c>
    </row>
    <row r="817" spans="1:19">
      <c r="A817" t="s">
        <v>3440</v>
      </c>
      <c r="C817" t="s">
        <v>2600</v>
      </c>
      <c r="D817" s="3">
        <v>39982.375254629631</v>
      </c>
      <c r="E817" s="8" t="s">
        <v>3441</v>
      </c>
      <c r="F817" s="8" t="s">
        <v>3442</v>
      </c>
      <c r="G817" s="8" t="s">
        <v>2906</v>
      </c>
      <c r="H817" s="3">
        <v>39982.438738425924</v>
      </c>
      <c r="L817">
        <f t="shared" si="67"/>
        <v>0</v>
      </c>
      <c r="Q817" t="str">
        <f t="shared" si="68"/>
        <v/>
      </c>
      <c r="R817" t="str">
        <f t="shared" si="69"/>
        <v/>
      </c>
      <c r="S817" t="str">
        <f t="shared" si="70"/>
        <v/>
      </c>
    </row>
    <row r="818" spans="1:19">
      <c r="A818" t="s">
        <v>3627</v>
      </c>
      <c r="C818" t="s">
        <v>2562</v>
      </c>
      <c r="D818" s="3">
        <v>39980.491215277776</v>
      </c>
      <c r="E818" s="8" t="s">
        <v>3628</v>
      </c>
      <c r="F818" s="8" t="s">
        <v>3629</v>
      </c>
      <c r="G818" s="8" t="s">
        <v>2598</v>
      </c>
      <c r="H818" s="3">
        <v>39982.633645833332</v>
      </c>
      <c r="L818">
        <f t="shared" si="67"/>
        <v>0</v>
      </c>
      <c r="Q818" t="str">
        <f t="shared" si="68"/>
        <v/>
      </c>
      <c r="R818" t="str">
        <f t="shared" si="69"/>
        <v/>
      </c>
      <c r="S818" t="str">
        <f t="shared" si="70"/>
        <v/>
      </c>
    </row>
    <row r="819" spans="1:19">
      <c r="A819" t="s">
        <v>3038</v>
      </c>
      <c r="C819" t="s">
        <v>2598</v>
      </c>
      <c r="D819" s="3">
        <v>39983.394201388888</v>
      </c>
      <c r="E819" s="8" t="s">
        <v>3039</v>
      </c>
      <c r="F819" s="8" t="s">
        <v>3040</v>
      </c>
      <c r="G819" s="8" t="s">
        <v>2565</v>
      </c>
      <c r="H819" s="3">
        <v>39984.606365740743</v>
      </c>
      <c r="J819">
        <v>1</v>
      </c>
      <c r="L819">
        <f t="shared" si="67"/>
        <v>1</v>
      </c>
      <c r="Q819" t="str">
        <f t="shared" si="68"/>
        <v/>
      </c>
      <c r="R819" t="str">
        <f t="shared" si="69"/>
        <v>BC,d6afc5b,7033e0f</v>
      </c>
      <c r="S819" t="str">
        <f t="shared" si="70"/>
        <v/>
      </c>
    </row>
    <row r="820" spans="1:19">
      <c r="A820" t="s">
        <v>2931</v>
      </c>
      <c r="C820" t="s">
        <v>2598</v>
      </c>
      <c r="D820" s="3">
        <v>39983.407569444447</v>
      </c>
      <c r="E820" s="8" t="s">
        <v>2932</v>
      </c>
      <c r="F820" s="8" t="s">
        <v>2933</v>
      </c>
      <c r="G820" s="8" t="s">
        <v>2565</v>
      </c>
      <c r="H820" s="3">
        <v>39985.940601851849</v>
      </c>
      <c r="L820">
        <f t="shared" si="67"/>
        <v>0</v>
      </c>
      <c r="Q820" t="str">
        <f t="shared" si="68"/>
        <v/>
      </c>
      <c r="R820" t="str">
        <f t="shared" si="69"/>
        <v/>
      </c>
      <c r="S820" t="str">
        <f t="shared" si="70"/>
        <v/>
      </c>
    </row>
    <row r="821" spans="1:19">
      <c r="A821" t="s">
        <v>2729</v>
      </c>
      <c r="C821" t="s">
        <v>2598</v>
      </c>
      <c r="D821" s="3">
        <v>39987.386284722219</v>
      </c>
      <c r="E821" s="8" t="s">
        <v>2730</v>
      </c>
      <c r="F821" s="8" t="s">
        <v>2731</v>
      </c>
      <c r="G821" s="8" t="s">
        <v>2565</v>
      </c>
      <c r="H821" s="3">
        <v>39987.507118055553</v>
      </c>
      <c r="L821">
        <f t="shared" si="67"/>
        <v>0</v>
      </c>
      <c r="Q821" t="str">
        <f t="shared" si="68"/>
        <v/>
      </c>
      <c r="R821" t="str">
        <f t="shared" si="69"/>
        <v/>
      </c>
      <c r="S821" t="str">
        <f t="shared" si="70"/>
        <v/>
      </c>
    </row>
    <row r="822" spans="1:19">
      <c r="A822" t="s">
        <v>3367</v>
      </c>
      <c r="C822" t="s">
        <v>3368</v>
      </c>
      <c r="D822" s="3">
        <v>39982.439421296294</v>
      </c>
      <c r="E822" s="8" t="s">
        <v>3369</v>
      </c>
      <c r="F822" s="8" t="s">
        <v>3370</v>
      </c>
      <c r="G822" s="8" t="s">
        <v>2570</v>
      </c>
      <c r="H822" s="3">
        <v>39987.765798611108</v>
      </c>
      <c r="L822">
        <f t="shared" si="67"/>
        <v>0</v>
      </c>
      <c r="Q822" t="str">
        <f t="shared" si="68"/>
        <v/>
      </c>
      <c r="R822" t="str">
        <f t="shared" si="69"/>
        <v/>
      </c>
      <c r="S822" t="str">
        <f t="shared" si="70"/>
        <v/>
      </c>
    </row>
    <row r="823" spans="1:19">
      <c r="A823" t="s">
        <v>2670</v>
      </c>
      <c r="C823" t="s">
        <v>2562</v>
      </c>
      <c r="D823" s="3">
        <v>39982.678703703707</v>
      </c>
      <c r="E823" s="8" t="s">
        <v>2671</v>
      </c>
      <c r="F823" s="8" t="s">
        <v>2672</v>
      </c>
      <c r="G823" s="8" t="s">
        <v>2600</v>
      </c>
      <c r="H823" s="3">
        <v>39989.794236111113</v>
      </c>
      <c r="I823">
        <v>1</v>
      </c>
      <c r="L823">
        <f t="shared" si="67"/>
        <v>1</v>
      </c>
      <c r="Q823" t="str">
        <f t="shared" si="68"/>
        <v>MC,f946d4a,bbd884a</v>
      </c>
      <c r="R823" t="str">
        <f t="shared" si="69"/>
        <v/>
      </c>
      <c r="S823" t="str">
        <f t="shared" si="70"/>
        <v/>
      </c>
    </row>
    <row r="824" spans="1:19">
      <c r="A824" t="s">
        <v>2871</v>
      </c>
      <c r="C824" t="s">
        <v>2600</v>
      </c>
      <c r="D824" s="3">
        <v>39989.794236111113</v>
      </c>
      <c r="E824" s="8" t="s">
        <v>2672</v>
      </c>
      <c r="F824" s="8" t="s">
        <v>2872</v>
      </c>
      <c r="G824" s="8" t="s">
        <v>2570</v>
      </c>
      <c r="H824" s="3">
        <v>39990.558298611111</v>
      </c>
      <c r="L824">
        <f t="shared" si="67"/>
        <v>0</v>
      </c>
      <c r="Q824" t="str">
        <f t="shared" si="68"/>
        <v/>
      </c>
      <c r="R824" t="str">
        <f t="shared" si="69"/>
        <v/>
      </c>
      <c r="S824" t="str">
        <f t="shared" si="70"/>
        <v/>
      </c>
    </row>
    <row r="825" spans="1:19">
      <c r="A825" t="s">
        <v>2787</v>
      </c>
      <c r="C825" t="s">
        <v>2738</v>
      </c>
      <c r="D825" s="3">
        <v>39987.571875000001</v>
      </c>
      <c r="E825" s="8" t="s">
        <v>2788</v>
      </c>
      <c r="F825" s="8" t="s">
        <v>2789</v>
      </c>
      <c r="G825" s="8" t="s">
        <v>2570</v>
      </c>
      <c r="H825" s="3">
        <v>39990.565439814818</v>
      </c>
      <c r="I825">
        <v>1</v>
      </c>
      <c r="L825">
        <f t="shared" si="67"/>
        <v>1</v>
      </c>
      <c r="Q825" t="str">
        <f t="shared" si="68"/>
        <v>MC,4d3a194,3d1c22f</v>
      </c>
      <c r="R825" t="str">
        <f t="shared" si="69"/>
        <v/>
      </c>
      <c r="S825" t="str">
        <f t="shared" si="70"/>
        <v/>
      </c>
    </row>
    <row r="826" spans="1:19">
      <c r="A826" t="s">
        <v>3029</v>
      </c>
      <c r="C826" t="s">
        <v>2570</v>
      </c>
      <c r="D826" s="3">
        <v>39990.565439814818</v>
      </c>
      <c r="E826" s="8" t="s">
        <v>2789</v>
      </c>
      <c r="F826" s="8" t="s">
        <v>3030</v>
      </c>
      <c r="G826" s="8" t="s">
        <v>2562</v>
      </c>
      <c r="H826" s="3">
        <v>39990.918229166666</v>
      </c>
      <c r="J826">
        <v>1</v>
      </c>
      <c r="L826">
        <f t="shared" si="67"/>
        <v>1</v>
      </c>
      <c r="Q826" t="str">
        <f t="shared" si="68"/>
        <v/>
      </c>
      <c r="R826" t="str">
        <f t="shared" si="69"/>
        <v>BC,3d1c22f,3f7d24c</v>
      </c>
      <c r="S826" t="str">
        <f t="shared" si="70"/>
        <v/>
      </c>
    </row>
    <row r="827" spans="1:19">
      <c r="A827" t="s">
        <v>2694</v>
      </c>
      <c r="C827" t="s">
        <v>2562</v>
      </c>
      <c r="D827" s="3">
        <v>39990.958229166667</v>
      </c>
      <c r="E827" s="8" t="s">
        <v>2695</v>
      </c>
      <c r="F827" s="8" t="s">
        <v>2696</v>
      </c>
      <c r="G827" s="8" t="s">
        <v>2570</v>
      </c>
      <c r="H827" s="3">
        <v>39993.519733796296</v>
      </c>
      <c r="L827">
        <f t="shared" si="67"/>
        <v>0</v>
      </c>
      <c r="Q827" t="str">
        <f t="shared" si="68"/>
        <v/>
      </c>
      <c r="R827" t="str">
        <f t="shared" si="69"/>
        <v/>
      </c>
      <c r="S827" t="str">
        <f t="shared" si="70"/>
        <v/>
      </c>
    </row>
    <row r="828" spans="1:19">
      <c r="A828" s="1" t="s">
        <v>3459</v>
      </c>
      <c r="C828" t="s">
        <v>3460</v>
      </c>
      <c r="D828" s="3">
        <v>39996.777442129627</v>
      </c>
      <c r="E828" s="8" t="s">
        <v>3461</v>
      </c>
      <c r="F828" s="8" t="s">
        <v>3462</v>
      </c>
      <c r="G828" s="8" t="s">
        <v>2600</v>
      </c>
      <c r="H828" s="3">
        <v>40000.000567129631</v>
      </c>
      <c r="L828">
        <f t="shared" si="67"/>
        <v>0</v>
      </c>
      <c r="Q828" t="str">
        <f t="shared" si="68"/>
        <v/>
      </c>
      <c r="R828" t="str">
        <f t="shared" si="69"/>
        <v/>
      </c>
      <c r="S828" t="str">
        <f t="shared" si="70"/>
        <v/>
      </c>
    </row>
    <row r="829" spans="1:19">
      <c r="A829" t="s">
        <v>3555</v>
      </c>
      <c r="C829" t="s">
        <v>2806</v>
      </c>
      <c r="D829" s="3">
        <v>39998.822534722225</v>
      </c>
      <c r="E829" s="8" t="s">
        <v>3556</v>
      </c>
      <c r="F829" s="8" t="s">
        <v>3675</v>
      </c>
      <c r="G829" s="8" t="s">
        <v>2565</v>
      </c>
      <c r="H829" s="3">
        <v>40002.799675925926</v>
      </c>
      <c r="L829">
        <f t="shared" si="67"/>
        <v>0</v>
      </c>
      <c r="Q829" t="str">
        <f t="shared" si="68"/>
        <v/>
      </c>
      <c r="R829" t="str">
        <f t="shared" si="69"/>
        <v/>
      </c>
      <c r="S829" t="str">
        <f t="shared" si="70"/>
        <v/>
      </c>
    </row>
    <row r="830" spans="1:19">
      <c r="A830" t="s">
        <v>2805</v>
      </c>
      <c r="C830" t="s">
        <v>2806</v>
      </c>
      <c r="D830" s="3">
        <v>39998.787175925929</v>
      </c>
      <c r="E830" s="8" t="s">
        <v>2807</v>
      </c>
      <c r="F830" s="8" t="s">
        <v>2808</v>
      </c>
      <c r="G830" s="8" t="s">
        <v>2565</v>
      </c>
      <c r="H830" s="3">
        <v>40002.91615740741</v>
      </c>
      <c r="L830">
        <f t="shared" si="67"/>
        <v>0</v>
      </c>
      <c r="Q830" t="str">
        <f t="shared" si="68"/>
        <v/>
      </c>
      <c r="R830" t="str">
        <f t="shared" si="69"/>
        <v/>
      </c>
      <c r="S830" t="str">
        <f t="shared" si="70"/>
        <v/>
      </c>
    </row>
    <row r="831" spans="1:19">
      <c r="A831" t="s">
        <v>3348</v>
      </c>
      <c r="C831" t="s">
        <v>2565</v>
      </c>
      <c r="D831" s="3">
        <v>40007.399004629631</v>
      </c>
      <c r="E831" s="8" t="s">
        <v>3349</v>
      </c>
      <c r="F831" s="8" t="s">
        <v>3350</v>
      </c>
      <c r="G831" s="8" t="s">
        <v>2570</v>
      </c>
      <c r="H831" s="3">
        <v>40007.741018518522</v>
      </c>
      <c r="J831">
        <v>1</v>
      </c>
      <c r="L831">
        <f t="shared" si="67"/>
        <v>1</v>
      </c>
      <c r="Q831" t="str">
        <f t="shared" si="68"/>
        <v/>
      </c>
      <c r="R831" t="str">
        <f t="shared" si="69"/>
        <v>BC,abe83aa,6cf307a</v>
      </c>
      <c r="S831" t="str">
        <f t="shared" si="70"/>
        <v/>
      </c>
    </row>
    <row r="832" spans="1:19">
      <c r="A832" t="s">
        <v>2832</v>
      </c>
      <c r="C832" t="s">
        <v>2598</v>
      </c>
      <c r="D832" s="3">
        <v>40008.607604166667</v>
      </c>
      <c r="E832" s="8" t="s">
        <v>2833</v>
      </c>
      <c r="F832" s="8" t="s">
        <v>3664</v>
      </c>
      <c r="G832" s="8" t="s">
        <v>2565</v>
      </c>
      <c r="H832" s="3">
        <v>40012.712187500001</v>
      </c>
      <c r="L832">
        <f t="shared" si="67"/>
        <v>0</v>
      </c>
      <c r="Q832" t="str">
        <f t="shared" si="68"/>
        <v/>
      </c>
      <c r="R832" t="str">
        <f t="shared" si="69"/>
        <v/>
      </c>
      <c r="S832" t="str">
        <f t="shared" si="70"/>
        <v/>
      </c>
    </row>
    <row r="833" spans="1:19">
      <c r="A833" t="s">
        <v>3218</v>
      </c>
      <c r="C833" t="s">
        <v>2598</v>
      </c>
      <c r="D833" s="3">
        <v>40014.445763888885</v>
      </c>
      <c r="E833" s="8" t="s">
        <v>3219</v>
      </c>
      <c r="F833" s="8" t="s">
        <v>3220</v>
      </c>
      <c r="G833" s="8" t="s">
        <v>3686</v>
      </c>
      <c r="H833" s="3">
        <v>40014.647696759261</v>
      </c>
      <c r="L833">
        <f t="shared" si="67"/>
        <v>0</v>
      </c>
      <c r="Q833" t="str">
        <f t="shared" si="68"/>
        <v/>
      </c>
      <c r="R833" t="str">
        <f t="shared" si="69"/>
        <v/>
      </c>
      <c r="S833" t="str">
        <f t="shared" si="70"/>
        <v/>
      </c>
    </row>
    <row r="834" spans="1:19">
      <c r="A834" t="s">
        <v>2697</v>
      </c>
      <c r="C834" t="s">
        <v>2562</v>
      </c>
      <c r="D834" s="3">
        <v>39994.413518518515</v>
      </c>
      <c r="E834" s="8" t="s">
        <v>2698</v>
      </c>
      <c r="F834" s="8" t="s">
        <v>2699</v>
      </c>
      <c r="G834" s="8" t="s">
        <v>2598</v>
      </c>
      <c r="H834" s="3">
        <v>40014.653124999997</v>
      </c>
      <c r="L834">
        <f t="shared" si="67"/>
        <v>0</v>
      </c>
      <c r="Q834" t="str">
        <f t="shared" si="68"/>
        <v/>
      </c>
      <c r="R834" t="str">
        <f t="shared" si="69"/>
        <v/>
      </c>
      <c r="S834" t="str">
        <f t="shared" si="70"/>
        <v/>
      </c>
    </row>
    <row r="835" spans="1:19">
      <c r="A835" t="s">
        <v>2561</v>
      </c>
      <c r="C835" t="s">
        <v>2562</v>
      </c>
      <c r="D835" s="3">
        <v>40017.445868055554</v>
      </c>
      <c r="E835" s="8" t="s">
        <v>2563</v>
      </c>
      <c r="F835" s="8" t="s">
        <v>2564</v>
      </c>
      <c r="G835" s="8" t="s">
        <v>3683</v>
      </c>
      <c r="H835" s="3">
        <v>40021.86277777778</v>
      </c>
      <c r="L835">
        <f t="shared" si="67"/>
        <v>0</v>
      </c>
      <c r="Q835" t="str">
        <f t="shared" si="68"/>
        <v/>
      </c>
      <c r="R835" t="str">
        <f t="shared" si="69"/>
        <v/>
      </c>
      <c r="S835" t="str">
        <f t="shared" si="70"/>
        <v/>
      </c>
    </row>
    <row r="836" spans="1:19">
      <c r="A836" t="s">
        <v>3613</v>
      </c>
      <c r="C836" t="s">
        <v>2565</v>
      </c>
      <c r="D836" s="3">
        <v>40017.991736111115</v>
      </c>
      <c r="E836" s="8" t="s">
        <v>3614</v>
      </c>
      <c r="F836" s="8" t="s">
        <v>3615</v>
      </c>
      <c r="G836" s="8" t="s">
        <v>3683</v>
      </c>
      <c r="H836" s="3">
        <v>40023.391030092593</v>
      </c>
      <c r="I836">
        <v>1</v>
      </c>
      <c r="L836">
        <f t="shared" si="67"/>
        <v>1</v>
      </c>
      <c r="Q836" t="str">
        <f t="shared" si="68"/>
        <v>MC,2c3c944,927373b</v>
      </c>
      <c r="R836" t="str">
        <f t="shared" si="69"/>
        <v/>
      </c>
      <c r="S836" t="str">
        <f t="shared" si="70"/>
        <v/>
      </c>
    </row>
    <row r="837" spans="1:19">
      <c r="A837" t="s">
        <v>2732</v>
      </c>
      <c r="C837" t="s">
        <v>2562</v>
      </c>
      <c r="D837" s="3">
        <v>40026.958113425928</v>
      </c>
      <c r="E837" s="8" t="s">
        <v>2733</v>
      </c>
      <c r="F837" s="8" t="s">
        <v>2734</v>
      </c>
      <c r="G837" s="8" t="s">
        <v>2600</v>
      </c>
      <c r="H837" s="3">
        <v>40039.826319444444</v>
      </c>
      <c r="L837">
        <f t="shared" si="67"/>
        <v>0</v>
      </c>
      <c r="Q837" t="str">
        <f t="shared" si="68"/>
        <v/>
      </c>
      <c r="R837" t="str">
        <f t="shared" si="69"/>
        <v/>
      </c>
      <c r="S837" t="str">
        <f t="shared" si="70"/>
        <v/>
      </c>
    </row>
    <row r="838" spans="1:19">
      <c r="A838" t="s">
        <v>3331</v>
      </c>
      <c r="C838" t="s">
        <v>2565</v>
      </c>
      <c r="D838" s="3">
        <v>40027.710601851853</v>
      </c>
      <c r="E838" s="8" t="s">
        <v>3332</v>
      </c>
      <c r="F838" s="8" t="s">
        <v>3333</v>
      </c>
      <c r="G838" s="8" t="s">
        <v>3683</v>
      </c>
      <c r="H838" s="3">
        <v>40050.616273148145</v>
      </c>
      <c r="L838">
        <f t="shared" si="67"/>
        <v>0</v>
      </c>
      <c r="Q838" t="str">
        <f t="shared" si="68"/>
        <v/>
      </c>
      <c r="R838" t="str">
        <f t="shared" si="69"/>
        <v/>
      </c>
      <c r="S838" t="str">
        <f t="shared" si="70"/>
        <v/>
      </c>
    </row>
    <row r="839" spans="1:19">
      <c r="A839" t="s">
        <v>3592</v>
      </c>
      <c r="C839" t="s">
        <v>2565</v>
      </c>
      <c r="D839" s="3">
        <v>40050.633402777778</v>
      </c>
      <c r="E839" s="8" t="s">
        <v>3593</v>
      </c>
      <c r="F839" s="8" t="s">
        <v>3313</v>
      </c>
      <c r="G839" s="8" t="s">
        <v>3683</v>
      </c>
      <c r="H839" s="3">
        <v>40050.674895833334</v>
      </c>
      <c r="K839">
        <v>1</v>
      </c>
      <c r="L839">
        <f t="shared" si="67"/>
        <v>1</v>
      </c>
      <c r="Q839" t="str">
        <f t="shared" si="68"/>
        <v/>
      </c>
      <c r="R839" t="str">
        <f t="shared" si="69"/>
        <v/>
      </c>
      <c r="S839" t="str">
        <f t="shared" si="70"/>
        <v>TC,df55c74,8a1a068</v>
      </c>
    </row>
    <row r="840" spans="1:19">
      <c r="A840" t="s">
        <v>3310</v>
      </c>
      <c r="C840" t="s">
        <v>3311</v>
      </c>
      <c r="D840" s="3">
        <v>40045.660590277781</v>
      </c>
      <c r="E840" s="8" t="s">
        <v>3312</v>
      </c>
      <c r="F840" s="8" t="s">
        <v>3313</v>
      </c>
      <c r="G840" s="8" t="s">
        <v>2565</v>
      </c>
      <c r="H840" s="3">
        <v>40050.674895833334</v>
      </c>
      <c r="L840">
        <f t="shared" si="67"/>
        <v>0</v>
      </c>
      <c r="Q840" t="str">
        <f t="shared" si="68"/>
        <v/>
      </c>
      <c r="R840" t="str">
        <f t="shared" si="69"/>
        <v/>
      </c>
      <c r="S840" t="str">
        <f t="shared" si="70"/>
        <v/>
      </c>
    </row>
    <row r="841" spans="1:19">
      <c r="A841" t="s">
        <v>3250</v>
      </c>
      <c r="C841" t="s">
        <v>2570</v>
      </c>
      <c r="D841" s="3">
        <v>39993.48364583333</v>
      </c>
      <c r="E841" s="8" t="s">
        <v>3251</v>
      </c>
      <c r="F841" s="8" t="s">
        <v>3252</v>
      </c>
      <c r="G841" s="8" t="s">
        <v>2565</v>
      </c>
      <c r="H841" s="3">
        <v>40052.621238425927</v>
      </c>
      <c r="I841">
        <v>1</v>
      </c>
      <c r="L841">
        <f t="shared" si="67"/>
        <v>1</v>
      </c>
      <c r="Q841" t="str">
        <f t="shared" si="68"/>
        <v>MC,adeef97,bb6064a</v>
      </c>
      <c r="R841" t="str">
        <f t="shared" si="69"/>
        <v/>
      </c>
      <c r="S841" t="str">
        <f t="shared" si="70"/>
        <v/>
      </c>
    </row>
    <row r="842" spans="1:19">
      <c r="A842" t="s">
        <v>3351</v>
      </c>
      <c r="C842" t="s">
        <v>3352</v>
      </c>
      <c r="D842" s="3">
        <v>40060.504652777781</v>
      </c>
      <c r="E842" s="8" t="s">
        <v>3353</v>
      </c>
      <c r="F842" s="8" t="s">
        <v>3354</v>
      </c>
      <c r="G842" s="8" t="s">
        <v>2600</v>
      </c>
      <c r="H842" s="3">
        <v>40073.318831018521</v>
      </c>
      <c r="K842">
        <v>1</v>
      </c>
      <c r="L842">
        <f t="shared" si="67"/>
        <v>1</v>
      </c>
      <c r="Q842" t="str">
        <f t="shared" si="68"/>
        <v/>
      </c>
      <c r="R842" t="str">
        <f t="shared" si="69"/>
        <v/>
      </c>
      <c r="S842" t="str">
        <f t="shared" si="70"/>
        <v>TC,414bbde,812604c</v>
      </c>
    </row>
    <row r="843" spans="1:19">
      <c r="A843" t="s">
        <v>3041</v>
      </c>
      <c r="C843" t="s">
        <v>2570</v>
      </c>
      <c r="D843" s="3">
        <v>40070.741481481484</v>
      </c>
      <c r="E843" s="8" t="s">
        <v>3042</v>
      </c>
      <c r="F843" s="8" t="s">
        <v>3043</v>
      </c>
      <c r="G843" s="8" t="s">
        <v>2600</v>
      </c>
      <c r="H843" s="3">
        <v>40077.386250000003</v>
      </c>
      <c r="K843">
        <v>1</v>
      </c>
      <c r="L843">
        <f t="shared" si="67"/>
        <v>1</v>
      </c>
      <c r="Q843" t="str">
        <f t="shared" si="68"/>
        <v/>
      </c>
      <c r="R843" t="str">
        <f t="shared" si="69"/>
        <v/>
      </c>
      <c r="S843" t="str">
        <f t="shared" si="70"/>
        <v>TC,f318a72,efcdd26</v>
      </c>
    </row>
    <row r="844" spans="1:19">
      <c r="A844" t="s">
        <v>2673</v>
      </c>
      <c r="C844" t="s">
        <v>2565</v>
      </c>
      <c r="D844" s="3">
        <v>40050.692743055559</v>
      </c>
      <c r="E844" s="8" t="s">
        <v>2674</v>
      </c>
      <c r="F844" s="8" t="s">
        <v>2675</v>
      </c>
      <c r="G844" s="8" t="s">
        <v>3683</v>
      </c>
      <c r="H844" s="3">
        <v>40082.540995370371</v>
      </c>
      <c r="L844">
        <f t="shared" si="67"/>
        <v>0</v>
      </c>
      <c r="Q844" t="str">
        <f t="shared" si="68"/>
        <v/>
      </c>
      <c r="R844" t="str">
        <f t="shared" si="69"/>
        <v/>
      </c>
      <c r="S844" t="str">
        <f t="shared" si="70"/>
        <v/>
      </c>
    </row>
    <row r="845" spans="1:19">
      <c r="A845" t="s">
        <v>3188</v>
      </c>
      <c r="C845" t="s">
        <v>2565</v>
      </c>
      <c r="D845" s="3">
        <v>40050.692743055559</v>
      </c>
      <c r="E845" s="8" t="s">
        <v>2674</v>
      </c>
      <c r="F845" s="8" t="s">
        <v>2675</v>
      </c>
      <c r="G845" s="8" t="s">
        <v>3683</v>
      </c>
      <c r="H845" s="3">
        <v>40082.540995370371</v>
      </c>
      <c r="L845">
        <f t="shared" si="67"/>
        <v>0</v>
      </c>
      <c r="Q845" t="str">
        <f t="shared" si="68"/>
        <v/>
      </c>
      <c r="R845" t="str">
        <f t="shared" si="69"/>
        <v/>
      </c>
      <c r="S845" t="str">
        <f t="shared" si="70"/>
        <v/>
      </c>
    </row>
    <row r="846" spans="1:19">
      <c r="A846" t="s">
        <v>2575</v>
      </c>
      <c r="C846" t="s">
        <v>2570</v>
      </c>
      <c r="D846" s="3">
        <v>40091.804525462961</v>
      </c>
      <c r="E846" s="8" t="s">
        <v>2576</v>
      </c>
      <c r="F846" s="8" t="s">
        <v>2577</v>
      </c>
      <c r="G846" s="8" t="s">
        <v>3678</v>
      </c>
      <c r="H846" s="3">
        <v>40092.453402777777</v>
      </c>
      <c r="L846">
        <f t="shared" si="67"/>
        <v>0</v>
      </c>
      <c r="Q846" t="str">
        <f t="shared" si="68"/>
        <v/>
      </c>
      <c r="R846" t="str">
        <f t="shared" si="69"/>
        <v/>
      </c>
      <c r="S846" t="str">
        <f t="shared" si="70"/>
        <v/>
      </c>
    </row>
    <row r="847" spans="1:19">
      <c r="A847" t="s">
        <v>2614</v>
      </c>
      <c r="C847" t="s">
        <v>2562</v>
      </c>
      <c r="D847" s="3">
        <v>40081.717974537038</v>
      </c>
      <c r="E847" s="8" t="s">
        <v>2615</v>
      </c>
      <c r="F847" s="8" t="s">
        <v>2616</v>
      </c>
      <c r="G847" s="8" t="s">
        <v>2570</v>
      </c>
      <c r="H847" s="3">
        <v>40093.672546296293</v>
      </c>
      <c r="I847">
        <v>1</v>
      </c>
      <c r="K847">
        <v>1</v>
      </c>
      <c r="L847">
        <f t="shared" si="67"/>
        <v>2</v>
      </c>
      <c r="Q847" t="str">
        <f t="shared" si="68"/>
        <v>MC,943cfcf,b20e97b</v>
      </c>
      <c r="R847" t="str">
        <f t="shared" si="69"/>
        <v/>
      </c>
      <c r="S847" t="str">
        <f t="shared" si="70"/>
        <v>TC,943cfcf,b20e97b</v>
      </c>
    </row>
    <row r="848" spans="1:19">
      <c r="A848" t="s">
        <v>3391</v>
      </c>
      <c r="C848" t="s">
        <v>2567</v>
      </c>
      <c r="D848" s="3">
        <v>40094.114537037036</v>
      </c>
      <c r="E848" s="8" t="s">
        <v>3392</v>
      </c>
      <c r="F848" s="8" t="s">
        <v>3393</v>
      </c>
      <c r="G848" s="8" t="s">
        <v>2570</v>
      </c>
      <c r="H848" s="3">
        <v>40094.596412037034</v>
      </c>
      <c r="I848">
        <v>1</v>
      </c>
      <c r="K848">
        <v>1</v>
      </c>
      <c r="L848">
        <f t="shared" si="67"/>
        <v>2</v>
      </c>
      <c r="Q848" t="str">
        <f t="shared" si="68"/>
        <v>MC,48f275c,35f75b8</v>
      </c>
      <c r="R848" t="str">
        <f t="shared" si="69"/>
        <v/>
      </c>
      <c r="S848" t="str">
        <f t="shared" si="70"/>
        <v>TC,48f275c,35f75b8</v>
      </c>
    </row>
    <row r="849" spans="1:19">
      <c r="A849" t="s">
        <v>3443</v>
      </c>
      <c r="C849" t="s">
        <v>2565</v>
      </c>
      <c r="D849" s="3">
        <v>40050.692743055559</v>
      </c>
      <c r="E849" s="8" t="s">
        <v>2674</v>
      </c>
      <c r="F849" s="8" t="s">
        <v>3444</v>
      </c>
      <c r="G849" s="8" t="s">
        <v>2570</v>
      </c>
      <c r="H849" s="3">
        <v>40098.588182870371</v>
      </c>
      <c r="K849">
        <v>1</v>
      </c>
      <c r="L849">
        <f t="shared" si="67"/>
        <v>1</v>
      </c>
      <c r="Q849" t="str">
        <f t="shared" si="68"/>
        <v/>
      </c>
      <c r="R849" t="str">
        <f t="shared" si="69"/>
        <v/>
      </c>
      <c r="S849" t="str">
        <f t="shared" si="70"/>
        <v>TC,79f45c2,e09f9ea</v>
      </c>
    </row>
    <row r="850" spans="1:19">
      <c r="A850" t="s">
        <v>3557</v>
      </c>
      <c r="C850" t="s">
        <v>2567</v>
      </c>
      <c r="D850" s="3">
        <v>40095.464606481481</v>
      </c>
      <c r="E850" s="8" t="s">
        <v>3558</v>
      </c>
      <c r="F850" s="8" t="s">
        <v>3559</v>
      </c>
      <c r="G850" s="8" t="s">
        <v>2738</v>
      </c>
      <c r="H850" s="3">
        <v>40098.978819444441</v>
      </c>
      <c r="I850">
        <v>1</v>
      </c>
      <c r="K850">
        <v>1</v>
      </c>
      <c r="L850">
        <f t="shared" si="67"/>
        <v>2</v>
      </c>
      <c r="Q850" t="str">
        <f t="shared" si="68"/>
        <v>MC,cbe8213,29caea4</v>
      </c>
      <c r="R850" t="str">
        <f t="shared" si="69"/>
        <v/>
      </c>
      <c r="S850" t="str">
        <f t="shared" si="70"/>
        <v>TC,cbe8213,29caea4</v>
      </c>
    </row>
    <row r="851" spans="1:19">
      <c r="A851" t="s">
        <v>3176</v>
      </c>
      <c r="C851" t="s">
        <v>2567</v>
      </c>
      <c r="D851" s="3">
        <v>40098.761006944442</v>
      </c>
      <c r="E851" s="8" t="s">
        <v>3177</v>
      </c>
      <c r="F851" s="8" t="s">
        <v>3178</v>
      </c>
      <c r="G851" s="8" t="s">
        <v>2570</v>
      </c>
      <c r="H851" s="3">
        <v>40099.536898148152</v>
      </c>
      <c r="K851">
        <v>1</v>
      </c>
      <c r="L851">
        <f t="shared" si="67"/>
        <v>1</v>
      </c>
      <c r="Q851" t="str">
        <f t="shared" si="68"/>
        <v/>
      </c>
      <c r="R851" t="str">
        <f t="shared" si="69"/>
        <v/>
      </c>
      <c r="S851" t="str">
        <f t="shared" si="70"/>
        <v>TC,0c0ad0b,c5e1e4e</v>
      </c>
    </row>
    <row r="852" spans="1:19">
      <c r="A852" t="s">
        <v>3189</v>
      </c>
      <c r="C852" t="s">
        <v>2562</v>
      </c>
      <c r="D852" s="3">
        <v>40099.551168981481</v>
      </c>
      <c r="E852" s="8" t="s">
        <v>3190</v>
      </c>
      <c r="F852" s="8" t="s">
        <v>3191</v>
      </c>
      <c r="G852" s="8" t="s">
        <v>2567</v>
      </c>
      <c r="H852" s="3">
        <v>40102.655497685184</v>
      </c>
      <c r="I852">
        <v>1</v>
      </c>
      <c r="K852">
        <v>1</v>
      </c>
      <c r="L852">
        <f t="shared" si="67"/>
        <v>2</v>
      </c>
      <c r="Q852" t="str">
        <f t="shared" si="68"/>
        <v>MC,127165a,864d6a5</v>
      </c>
      <c r="R852" t="str">
        <f t="shared" si="69"/>
        <v/>
      </c>
      <c r="S852" t="str">
        <f t="shared" si="70"/>
        <v>TC,127165a,864d6a5</v>
      </c>
    </row>
    <row r="853" spans="1:19">
      <c r="A853" t="s">
        <v>3485</v>
      </c>
      <c r="C853" t="s">
        <v>2567</v>
      </c>
      <c r="D853" s="3">
        <v>40107.41002314815</v>
      </c>
      <c r="E853" s="8" t="s">
        <v>3486</v>
      </c>
      <c r="F853" s="8" t="s">
        <v>3487</v>
      </c>
      <c r="G853" s="8" t="s">
        <v>2570</v>
      </c>
      <c r="H853" s="3">
        <v>40107.460289351853</v>
      </c>
      <c r="L853">
        <f t="shared" si="67"/>
        <v>0</v>
      </c>
      <c r="Q853" t="str">
        <f t="shared" si="68"/>
        <v/>
      </c>
      <c r="R853" t="str">
        <f t="shared" si="69"/>
        <v/>
      </c>
      <c r="S853" t="str">
        <f t="shared" si="70"/>
        <v/>
      </c>
    </row>
    <row r="854" spans="1:19">
      <c r="A854" t="s">
        <v>2617</v>
      </c>
      <c r="C854" t="s">
        <v>2562</v>
      </c>
      <c r="D854" s="3">
        <v>40105.347685185188</v>
      </c>
      <c r="E854" s="8" t="s">
        <v>2618</v>
      </c>
      <c r="F854" s="8" t="s">
        <v>2619</v>
      </c>
      <c r="G854" s="8" t="s">
        <v>2567</v>
      </c>
      <c r="H854" s="3">
        <v>40107.604791666665</v>
      </c>
      <c r="K854">
        <v>1</v>
      </c>
      <c r="L854">
        <f t="shared" si="67"/>
        <v>1</v>
      </c>
      <c r="Q854" t="str">
        <f t="shared" si="68"/>
        <v/>
      </c>
      <c r="R854" t="str">
        <f t="shared" si="69"/>
        <v/>
      </c>
      <c r="S854" t="str">
        <f t="shared" si="70"/>
        <v>TC,15b5cc1,d6a5017</v>
      </c>
    </row>
    <row r="855" spans="1:19">
      <c r="A855" t="s">
        <v>3087</v>
      </c>
      <c r="C855" t="s">
        <v>2567</v>
      </c>
      <c r="D855" s="3">
        <v>40109.467314814814</v>
      </c>
      <c r="E855" s="8" t="s">
        <v>3088</v>
      </c>
      <c r="F855" s="8" t="s">
        <v>3089</v>
      </c>
      <c r="G855" s="8" t="s">
        <v>2570</v>
      </c>
      <c r="H855" s="3">
        <v>40109.603530092594</v>
      </c>
      <c r="L855">
        <f t="shared" si="67"/>
        <v>0</v>
      </c>
      <c r="Q855" t="str">
        <f t="shared" si="68"/>
        <v/>
      </c>
      <c r="R855" t="str">
        <f t="shared" si="69"/>
        <v/>
      </c>
      <c r="S855" t="str">
        <f t="shared" si="70"/>
        <v/>
      </c>
    </row>
    <row r="856" spans="1:19">
      <c r="A856" t="s">
        <v>2912</v>
      </c>
      <c r="C856" t="s">
        <v>2570</v>
      </c>
      <c r="D856" s="3">
        <v>40109.608993055554</v>
      </c>
      <c r="E856" s="8" t="s">
        <v>2913</v>
      </c>
      <c r="F856" s="8" t="s">
        <v>2914</v>
      </c>
      <c r="G856" s="8" t="s">
        <v>2562</v>
      </c>
      <c r="H856" s="3">
        <v>40110.36347222222</v>
      </c>
      <c r="L856">
        <f t="shared" si="67"/>
        <v>0</v>
      </c>
      <c r="Q856" t="str">
        <f t="shared" si="68"/>
        <v/>
      </c>
      <c r="R856" t="str">
        <f t="shared" si="69"/>
        <v/>
      </c>
      <c r="S856" t="str">
        <f t="shared" si="70"/>
        <v/>
      </c>
    </row>
    <row r="857" spans="1:19">
      <c r="A857" t="s">
        <v>2850</v>
      </c>
      <c r="C857" t="s">
        <v>2570</v>
      </c>
      <c r="D857" s="3">
        <v>40112.665405092594</v>
      </c>
      <c r="E857" s="8" t="s">
        <v>2851</v>
      </c>
      <c r="F857" s="8" t="s">
        <v>2852</v>
      </c>
      <c r="G857" s="8" t="s">
        <v>2562</v>
      </c>
      <c r="H857" s="3">
        <v>40113.569803240738</v>
      </c>
      <c r="L857">
        <f t="shared" si="67"/>
        <v>0</v>
      </c>
      <c r="Q857" t="str">
        <f t="shared" si="68"/>
        <v/>
      </c>
      <c r="R857" t="str">
        <f t="shared" si="69"/>
        <v/>
      </c>
      <c r="S857" t="str">
        <f t="shared" si="70"/>
        <v/>
      </c>
    </row>
    <row r="858" spans="1:19">
      <c r="A858" t="s">
        <v>2599</v>
      </c>
      <c r="C858" t="s">
        <v>2600</v>
      </c>
      <c r="D858" s="3">
        <v>40114.795277777775</v>
      </c>
      <c r="E858" s="8" t="s">
        <v>2601</v>
      </c>
      <c r="F858" s="8" t="s">
        <v>2602</v>
      </c>
      <c r="G858" s="8" t="s">
        <v>2565</v>
      </c>
      <c r="H858" s="3">
        <v>40115.778993055559</v>
      </c>
      <c r="L858">
        <f t="shared" ref="L858:L921" si="71">COUNTA(I858:K858)</f>
        <v>0</v>
      </c>
      <c r="Q858" t="str">
        <f t="shared" ref="Q858:Q921" si="72">IF(I858&gt;0,CONCATENATE("MC,",E858,",",F858),"")</f>
        <v/>
      </c>
      <c r="R858" t="str">
        <f t="shared" ref="R858:R921" si="73">IF(J858&gt;0,CONCATENATE("BC,",E858,",",F858),"")</f>
        <v/>
      </c>
      <c r="S858" t="str">
        <f t="shared" ref="S858:S921" si="74">IF(K858&gt;0,CONCATENATE("TC,",E858,",",F858),"")</f>
        <v/>
      </c>
    </row>
    <row r="859" spans="1:19">
      <c r="A859" t="s">
        <v>2809</v>
      </c>
      <c r="C859" t="s">
        <v>2565</v>
      </c>
      <c r="D859" s="3">
        <v>40115.782800925925</v>
      </c>
      <c r="E859" s="8" t="s">
        <v>2604</v>
      </c>
      <c r="F859" s="8" t="s">
        <v>2810</v>
      </c>
      <c r="G859" s="8" t="s">
        <v>2562</v>
      </c>
      <c r="H859" s="3">
        <v>40115.951319444444</v>
      </c>
      <c r="L859">
        <f t="shared" si="71"/>
        <v>0</v>
      </c>
      <c r="Q859" t="str">
        <f t="shared" si="72"/>
        <v/>
      </c>
      <c r="R859" t="str">
        <f t="shared" si="73"/>
        <v/>
      </c>
      <c r="S859" t="str">
        <f t="shared" si="74"/>
        <v/>
      </c>
    </row>
    <row r="860" spans="1:19">
      <c r="A860" t="s">
        <v>3090</v>
      </c>
      <c r="C860" t="s">
        <v>2567</v>
      </c>
      <c r="D860" s="3">
        <v>40114.474282407406</v>
      </c>
      <c r="E860" s="8" t="s">
        <v>3091</v>
      </c>
      <c r="F860" s="8" t="s">
        <v>3092</v>
      </c>
      <c r="G860" s="8" t="s">
        <v>2570</v>
      </c>
      <c r="H860" s="3">
        <v>40116.614918981482</v>
      </c>
      <c r="J860">
        <v>1</v>
      </c>
      <c r="L860">
        <f t="shared" si="71"/>
        <v>1</v>
      </c>
      <c r="Q860" t="str">
        <f t="shared" si="72"/>
        <v/>
      </c>
      <c r="R860" t="str">
        <f t="shared" si="73"/>
        <v>BC,6efd34a,ea4b3b8</v>
      </c>
      <c r="S860" t="str">
        <f t="shared" si="74"/>
        <v/>
      </c>
    </row>
    <row r="861" spans="1:19">
      <c r="A861" t="s">
        <v>2603</v>
      </c>
      <c r="C861" t="s">
        <v>2565</v>
      </c>
      <c r="D861" s="3">
        <v>40115.782800925925</v>
      </c>
      <c r="E861" s="8" t="s">
        <v>2604</v>
      </c>
      <c r="F861" s="8" t="s">
        <v>2605</v>
      </c>
      <c r="G861" s="8" t="s">
        <v>2570</v>
      </c>
      <c r="H861" s="3">
        <v>40116.624398148146</v>
      </c>
      <c r="I861">
        <v>1</v>
      </c>
      <c r="K861">
        <v>1</v>
      </c>
      <c r="L861">
        <f t="shared" si="71"/>
        <v>2</v>
      </c>
      <c r="Q861" t="str">
        <f t="shared" si="72"/>
        <v>MC,b2daa52,4aab077</v>
      </c>
      <c r="R861" t="str">
        <f t="shared" si="73"/>
        <v/>
      </c>
      <c r="S861" t="str">
        <f t="shared" si="74"/>
        <v>TC,b2daa52,4aab077</v>
      </c>
    </row>
    <row r="862" spans="1:19">
      <c r="A862" t="s">
        <v>3594</v>
      </c>
      <c r="C862" t="s">
        <v>2600</v>
      </c>
      <c r="D862" s="3">
        <v>40118.428935185184</v>
      </c>
      <c r="E862" s="8" t="s">
        <v>3595</v>
      </c>
      <c r="F862" s="8" t="s">
        <v>3596</v>
      </c>
      <c r="G862" s="8" t="s">
        <v>2567</v>
      </c>
      <c r="H862" s="3">
        <v>40119.431226851855</v>
      </c>
      <c r="K862">
        <v>1</v>
      </c>
      <c r="L862">
        <f t="shared" si="71"/>
        <v>1</v>
      </c>
      <c r="Q862" t="str">
        <f t="shared" si="72"/>
        <v/>
      </c>
      <c r="R862" t="str">
        <f t="shared" si="73"/>
        <v/>
      </c>
      <c r="S862" t="str">
        <f t="shared" si="74"/>
        <v>TC,b9a57b9,ff63c3f</v>
      </c>
    </row>
    <row r="863" spans="1:19">
      <c r="A863" t="s">
        <v>3394</v>
      </c>
      <c r="C863" t="s">
        <v>2567</v>
      </c>
      <c r="D863" s="3">
        <v>40119.440011574072</v>
      </c>
      <c r="E863" s="8" t="s">
        <v>3395</v>
      </c>
      <c r="F863" s="8" t="s">
        <v>3396</v>
      </c>
      <c r="G863" s="8" t="s">
        <v>2570</v>
      </c>
      <c r="H863" s="3">
        <v>40119.441724537035</v>
      </c>
      <c r="K863">
        <v>1</v>
      </c>
      <c r="L863">
        <f t="shared" si="71"/>
        <v>1</v>
      </c>
      <c r="Q863" t="str">
        <f t="shared" si="72"/>
        <v/>
      </c>
      <c r="R863" t="str">
        <f t="shared" si="73"/>
        <v/>
      </c>
      <c r="S863" t="str">
        <f t="shared" si="74"/>
        <v>TC,0ea6681,f0e35dc</v>
      </c>
    </row>
    <row r="864" spans="1:19">
      <c r="A864" t="s">
        <v>2837</v>
      </c>
      <c r="C864" t="s">
        <v>2567</v>
      </c>
      <c r="D864" s="3">
        <v>40120.679502314815</v>
      </c>
      <c r="E864" s="8" t="s">
        <v>2838</v>
      </c>
      <c r="F864" s="8" t="s">
        <v>2839</v>
      </c>
      <c r="G864" s="8" t="s">
        <v>2570</v>
      </c>
      <c r="H864" s="3">
        <v>40120.734918981485</v>
      </c>
      <c r="K864">
        <v>1</v>
      </c>
      <c r="L864">
        <f t="shared" si="71"/>
        <v>1</v>
      </c>
      <c r="Q864" t="str">
        <f t="shared" si="72"/>
        <v/>
      </c>
      <c r="R864" t="str">
        <f t="shared" si="73"/>
        <v/>
      </c>
      <c r="S864" t="str">
        <f t="shared" si="74"/>
        <v>TC,9b15600,393f624</v>
      </c>
    </row>
    <row r="865" spans="1:19">
      <c r="A865" t="s">
        <v>2873</v>
      </c>
      <c r="C865" t="s">
        <v>2600</v>
      </c>
      <c r="D865" s="3">
        <v>40118.428935185184</v>
      </c>
      <c r="E865" s="8" t="s">
        <v>2874</v>
      </c>
      <c r="F865" s="8" t="s">
        <v>2875</v>
      </c>
      <c r="G865" s="8" t="s">
        <v>2562</v>
      </c>
      <c r="H865" s="3">
        <v>40120.875983796293</v>
      </c>
      <c r="L865">
        <f t="shared" si="71"/>
        <v>0</v>
      </c>
      <c r="Q865" t="str">
        <f t="shared" si="72"/>
        <v/>
      </c>
      <c r="R865" t="str">
        <f t="shared" si="73"/>
        <v/>
      </c>
      <c r="S865" t="str">
        <f t="shared" si="74"/>
        <v/>
      </c>
    </row>
    <row r="866" spans="1:19">
      <c r="A866" t="s">
        <v>3124</v>
      </c>
      <c r="C866" t="s">
        <v>2570</v>
      </c>
      <c r="D866" s="3">
        <v>40121.712962962964</v>
      </c>
      <c r="E866" s="8" t="s">
        <v>3125</v>
      </c>
      <c r="F866" s="8" t="s">
        <v>3126</v>
      </c>
      <c r="G866" s="8" t="s">
        <v>2567</v>
      </c>
      <c r="H866" s="3">
        <v>40121.881539351853</v>
      </c>
      <c r="I866">
        <v>1</v>
      </c>
      <c r="K866">
        <v>1</v>
      </c>
      <c r="L866">
        <f t="shared" si="71"/>
        <v>2</v>
      </c>
      <c r="Q866" t="str">
        <f t="shared" si="72"/>
        <v>MC,935e7ac,b467361</v>
      </c>
      <c r="R866" t="str">
        <f t="shared" si="73"/>
        <v/>
      </c>
      <c r="S866" t="str">
        <f t="shared" si="74"/>
        <v>TC,935e7ac,b467361</v>
      </c>
    </row>
    <row r="867" spans="1:19">
      <c r="A867" t="s">
        <v>3523</v>
      </c>
      <c r="C867" t="s">
        <v>2567</v>
      </c>
      <c r="D867" s="3">
        <v>40122.421990740739</v>
      </c>
      <c r="E867" s="8" t="s">
        <v>3524</v>
      </c>
      <c r="F867" s="8" t="s">
        <v>3525</v>
      </c>
      <c r="G867" s="8" t="s">
        <v>2570</v>
      </c>
      <c r="H867" s="3">
        <v>40122.478877314818</v>
      </c>
      <c r="K867">
        <v>1</v>
      </c>
      <c r="L867">
        <f t="shared" si="71"/>
        <v>1</v>
      </c>
      <c r="Q867" t="str">
        <f t="shared" si="72"/>
        <v/>
      </c>
      <c r="R867" t="str">
        <f t="shared" si="73"/>
        <v/>
      </c>
      <c r="S867" t="str">
        <f t="shared" si="74"/>
        <v>TC,afae7fb,02829a2</v>
      </c>
    </row>
    <row r="868" spans="1:19">
      <c r="A868" t="s">
        <v>3240</v>
      </c>
      <c r="C868" t="s">
        <v>2570</v>
      </c>
      <c r="D868" s="3">
        <v>40122.530636574076</v>
      </c>
      <c r="E868" s="8" t="s">
        <v>3241</v>
      </c>
      <c r="F868" s="8" t="s">
        <v>3242</v>
      </c>
      <c r="G868" s="8" t="s">
        <v>2567</v>
      </c>
      <c r="H868" s="3">
        <v>40122.535694444443</v>
      </c>
      <c r="K868">
        <v>1</v>
      </c>
      <c r="L868">
        <f t="shared" si="71"/>
        <v>1</v>
      </c>
      <c r="Q868" t="str">
        <f t="shared" si="72"/>
        <v/>
      </c>
      <c r="R868" t="str">
        <f t="shared" si="73"/>
        <v/>
      </c>
      <c r="S868" t="str">
        <f t="shared" si="74"/>
        <v>TC,eb46654,c79f0e3</v>
      </c>
    </row>
    <row r="869" spans="1:19">
      <c r="A869" t="s">
        <v>3230</v>
      </c>
      <c r="C869" t="s">
        <v>2562</v>
      </c>
      <c r="D869" s="3">
        <v>40121.344305555554</v>
      </c>
      <c r="E869" s="8" t="s">
        <v>3231</v>
      </c>
      <c r="F869" s="8" t="s">
        <v>3232</v>
      </c>
      <c r="G869" s="8" t="s">
        <v>2570</v>
      </c>
      <c r="H869" s="3">
        <v>40122.603229166663</v>
      </c>
      <c r="K869">
        <v>1</v>
      </c>
      <c r="L869">
        <f t="shared" si="71"/>
        <v>1</v>
      </c>
      <c r="Q869" t="str">
        <f t="shared" si="72"/>
        <v/>
      </c>
      <c r="R869" t="str">
        <f t="shared" si="73"/>
        <v/>
      </c>
      <c r="S869" t="str">
        <f t="shared" si="74"/>
        <v>TC,27e1f6f,efc6f4f</v>
      </c>
    </row>
    <row r="870" spans="1:19">
      <c r="A870" t="s">
        <v>2983</v>
      </c>
      <c r="C870" t="s">
        <v>2567</v>
      </c>
      <c r="D870" s="3">
        <v>40125.480729166666</v>
      </c>
      <c r="E870" s="8" t="s">
        <v>2984</v>
      </c>
      <c r="F870" s="8" t="s">
        <v>2985</v>
      </c>
      <c r="G870" s="8" t="s">
        <v>2570</v>
      </c>
      <c r="H870" s="3">
        <v>40126.567187499997</v>
      </c>
      <c r="K870">
        <v>1</v>
      </c>
      <c r="L870">
        <f t="shared" si="71"/>
        <v>1</v>
      </c>
      <c r="Q870" t="str">
        <f t="shared" si="72"/>
        <v/>
      </c>
      <c r="R870" t="str">
        <f t="shared" si="73"/>
        <v/>
      </c>
      <c r="S870" t="str">
        <f t="shared" si="74"/>
        <v>TC,04f5252,ea59245</v>
      </c>
    </row>
    <row r="871" spans="1:19">
      <c r="A871" t="s">
        <v>3397</v>
      </c>
      <c r="C871" t="s">
        <v>2570</v>
      </c>
      <c r="D871" s="3">
        <v>40126.681967592594</v>
      </c>
      <c r="E871" s="8" t="s">
        <v>3398</v>
      </c>
      <c r="F871" s="8" t="s">
        <v>3399</v>
      </c>
      <c r="G871" s="8" t="s">
        <v>2567</v>
      </c>
      <c r="H871" s="3">
        <v>40126.686296296299</v>
      </c>
      <c r="K871">
        <v>1</v>
      </c>
      <c r="L871">
        <f t="shared" si="71"/>
        <v>1</v>
      </c>
      <c r="Q871" t="str">
        <f t="shared" si="72"/>
        <v/>
      </c>
      <c r="R871" t="str">
        <f t="shared" si="73"/>
        <v/>
      </c>
      <c r="S871" t="str">
        <f t="shared" si="74"/>
        <v>TC,bbafb43,090985a</v>
      </c>
    </row>
    <row r="872" spans="1:19">
      <c r="A872" t="s">
        <v>2700</v>
      </c>
      <c r="C872" t="s">
        <v>2567</v>
      </c>
      <c r="D872" s="3">
        <v>40129.475219907406</v>
      </c>
      <c r="E872" s="8" t="s">
        <v>2701</v>
      </c>
      <c r="F872" s="8" t="s">
        <v>2702</v>
      </c>
      <c r="G872" s="8" t="s">
        <v>2570</v>
      </c>
      <c r="H872" s="3">
        <v>40130.568518518521</v>
      </c>
      <c r="I872">
        <v>1</v>
      </c>
      <c r="K872">
        <v>1</v>
      </c>
      <c r="L872">
        <f t="shared" si="71"/>
        <v>2</v>
      </c>
      <c r="Q872" t="str">
        <f t="shared" si="72"/>
        <v>MC,1f412ce,320c411</v>
      </c>
      <c r="R872" t="str">
        <f t="shared" si="73"/>
        <v/>
      </c>
      <c r="S872" t="str">
        <f t="shared" si="74"/>
        <v>TC,1f412ce,320c411</v>
      </c>
    </row>
    <row r="873" spans="1:19">
      <c r="A873" t="s">
        <v>3574</v>
      </c>
      <c r="C873" t="s">
        <v>2567</v>
      </c>
      <c r="D873" s="3">
        <v>40130.817777777775</v>
      </c>
      <c r="E873" s="8" t="s">
        <v>3575</v>
      </c>
      <c r="F873" s="8" t="s">
        <v>3576</v>
      </c>
      <c r="G873" s="8" t="s">
        <v>2570</v>
      </c>
      <c r="H873" s="3">
        <v>40133.423680555556</v>
      </c>
      <c r="K873">
        <v>1</v>
      </c>
      <c r="L873">
        <f t="shared" si="71"/>
        <v>1</v>
      </c>
      <c r="Q873" t="str">
        <f t="shared" si="72"/>
        <v/>
      </c>
      <c r="R873" t="str">
        <f t="shared" si="73"/>
        <v/>
      </c>
      <c r="S873" t="str">
        <f t="shared" si="74"/>
        <v>TC,46ab667,cffd8d7</v>
      </c>
    </row>
    <row r="874" spans="1:19">
      <c r="A874" t="s">
        <v>2644</v>
      </c>
      <c r="C874" t="s">
        <v>2600</v>
      </c>
      <c r="D874" s="3">
        <v>40129.821759259263</v>
      </c>
      <c r="E874" s="8" t="s">
        <v>2645</v>
      </c>
      <c r="F874" s="8" t="s">
        <v>2646</v>
      </c>
      <c r="G874" s="8" t="s">
        <v>2570</v>
      </c>
      <c r="H874" s="3">
        <v>40133.713599537034</v>
      </c>
      <c r="L874">
        <f t="shared" si="71"/>
        <v>0</v>
      </c>
      <c r="Q874" t="str">
        <f t="shared" si="72"/>
        <v/>
      </c>
      <c r="R874" t="str">
        <f t="shared" si="73"/>
        <v/>
      </c>
      <c r="S874" t="str">
        <f t="shared" si="74"/>
        <v/>
      </c>
    </row>
    <row r="875" spans="1:19">
      <c r="A875" t="s">
        <v>2703</v>
      </c>
      <c r="C875" t="s">
        <v>2600</v>
      </c>
      <c r="D875" s="3">
        <v>40129.880335648151</v>
      </c>
      <c r="E875" s="8" t="s">
        <v>2704</v>
      </c>
      <c r="F875" s="8" t="s">
        <v>2646</v>
      </c>
      <c r="G875" s="8" t="s">
        <v>2570</v>
      </c>
      <c r="H875" s="3">
        <v>40133.713599537034</v>
      </c>
      <c r="L875">
        <f t="shared" si="71"/>
        <v>0</v>
      </c>
      <c r="Q875" t="str">
        <f t="shared" si="72"/>
        <v/>
      </c>
      <c r="R875" t="str">
        <f t="shared" si="73"/>
        <v/>
      </c>
      <c r="S875" t="str">
        <f t="shared" si="74"/>
        <v/>
      </c>
    </row>
    <row r="876" spans="1:19">
      <c r="A876" t="s">
        <v>2876</v>
      </c>
      <c r="C876" t="s">
        <v>2877</v>
      </c>
      <c r="D876" s="3">
        <v>40134.454108796293</v>
      </c>
      <c r="E876" s="8" t="s">
        <v>2878</v>
      </c>
      <c r="F876" s="8" t="s">
        <v>2879</v>
      </c>
      <c r="G876" s="8" t="s">
        <v>2600</v>
      </c>
      <c r="H876" s="3">
        <v>40134.512673611112</v>
      </c>
      <c r="J876">
        <v>1</v>
      </c>
      <c r="L876">
        <f t="shared" si="71"/>
        <v>1</v>
      </c>
      <c r="Q876" t="str">
        <f t="shared" si="72"/>
        <v/>
      </c>
      <c r="R876" t="str">
        <f t="shared" si="73"/>
        <v>BC,c2bdfca,31d2adb</v>
      </c>
      <c r="S876" t="str">
        <f t="shared" si="74"/>
        <v/>
      </c>
    </row>
    <row r="877" spans="1:19">
      <c r="A877" t="s">
        <v>2965</v>
      </c>
      <c r="C877" t="s">
        <v>2600</v>
      </c>
      <c r="D877" s="3">
        <v>40134.512673611112</v>
      </c>
      <c r="E877" s="8" t="s">
        <v>2879</v>
      </c>
      <c r="F877" s="8" t="s">
        <v>2966</v>
      </c>
      <c r="G877" s="8" t="s">
        <v>2570</v>
      </c>
      <c r="H877" s="3">
        <v>40134.724733796298</v>
      </c>
      <c r="L877">
        <f t="shared" si="71"/>
        <v>0</v>
      </c>
      <c r="Q877" t="str">
        <f t="shared" si="72"/>
        <v/>
      </c>
      <c r="R877" t="str">
        <f t="shared" si="73"/>
        <v/>
      </c>
      <c r="S877" t="str">
        <f t="shared" si="74"/>
        <v/>
      </c>
    </row>
    <row r="878" spans="1:19">
      <c r="A878" t="s">
        <v>2853</v>
      </c>
      <c r="C878" t="s">
        <v>2600</v>
      </c>
      <c r="D878" s="3">
        <v>40134.861458333333</v>
      </c>
      <c r="E878" s="8" t="s">
        <v>2854</v>
      </c>
      <c r="F878" s="8" t="s">
        <v>2855</v>
      </c>
      <c r="G878" s="8" t="s">
        <v>2567</v>
      </c>
      <c r="H878" s="3">
        <v>40135.38554398148</v>
      </c>
      <c r="L878">
        <f t="shared" si="71"/>
        <v>0</v>
      </c>
      <c r="Q878" t="str">
        <f t="shared" si="72"/>
        <v/>
      </c>
      <c r="R878" t="str">
        <f t="shared" si="73"/>
        <v/>
      </c>
      <c r="S878" t="str">
        <f t="shared" si="74"/>
        <v/>
      </c>
    </row>
    <row r="879" spans="1:19">
      <c r="A879" t="s">
        <v>2676</v>
      </c>
      <c r="C879" t="s">
        <v>2600</v>
      </c>
      <c r="D879" s="3">
        <v>40134.336851851855</v>
      </c>
      <c r="E879" s="8" t="s">
        <v>2677</v>
      </c>
      <c r="F879" s="8" t="s">
        <v>2678</v>
      </c>
      <c r="G879" s="8" t="s">
        <v>3681</v>
      </c>
      <c r="H879" s="3">
        <v>40137.293483796297</v>
      </c>
      <c r="I879">
        <v>1</v>
      </c>
      <c r="L879">
        <f t="shared" si="71"/>
        <v>1</v>
      </c>
      <c r="Q879" t="str">
        <f t="shared" si="72"/>
        <v>MC,70e06f1,6dd690b</v>
      </c>
      <c r="R879" t="str">
        <f t="shared" si="73"/>
        <v/>
      </c>
      <c r="S879" t="str">
        <f t="shared" si="74"/>
        <v/>
      </c>
    </row>
    <row r="880" spans="1:19">
      <c r="A880" t="s">
        <v>2756</v>
      </c>
      <c r="C880" t="s">
        <v>2600</v>
      </c>
      <c r="D880" s="3">
        <v>40137.294618055559</v>
      </c>
      <c r="E880" s="8" t="s">
        <v>2757</v>
      </c>
      <c r="F880" s="8" t="s">
        <v>2758</v>
      </c>
      <c r="G880" s="8" t="s">
        <v>3681</v>
      </c>
      <c r="H880" s="3">
        <v>40137.301238425927</v>
      </c>
      <c r="L880">
        <f t="shared" si="71"/>
        <v>0</v>
      </c>
      <c r="Q880" t="str">
        <f t="shared" si="72"/>
        <v/>
      </c>
      <c r="R880" t="str">
        <f t="shared" si="73"/>
        <v/>
      </c>
      <c r="S880" t="str">
        <f t="shared" si="74"/>
        <v/>
      </c>
    </row>
    <row r="881" spans="1:19">
      <c r="A881" t="s">
        <v>2811</v>
      </c>
      <c r="C881" t="s">
        <v>2600</v>
      </c>
      <c r="D881" s="3">
        <v>40137.301238425927</v>
      </c>
      <c r="E881" s="8" t="s">
        <v>2758</v>
      </c>
      <c r="F881" s="8" t="s">
        <v>2812</v>
      </c>
      <c r="G881" s="8" t="s">
        <v>2570</v>
      </c>
      <c r="H881" s="3">
        <v>40137.497581018521</v>
      </c>
      <c r="I881">
        <v>1</v>
      </c>
      <c r="K881">
        <v>1</v>
      </c>
      <c r="L881">
        <f t="shared" si="71"/>
        <v>2</v>
      </c>
      <c r="Q881" t="str">
        <f t="shared" si="72"/>
        <v>MC,f15e2cd,f678066</v>
      </c>
      <c r="R881" t="str">
        <f t="shared" si="73"/>
        <v/>
      </c>
      <c r="S881" t="str">
        <f t="shared" si="74"/>
        <v>TC,f15e2cd,f678066</v>
      </c>
    </row>
    <row r="882" spans="1:19">
      <c r="A882" t="s">
        <v>2759</v>
      </c>
      <c r="C882" t="s">
        <v>2600</v>
      </c>
      <c r="D882" s="3">
        <v>40137.301574074074</v>
      </c>
      <c r="E882" s="8" t="s">
        <v>2760</v>
      </c>
      <c r="F882" s="8" t="s">
        <v>2761</v>
      </c>
      <c r="G882" s="8" t="s">
        <v>2570</v>
      </c>
      <c r="H882" s="3">
        <v>40137.760115740741</v>
      </c>
      <c r="I882">
        <v>1</v>
      </c>
      <c r="K882">
        <v>1</v>
      </c>
      <c r="L882">
        <f t="shared" si="71"/>
        <v>2</v>
      </c>
      <c r="Q882" t="str">
        <f t="shared" si="72"/>
        <v>MC,48b2bff,3b74bab</v>
      </c>
      <c r="R882" t="str">
        <f t="shared" si="73"/>
        <v/>
      </c>
      <c r="S882" t="str">
        <f t="shared" si="74"/>
        <v>TC,48b2bff,3b74bab</v>
      </c>
    </row>
    <row r="883" spans="1:19">
      <c r="A883" t="s">
        <v>3543</v>
      </c>
      <c r="C883" t="s">
        <v>2570</v>
      </c>
      <c r="D883" s="3">
        <v>40137.743993055556</v>
      </c>
      <c r="E883" s="8" t="s">
        <v>3544</v>
      </c>
      <c r="F883" s="8" t="s">
        <v>2761</v>
      </c>
      <c r="G883" s="8" t="s">
        <v>3678</v>
      </c>
      <c r="H883" s="3">
        <v>40137.760115740741</v>
      </c>
      <c r="I883">
        <v>1</v>
      </c>
      <c r="L883">
        <f t="shared" si="71"/>
        <v>1</v>
      </c>
      <c r="Q883" t="str">
        <f t="shared" si="72"/>
        <v>MC,2ae7832,3b74bab</v>
      </c>
      <c r="R883" t="str">
        <f t="shared" si="73"/>
        <v/>
      </c>
      <c r="S883" t="str">
        <f t="shared" si="74"/>
        <v/>
      </c>
    </row>
    <row r="884" spans="1:19">
      <c r="A884" t="s">
        <v>2735</v>
      </c>
      <c r="C884" t="s">
        <v>2562</v>
      </c>
      <c r="D884" s="3">
        <v>40135.866851851853</v>
      </c>
      <c r="E884" s="8" t="s">
        <v>2736</v>
      </c>
      <c r="F884" s="8" t="s">
        <v>2737</v>
      </c>
      <c r="G884" s="8" t="s">
        <v>2738</v>
      </c>
      <c r="H884" s="3">
        <v>40138.455659722225</v>
      </c>
      <c r="L884">
        <f t="shared" si="71"/>
        <v>0</v>
      </c>
      <c r="Q884" t="str">
        <f t="shared" si="72"/>
        <v/>
      </c>
      <c r="R884" t="str">
        <f t="shared" si="73"/>
        <v/>
      </c>
      <c r="S884" t="str">
        <f t="shared" si="74"/>
        <v/>
      </c>
    </row>
    <row r="885" spans="1:19">
      <c r="A885" t="s">
        <v>3415</v>
      </c>
      <c r="C885" t="s">
        <v>2653</v>
      </c>
      <c r="D885" s="3">
        <v>40107.664317129631</v>
      </c>
      <c r="E885" s="8" t="s">
        <v>3416</v>
      </c>
      <c r="F885" s="8" t="s">
        <v>2737</v>
      </c>
      <c r="G885" s="8" t="s">
        <v>2738</v>
      </c>
      <c r="H885" s="3">
        <v>40138.455659722225</v>
      </c>
      <c r="I885">
        <v>1</v>
      </c>
      <c r="L885">
        <f t="shared" si="71"/>
        <v>1</v>
      </c>
      <c r="Q885" t="str">
        <f t="shared" si="72"/>
        <v>MC,33d0119,caed939</v>
      </c>
      <c r="R885" t="str">
        <f t="shared" si="73"/>
        <v/>
      </c>
      <c r="S885" t="str">
        <f t="shared" si="74"/>
        <v/>
      </c>
    </row>
    <row r="886" spans="1:19">
      <c r="A886" t="s">
        <v>3655</v>
      </c>
      <c r="C886" t="s">
        <v>2600</v>
      </c>
      <c r="D886" s="3">
        <v>40138.105868055558</v>
      </c>
      <c r="E886" s="8" t="s">
        <v>3656</v>
      </c>
      <c r="F886" s="8" t="s">
        <v>2737</v>
      </c>
      <c r="G886" s="8" t="s">
        <v>2738</v>
      </c>
      <c r="H886" s="3">
        <v>40138.455659722225</v>
      </c>
      <c r="J886">
        <v>1</v>
      </c>
      <c r="L886">
        <f t="shared" si="71"/>
        <v>1</v>
      </c>
      <c r="Q886" t="str">
        <f t="shared" si="72"/>
        <v/>
      </c>
      <c r="R886" t="str">
        <f t="shared" si="73"/>
        <v>BC,6cf1e0c,caed939</v>
      </c>
      <c r="S886" t="str">
        <f t="shared" si="74"/>
        <v/>
      </c>
    </row>
    <row r="887" spans="1:19">
      <c r="A887" t="s">
        <v>3445</v>
      </c>
      <c r="C887" t="s">
        <v>2567</v>
      </c>
      <c r="D887" s="3">
        <v>40140.56490740741</v>
      </c>
      <c r="E887" s="8" t="s">
        <v>3446</v>
      </c>
      <c r="F887" s="8" t="s">
        <v>3447</v>
      </c>
      <c r="G887" s="8" t="s">
        <v>2570</v>
      </c>
      <c r="H887" s="3">
        <v>40140.688125000001</v>
      </c>
      <c r="L887">
        <f t="shared" si="71"/>
        <v>0</v>
      </c>
      <c r="Q887" t="str">
        <f t="shared" si="72"/>
        <v/>
      </c>
      <c r="R887" t="str">
        <f t="shared" si="73"/>
        <v/>
      </c>
      <c r="S887" t="str">
        <f t="shared" si="74"/>
        <v/>
      </c>
    </row>
    <row r="888" spans="1:19">
      <c r="A888" t="s">
        <v>2609</v>
      </c>
      <c r="C888" t="s">
        <v>2567</v>
      </c>
      <c r="D888" s="3">
        <v>40141.414560185185</v>
      </c>
      <c r="E888" s="8" t="s">
        <v>2607</v>
      </c>
      <c r="F888" s="8" t="s">
        <v>2610</v>
      </c>
      <c r="G888" s="8" t="s">
        <v>2565</v>
      </c>
      <c r="H888" s="3">
        <v>40142.038958333331</v>
      </c>
      <c r="L888">
        <f t="shared" si="71"/>
        <v>0</v>
      </c>
      <c r="Q888" t="str">
        <f t="shared" si="72"/>
        <v/>
      </c>
      <c r="R888" t="str">
        <f t="shared" si="73"/>
        <v/>
      </c>
      <c r="S888" t="str">
        <f t="shared" si="74"/>
        <v/>
      </c>
    </row>
    <row r="889" spans="1:19">
      <c r="A889" t="s">
        <v>2606</v>
      </c>
      <c r="C889" t="s">
        <v>2567</v>
      </c>
      <c r="D889" s="3">
        <v>40141.414560185185</v>
      </c>
      <c r="E889" s="8" t="s">
        <v>2607</v>
      </c>
      <c r="F889" s="8" t="s">
        <v>2608</v>
      </c>
      <c r="G889" s="8" t="s">
        <v>2562</v>
      </c>
      <c r="H889" s="3">
        <v>40142.323159722226</v>
      </c>
      <c r="I889">
        <v>1</v>
      </c>
      <c r="K889">
        <v>1</v>
      </c>
      <c r="L889">
        <f t="shared" si="71"/>
        <v>2</v>
      </c>
      <c r="Q889" t="str">
        <f t="shared" si="72"/>
        <v>MC,f412214,c18858e</v>
      </c>
      <c r="R889" t="str">
        <f t="shared" si="73"/>
        <v/>
      </c>
      <c r="S889" t="str">
        <f t="shared" si="74"/>
        <v>TC,f412214,c18858e</v>
      </c>
    </row>
    <row r="890" spans="1:19">
      <c r="A890" t="s">
        <v>2996</v>
      </c>
      <c r="C890" t="s">
        <v>2567</v>
      </c>
      <c r="D890" s="3">
        <v>40142.609375</v>
      </c>
      <c r="E890" s="8" t="s">
        <v>2997</v>
      </c>
      <c r="F890" s="8" t="s">
        <v>2998</v>
      </c>
      <c r="G890" s="8" t="s">
        <v>2570</v>
      </c>
      <c r="H890" s="3">
        <v>40142.66814814815</v>
      </c>
      <c r="K890">
        <v>1</v>
      </c>
      <c r="L890">
        <f t="shared" si="71"/>
        <v>1</v>
      </c>
      <c r="Q890" t="str">
        <f t="shared" si="72"/>
        <v/>
      </c>
      <c r="R890" t="str">
        <f t="shared" si="73"/>
        <v/>
      </c>
      <c r="S890" t="str">
        <f t="shared" si="74"/>
        <v>TC,a4ba211,7bbd8d5</v>
      </c>
    </row>
    <row r="891" spans="1:19">
      <c r="A891" t="s">
        <v>2880</v>
      </c>
      <c r="C891" t="s">
        <v>2567</v>
      </c>
      <c r="D891" s="3">
        <v>40142.754560185182</v>
      </c>
      <c r="E891" s="8" t="s">
        <v>2881</v>
      </c>
      <c r="F891" s="8" t="s">
        <v>2882</v>
      </c>
      <c r="G891" s="8" t="s">
        <v>2570</v>
      </c>
      <c r="H891" s="3">
        <v>40142.78533564815</v>
      </c>
      <c r="L891">
        <f t="shared" si="71"/>
        <v>0</v>
      </c>
      <c r="Q891" t="str">
        <f t="shared" si="72"/>
        <v/>
      </c>
      <c r="R891" t="str">
        <f t="shared" si="73"/>
        <v/>
      </c>
      <c r="S891" t="str">
        <f t="shared" si="74"/>
        <v/>
      </c>
    </row>
    <row r="892" spans="1:19">
      <c r="A892" t="s">
        <v>3577</v>
      </c>
      <c r="C892" t="s">
        <v>2567</v>
      </c>
      <c r="D892" s="3">
        <v>40144.786851851852</v>
      </c>
      <c r="E892" s="8" t="s">
        <v>3578</v>
      </c>
      <c r="F892" s="8" t="s">
        <v>3579</v>
      </c>
      <c r="G892" s="8" t="s">
        <v>2565</v>
      </c>
      <c r="H892" s="3">
        <v>40146.988032407404</v>
      </c>
      <c r="L892">
        <f t="shared" si="71"/>
        <v>0</v>
      </c>
      <c r="Q892" t="str">
        <f t="shared" si="72"/>
        <v/>
      </c>
      <c r="R892" t="str">
        <f t="shared" si="73"/>
        <v/>
      </c>
      <c r="S892" t="str">
        <f t="shared" si="74"/>
        <v/>
      </c>
    </row>
    <row r="893" spans="1:19">
      <c r="A893" t="s">
        <v>3143</v>
      </c>
      <c r="C893" t="s">
        <v>2600</v>
      </c>
      <c r="D893" s="3">
        <v>40140.381469907406</v>
      </c>
      <c r="E893" s="8" t="s">
        <v>3144</v>
      </c>
      <c r="F893" s="8" t="s">
        <v>3145</v>
      </c>
      <c r="G893" s="8" t="s">
        <v>2565</v>
      </c>
      <c r="H893" s="3">
        <v>40147.604421296295</v>
      </c>
      <c r="K893">
        <v>1</v>
      </c>
      <c r="L893">
        <f t="shared" si="71"/>
        <v>1</v>
      </c>
      <c r="Q893" t="str">
        <f t="shared" si="72"/>
        <v/>
      </c>
      <c r="R893" t="str">
        <f t="shared" si="73"/>
        <v/>
      </c>
      <c r="S893" t="str">
        <f t="shared" si="74"/>
        <v>TC,e8b1c8d,fa9f752</v>
      </c>
    </row>
    <row r="894" spans="1:19">
      <c r="A894" t="s">
        <v>3463</v>
      </c>
      <c r="C894" t="s">
        <v>2570</v>
      </c>
      <c r="D894" s="3">
        <v>40150.540590277778</v>
      </c>
      <c r="E894" s="8" t="s">
        <v>3464</v>
      </c>
      <c r="F894" s="8" t="s">
        <v>3465</v>
      </c>
      <c r="G894" s="8" t="s">
        <v>2567</v>
      </c>
      <c r="H894" s="3">
        <v>40150.63013888889</v>
      </c>
      <c r="K894">
        <v>1</v>
      </c>
      <c r="L894">
        <f t="shared" si="71"/>
        <v>1</v>
      </c>
      <c r="Q894" t="str">
        <f t="shared" si="72"/>
        <v/>
      </c>
      <c r="R894" t="str">
        <f t="shared" si="73"/>
        <v/>
      </c>
      <c r="S894" t="str">
        <f t="shared" si="74"/>
        <v>TC,6129302,dd36379</v>
      </c>
    </row>
    <row r="895" spans="1:19">
      <c r="A895" t="s">
        <v>2999</v>
      </c>
      <c r="C895" t="s">
        <v>2570</v>
      </c>
      <c r="D895" s="3">
        <v>40150.802453703705</v>
      </c>
      <c r="E895" s="8" t="s">
        <v>3000</v>
      </c>
      <c r="F895" s="8" t="s">
        <v>3001</v>
      </c>
      <c r="G895" s="8" t="s">
        <v>2567</v>
      </c>
      <c r="H895" s="3">
        <v>40151.749293981484</v>
      </c>
      <c r="L895">
        <f t="shared" si="71"/>
        <v>0</v>
      </c>
      <c r="Q895" t="str">
        <f t="shared" si="72"/>
        <v/>
      </c>
      <c r="R895" t="str">
        <f t="shared" si="73"/>
        <v/>
      </c>
      <c r="S895" t="str">
        <f t="shared" si="74"/>
        <v/>
      </c>
    </row>
    <row r="896" spans="1:19">
      <c r="A896" t="s">
        <v>3018</v>
      </c>
      <c r="C896" t="s">
        <v>2567</v>
      </c>
      <c r="D896" s="3">
        <v>40151.749571759261</v>
      </c>
      <c r="E896" s="8" t="s">
        <v>3019</v>
      </c>
      <c r="F896" s="8" t="s">
        <v>3020</v>
      </c>
      <c r="G896" s="8" t="s">
        <v>2570</v>
      </c>
      <c r="H896" s="3">
        <v>40151.770277777781</v>
      </c>
      <c r="L896">
        <f t="shared" si="71"/>
        <v>0</v>
      </c>
      <c r="Q896" t="str">
        <f t="shared" si="72"/>
        <v/>
      </c>
      <c r="R896" t="str">
        <f t="shared" si="73"/>
        <v/>
      </c>
      <c r="S896" t="str">
        <f t="shared" si="74"/>
        <v/>
      </c>
    </row>
    <row r="897" spans="1:19">
      <c r="A897" t="s">
        <v>3477</v>
      </c>
      <c r="C897" t="s">
        <v>2567</v>
      </c>
      <c r="D897" s="3">
        <v>40151.874444444446</v>
      </c>
      <c r="E897" s="8" t="s">
        <v>3478</v>
      </c>
      <c r="F897" s="8" t="s">
        <v>3674</v>
      </c>
      <c r="G897" s="8" t="s">
        <v>2738</v>
      </c>
      <c r="H897" s="3">
        <v>40152.568124999998</v>
      </c>
      <c r="L897">
        <f t="shared" si="71"/>
        <v>0</v>
      </c>
      <c r="Q897" t="str">
        <f t="shared" si="72"/>
        <v/>
      </c>
      <c r="R897" t="str">
        <f t="shared" si="73"/>
        <v/>
      </c>
      <c r="S897" t="str">
        <f t="shared" si="74"/>
        <v/>
      </c>
    </row>
    <row r="898" spans="1:19">
      <c r="A898" t="s">
        <v>3285</v>
      </c>
      <c r="C898" t="s">
        <v>2600</v>
      </c>
      <c r="D898" s="3">
        <v>40152.40247685185</v>
      </c>
      <c r="E898" s="8" t="s">
        <v>3286</v>
      </c>
      <c r="F898" s="8" t="s">
        <v>3671</v>
      </c>
      <c r="G898" s="8" t="s">
        <v>3681</v>
      </c>
      <c r="H898" s="3">
        <v>40152.878865740742</v>
      </c>
      <c r="I898">
        <v>1</v>
      </c>
      <c r="K898">
        <v>1</v>
      </c>
      <c r="L898">
        <f t="shared" si="71"/>
        <v>2</v>
      </c>
      <c r="Q898" t="str">
        <f t="shared" si="72"/>
        <v>MC,86ea2b1,8942921</v>
      </c>
      <c r="R898" t="str">
        <f t="shared" si="73"/>
        <v/>
      </c>
      <c r="S898" t="str">
        <f t="shared" si="74"/>
        <v>TC,86ea2b1,8942921</v>
      </c>
    </row>
    <row r="899" spans="1:19">
      <c r="A899" t="s">
        <v>2967</v>
      </c>
      <c r="C899" t="s">
        <v>2570</v>
      </c>
      <c r="D899" s="3">
        <v>40155.783078703702</v>
      </c>
      <c r="E899" s="8" t="s">
        <v>2968</v>
      </c>
      <c r="F899" s="8" t="s">
        <v>2969</v>
      </c>
      <c r="G899" s="8" t="s">
        <v>2567</v>
      </c>
      <c r="H899" s="3">
        <v>40155.783877314818</v>
      </c>
      <c r="K899">
        <v>1</v>
      </c>
      <c r="L899">
        <f t="shared" si="71"/>
        <v>1</v>
      </c>
      <c r="Q899" t="str">
        <f t="shared" si="72"/>
        <v/>
      </c>
      <c r="R899" t="str">
        <f t="shared" si="73"/>
        <v/>
      </c>
      <c r="S899" t="str">
        <f t="shared" si="74"/>
        <v>TC,f085f18,8f69961</v>
      </c>
    </row>
    <row r="900" spans="1:19">
      <c r="A900" t="s">
        <v>2970</v>
      </c>
      <c r="C900" t="s">
        <v>2738</v>
      </c>
      <c r="D900" s="3">
        <v>40157.060034722221</v>
      </c>
      <c r="E900" s="8" t="s">
        <v>2971</v>
      </c>
      <c r="F900" s="8" t="s">
        <v>2972</v>
      </c>
      <c r="G900" s="8" t="s">
        <v>2567</v>
      </c>
      <c r="H900" s="3">
        <v>40157.441840277781</v>
      </c>
      <c r="K900">
        <v>1</v>
      </c>
      <c r="L900">
        <f t="shared" si="71"/>
        <v>1</v>
      </c>
      <c r="Q900" t="str">
        <f t="shared" si="72"/>
        <v/>
      </c>
      <c r="R900" t="str">
        <f t="shared" si="73"/>
        <v/>
      </c>
      <c r="S900" t="str">
        <f t="shared" si="74"/>
        <v>TC,29a6e72,7e263fe</v>
      </c>
    </row>
    <row r="901" spans="1:19">
      <c r="A901" t="s">
        <v>3616</v>
      </c>
      <c r="C901" t="s">
        <v>2738</v>
      </c>
      <c r="D901" s="3">
        <v>40157.060034722221</v>
      </c>
      <c r="E901" s="8" t="s">
        <v>2971</v>
      </c>
      <c r="F901" s="8" t="s">
        <v>3617</v>
      </c>
      <c r="G901" s="8" t="s">
        <v>2570</v>
      </c>
      <c r="H901" s="3">
        <v>40157.446979166663</v>
      </c>
      <c r="K901">
        <v>1</v>
      </c>
      <c r="L901">
        <f t="shared" si="71"/>
        <v>1</v>
      </c>
      <c r="Q901" t="str">
        <f t="shared" si="72"/>
        <v/>
      </c>
      <c r="R901" t="str">
        <f t="shared" si="73"/>
        <v/>
      </c>
      <c r="S901" t="str">
        <f t="shared" si="74"/>
        <v>TC,29a6e72,c909562</v>
      </c>
    </row>
    <row r="902" spans="1:19">
      <c r="A902" t="s">
        <v>3511</v>
      </c>
      <c r="C902" t="s">
        <v>2570</v>
      </c>
      <c r="D902" s="3">
        <v>40155.812673611108</v>
      </c>
      <c r="E902" s="8" t="s">
        <v>3512</v>
      </c>
      <c r="F902" s="8" t="s">
        <v>3513</v>
      </c>
      <c r="G902" s="8" t="s">
        <v>2562</v>
      </c>
      <c r="H902" s="3">
        <v>40157.493993055556</v>
      </c>
      <c r="I902">
        <v>1</v>
      </c>
      <c r="K902">
        <v>1</v>
      </c>
      <c r="L902">
        <f t="shared" si="71"/>
        <v>2</v>
      </c>
      <c r="Q902" t="str">
        <f t="shared" si="72"/>
        <v>MC,233e2d0,421e36d</v>
      </c>
      <c r="R902" t="str">
        <f t="shared" si="73"/>
        <v/>
      </c>
      <c r="S902" t="str">
        <f t="shared" si="74"/>
        <v>TC,233e2d0,421e36d</v>
      </c>
    </row>
    <row r="903" spans="1:19">
      <c r="A903" t="s">
        <v>2647</v>
      </c>
      <c r="C903" t="s">
        <v>2567</v>
      </c>
      <c r="D903" s="3">
        <v>40157.606874999998</v>
      </c>
      <c r="E903" s="8" t="s">
        <v>2648</v>
      </c>
      <c r="F903" s="8" t="s">
        <v>2649</v>
      </c>
      <c r="G903" s="8" t="s">
        <v>2570</v>
      </c>
      <c r="H903" s="3">
        <v>40157.625844907408</v>
      </c>
      <c r="L903">
        <f t="shared" si="71"/>
        <v>0</v>
      </c>
      <c r="Q903" t="str">
        <f t="shared" si="72"/>
        <v/>
      </c>
      <c r="R903" t="str">
        <f t="shared" si="73"/>
        <v/>
      </c>
      <c r="S903" t="str">
        <f t="shared" si="74"/>
        <v/>
      </c>
    </row>
    <row r="904" spans="1:19">
      <c r="A904" t="s">
        <v>3597</v>
      </c>
      <c r="C904" t="s">
        <v>3598</v>
      </c>
      <c r="D904" s="3">
        <v>40159.052314814813</v>
      </c>
      <c r="E904" s="8" t="s">
        <v>3599</v>
      </c>
      <c r="F904" s="8" t="s">
        <v>3600</v>
      </c>
      <c r="G904" s="8" t="s">
        <v>2738</v>
      </c>
      <c r="H904" s="3">
        <v>40160.620358796295</v>
      </c>
      <c r="J904">
        <v>1</v>
      </c>
      <c r="L904">
        <f t="shared" si="71"/>
        <v>1</v>
      </c>
      <c r="Q904" t="str">
        <f t="shared" si="72"/>
        <v/>
      </c>
      <c r="R904" t="str">
        <f t="shared" si="73"/>
        <v>BC,a8ed507,39c00cc</v>
      </c>
      <c r="S904" t="str">
        <f t="shared" si="74"/>
        <v/>
      </c>
    </row>
    <row r="905" spans="1:19">
      <c r="A905" t="s">
        <v>2856</v>
      </c>
      <c r="C905" t="s">
        <v>2567</v>
      </c>
      <c r="D905" s="3">
        <v>40157.857615740744</v>
      </c>
      <c r="E905" s="8" t="s">
        <v>2857</v>
      </c>
      <c r="F905" s="8" t="s">
        <v>2858</v>
      </c>
      <c r="G905" s="8" t="s">
        <v>2570</v>
      </c>
      <c r="H905" s="3">
        <v>40160.850185185183</v>
      </c>
      <c r="L905">
        <f t="shared" si="71"/>
        <v>0</v>
      </c>
      <c r="Q905" t="str">
        <f t="shared" si="72"/>
        <v/>
      </c>
      <c r="R905" t="str">
        <f t="shared" si="73"/>
        <v/>
      </c>
      <c r="S905" t="str">
        <f t="shared" si="74"/>
        <v/>
      </c>
    </row>
    <row r="906" spans="1:19">
      <c r="A906" t="s">
        <v>3601</v>
      </c>
      <c r="C906" t="s">
        <v>2567</v>
      </c>
      <c r="D906" s="3">
        <v>40155.783877314818</v>
      </c>
      <c r="E906" s="8" t="s">
        <v>3602</v>
      </c>
      <c r="F906" s="8" t="s">
        <v>3603</v>
      </c>
      <c r="G906" s="8" t="s">
        <v>2598</v>
      </c>
      <c r="H906" s="3">
        <v>40161.372604166667</v>
      </c>
      <c r="K906">
        <v>1</v>
      </c>
      <c r="L906">
        <f t="shared" si="71"/>
        <v>1</v>
      </c>
      <c r="Q906" t="str">
        <f t="shared" si="72"/>
        <v/>
      </c>
      <c r="R906" t="str">
        <f t="shared" si="73"/>
        <v/>
      </c>
      <c r="S906" t="str">
        <f t="shared" si="74"/>
        <v>TC,0843f70,56c5694</v>
      </c>
    </row>
    <row r="907" spans="1:19">
      <c r="A907" t="s">
        <v>3127</v>
      </c>
      <c r="C907" t="s">
        <v>2567</v>
      </c>
      <c r="D907" s="3">
        <v>40161.430995370371</v>
      </c>
      <c r="E907" s="8" t="s">
        <v>3128</v>
      </c>
      <c r="F907" s="8" t="s">
        <v>3129</v>
      </c>
      <c r="G907" s="8" t="s">
        <v>2570</v>
      </c>
      <c r="H907" s="3">
        <v>40161.43849537037</v>
      </c>
      <c r="L907">
        <f t="shared" si="71"/>
        <v>0</v>
      </c>
      <c r="Q907" t="str">
        <f t="shared" si="72"/>
        <v/>
      </c>
      <c r="R907" t="str">
        <f t="shared" si="73"/>
        <v/>
      </c>
      <c r="S907" t="str">
        <f t="shared" si="74"/>
        <v/>
      </c>
    </row>
    <row r="908" spans="1:19">
      <c r="A908" t="s">
        <v>3560</v>
      </c>
      <c r="C908" t="s">
        <v>2565</v>
      </c>
      <c r="D908" s="3">
        <v>40161.924328703702</v>
      </c>
      <c r="E908" s="8" t="s">
        <v>3561</v>
      </c>
      <c r="F908" s="8" t="s">
        <v>3562</v>
      </c>
      <c r="G908" s="8" t="s">
        <v>2562</v>
      </c>
      <c r="H908" s="3">
        <v>40162.544421296298</v>
      </c>
      <c r="L908">
        <f t="shared" si="71"/>
        <v>0</v>
      </c>
      <c r="Q908" t="str">
        <f t="shared" si="72"/>
        <v/>
      </c>
      <c r="R908" t="str">
        <f t="shared" si="73"/>
        <v/>
      </c>
      <c r="S908" t="str">
        <f t="shared" si="74"/>
        <v/>
      </c>
    </row>
    <row r="909" spans="1:19">
      <c r="A909" t="s">
        <v>3073</v>
      </c>
      <c r="C909" t="s">
        <v>2562</v>
      </c>
      <c r="D909" s="3">
        <v>40160.94667824074</v>
      </c>
      <c r="E909" s="8" t="s">
        <v>3074</v>
      </c>
      <c r="F909" s="8" t="s">
        <v>2680</v>
      </c>
      <c r="G909" s="8" t="s">
        <v>3685</v>
      </c>
      <c r="H909" s="3">
        <v>40162.572245370371</v>
      </c>
      <c r="L909">
        <f t="shared" si="71"/>
        <v>0</v>
      </c>
      <c r="Q909" t="str">
        <f t="shared" si="72"/>
        <v/>
      </c>
      <c r="R909" t="str">
        <f t="shared" si="73"/>
        <v/>
      </c>
      <c r="S909" t="str">
        <f t="shared" si="74"/>
        <v/>
      </c>
    </row>
    <row r="910" spans="1:19">
      <c r="A910" t="s">
        <v>3031</v>
      </c>
      <c r="C910" t="s">
        <v>2570</v>
      </c>
      <c r="D910" s="3">
        <v>40162.605879629627</v>
      </c>
      <c r="E910" s="8" t="s">
        <v>3032</v>
      </c>
      <c r="F910" s="8" t="s">
        <v>3668</v>
      </c>
      <c r="G910" s="8" t="s">
        <v>2567</v>
      </c>
      <c r="H910" s="3">
        <v>40162.606770833336</v>
      </c>
      <c r="I910">
        <v>1</v>
      </c>
      <c r="L910">
        <f t="shared" si="71"/>
        <v>1</v>
      </c>
      <c r="Q910" t="str">
        <f t="shared" si="72"/>
        <v>MC,249d363,4008155</v>
      </c>
      <c r="R910" t="str">
        <f t="shared" si="73"/>
        <v/>
      </c>
      <c r="S910" t="str">
        <f t="shared" si="74"/>
        <v/>
      </c>
    </row>
    <row r="911" spans="1:19">
      <c r="A911" t="s">
        <v>3056</v>
      </c>
      <c r="C911" t="s">
        <v>2570</v>
      </c>
      <c r="D911" s="3">
        <v>40162.65865740741</v>
      </c>
      <c r="E911" s="8" t="s">
        <v>3057</v>
      </c>
      <c r="F911" s="8" t="s">
        <v>3058</v>
      </c>
      <c r="G911" s="8" t="s">
        <v>3678</v>
      </c>
      <c r="H911" s="3">
        <v>40162.673310185186</v>
      </c>
      <c r="L911">
        <f t="shared" si="71"/>
        <v>0</v>
      </c>
      <c r="Q911" t="str">
        <f t="shared" si="72"/>
        <v/>
      </c>
      <c r="R911" t="str">
        <f t="shared" si="73"/>
        <v/>
      </c>
      <c r="S911" t="str">
        <f t="shared" si="74"/>
        <v/>
      </c>
    </row>
    <row r="912" spans="1:19">
      <c r="A912" t="s">
        <v>2679</v>
      </c>
      <c r="C912" t="s">
        <v>2562</v>
      </c>
      <c r="D912" s="3">
        <v>40162.572245370371</v>
      </c>
      <c r="E912" s="8" t="s">
        <v>2680</v>
      </c>
      <c r="F912" s="8" t="s">
        <v>2681</v>
      </c>
      <c r="G912" s="8" t="s">
        <v>2567</v>
      </c>
      <c r="H912" s="3">
        <v>40162.726770833331</v>
      </c>
      <c r="L912">
        <f t="shared" si="71"/>
        <v>0</v>
      </c>
      <c r="Q912" t="str">
        <f t="shared" si="72"/>
        <v/>
      </c>
      <c r="R912" t="str">
        <f t="shared" si="73"/>
        <v/>
      </c>
      <c r="S912" t="str">
        <f t="shared" si="74"/>
        <v/>
      </c>
    </row>
    <row r="913" spans="1:19">
      <c r="A913" t="s">
        <v>3448</v>
      </c>
      <c r="C913" t="s">
        <v>2567</v>
      </c>
      <c r="D913" s="3">
        <v>40162.749039351853</v>
      </c>
      <c r="E913" s="8" t="s">
        <v>3449</v>
      </c>
      <c r="F913" s="8" t="s">
        <v>3450</v>
      </c>
      <c r="G913" s="8" t="s">
        <v>3677</v>
      </c>
      <c r="H913" s="3">
        <v>40162.756990740738</v>
      </c>
      <c r="L913">
        <f t="shared" si="71"/>
        <v>0</v>
      </c>
      <c r="Q913" t="str">
        <f t="shared" si="72"/>
        <v/>
      </c>
      <c r="R913" t="str">
        <f t="shared" si="73"/>
        <v/>
      </c>
      <c r="S913" t="str">
        <f t="shared" si="74"/>
        <v/>
      </c>
    </row>
    <row r="914" spans="1:19">
      <c r="A914" t="s">
        <v>2973</v>
      </c>
      <c r="C914" t="s">
        <v>2567</v>
      </c>
      <c r="D914" s="3">
        <v>40162.757280092592</v>
      </c>
      <c r="E914" s="8" t="s">
        <v>2974</v>
      </c>
      <c r="F914" s="8" t="s">
        <v>2975</v>
      </c>
      <c r="G914" s="8" t="s">
        <v>3677</v>
      </c>
      <c r="H914" s="3">
        <v>40162.775625000002</v>
      </c>
      <c r="L914">
        <f t="shared" si="71"/>
        <v>0</v>
      </c>
      <c r="Q914" t="str">
        <f t="shared" si="72"/>
        <v/>
      </c>
      <c r="R914" t="str">
        <f t="shared" si="73"/>
        <v/>
      </c>
      <c r="S914" t="str">
        <f t="shared" si="74"/>
        <v/>
      </c>
    </row>
    <row r="915" spans="1:19">
      <c r="A915" t="s">
        <v>3514</v>
      </c>
      <c r="C915" t="s">
        <v>2567</v>
      </c>
      <c r="D915" s="3">
        <v>40162.790243055555</v>
      </c>
      <c r="E915" s="8" t="s">
        <v>3515</v>
      </c>
      <c r="F915" s="8" t="s">
        <v>3516</v>
      </c>
      <c r="G915" s="8" t="s">
        <v>2570</v>
      </c>
      <c r="H915" s="3">
        <v>40163.459710648145</v>
      </c>
      <c r="I915">
        <v>1</v>
      </c>
      <c r="J915">
        <v>1</v>
      </c>
      <c r="L915">
        <f t="shared" si="71"/>
        <v>2</v>
      </c>
      <c r="Q915" t="str">
        <f t="shared" si="72"/>
        <v>MC,f1e5ec7,604acf9</v>
      </c>
      <c r="R915" t="str">
        <f t="shared" si="73"/>
        <v>BC,f1e5ec7,604acf9</v>
      </c>
      <c r="S915" t="str">
        <f t="shared" si="74"/>
        <v/>
      </c>
    </row>
    <row r="916" spans="1:19">
      <c r="A916" t="s">
        <v>3280</v>
      </c>
      <c r="C916" t="s">
        <v>2567</v>
      </c>
      <c r="D916" s="3">
        <v>40161.928136574075</v>
      </c>
      <c r="E916" s="8" t="s">
        <v>3281</v>
      </c>
      <c r="F916" s="8" t="s">
        <v>3282</v>
      </c>
      <c r="G916" s="8" t="s">
        <v>2570</v>
      </c>
      <c r="H916" s="3">
        <v>40163.566099537034</v>
      </c>
      <c r="I916">
        <v>1</v>
      </c>
      <c r="L916">
        <f t="shared" si="71"/>
        <v>1</v>
      </c>
      <c r="Q916" t="str">
        <f t="shared" si="72"/>
        <v>MC,edc670a,49ec7b2</v>
      </c>
      <c r="R916" t="str">
        <f t="shared" si="73"/>
        <v/>
      </c>
      <c r="S916" t="str">
        <f t="shared" si="74"/>
        <v/>
      </c>
    </row>
    <row r="917" spans="1:19">
      <c r="A917" t="s">
        <v>3400</v>
      </c>
      <c r="C917" t="s">
        <v>2567</v>
      </c>
      <c r="D917" s="3">
        <v>40163.633379629631</v>
      </c>
      <c r="E917" s="8" t="s">
        <v>3401</v>
      </c>
      <c r="F917" s="8" t="s">
        <v>3402</v>
      </c>
      <c r="G917" s="8" t="s">
        <v>2570</v>
      </c>
      <c r="H917" s="3">
        <v>40163.696145833332</v>
      </c>
      <c r="L917">
        <f t="shared" si="71"/>
        <v>0</v>
      </c>
      <c r="Q917" t="str">
        <f t="shared" si="72"/>
        <v/>
      </c>
      <c r="R917" t="str">
        <f t="shared" si="73"/>
        <v/>
      </c>
      <c r="S917" t="str">
        <f t="shared" si="74"/>
        <v/>
      </c>
    </row>
    <row r="918" spans="1:19">
      <c r="A918" t="s">
        <v>3146</v>
      </c>
      <c r="C918" t="s">
        <v>2567</v>
      </c>
      <c r="D918" s="3">
        <v>40163.844699074078</v>
      </c>
      <c r="E918" s="8" t="s">
        <v>3147</v>
      </c>
      <c r="F918" s="8" t="s">
        <v>3148</v>
      </c>
      <c r="G918" s="8" t="s">
        <v>2570</v>
      </c>
      <c r="H918" s="3">
        <v>40164.626168981478</v>
      </c>
      <c r="L918">
        <f t="shared" si="71"/>
        <v>0</v>
      </c>
      <c r="Q918" t="str">
        <f t="shared" si="72"/>
        <v/>
      </c>
      <c r="R918" t="str">
        <f t="shared" si="73"/>
        <v/>
      </c>
      <c r="S918" t="str">
        <f t="shared" si="74"/>
        <v/>
      </c>
    </row>
    <row r="919" spans="1:19">
      <c r="A919" t="s">
        <v>3109</v>
      </c>
      <c r="C919" t="s">
        <v>2567</v>
      </c>
      <c r="D919" s="3">
        <v>40164.623993055553</v>
      </c>
      <c r="E919" s="8" t="s">
        <v>3110</v>
      </c>
      <c r="F919" s="8" t="s">
        <v>3111</v>
      </c>
      <c r="G919" s="8" t="s">
        <v>2570</v>
      </c>
      <c r="H919" s="3">
        <v>40164.678761574076</v>
      </c>
      <c r="L919">
        <f t="shared" si="71"/>
        <v>0</v>
      </c>
      <c r="Q919" t="str">
        <f t="shared" si="72"/>
        <v/>
      </c>
      <c r="R919" t="str">
        <f t="shared" si="73"/>
        <v/>
      </c>
      <c r="S919" t="str">
        <f t="shared" si="74"/>
        <v/>
      </c>
    </row>
    <row r="920" spans="1:19">
      <c r="A920" t="s">
        <v>3149</v>
      </c>
      <c r="C920" t="s">
        <v>2570</v>
      </c>
      <c r="D920" s="3">
        <v>40164.769479166665</v>
      </c>
      <c r="E920" s="8" t="s">
        <v>3150</v>
      </c>
      <c r="F920" s="8" t="s">
        <v>3151</v>
      </c>
      <c r="G920" s="8" t="s">
        <v>2567</v>
      </c>
      <c r="H920" s="3">
        <v>40165.441840277781</v>
      </c>
      <c r="J920">
        <v>1</v>
      </c>
      <c r="L920">
        <f t="shared" si="71"/>
        <v>1</v>
      </c>
      <c r="Q920" t="str">
        <f t="shared" si="72"/>
        <v/>
      </c>
      <c r="R920" t="str">
        <f t="shared" si="73"/>
        <v>BC,35520c3,dd972af</v>
      </c>
      <c r="S920" t="str">
        <f t="shared" si="74"/>
        <v/>
      </c>
    </row>
    <row r="921" spans="1:19">
      <c r="A921" t="s">
        <v>3050</v>
      </c>
      <c r="C921" t="s">
        <v>2567</v>
      </c>
      <c r="D921" s="3">
        <v>40161.426469907405</v>
      </c>
      <c r="E921" s="8" t="s">
        <v>3051</v>
      </c>
      <c r="F921" s="8" t="s">
        <v>3052</v>
      </c>
      <c r="G921" s="8" t="s">
        <v>3677</v>
      </c>
      <c r="H921" s="3">
        <v>40165.448252314818</v>
      </c>
      <c r="K921">
        <v>1</v>
      </c>
      <c r="L921">
        <f t="shared" si="71"/>
        <v>1</v>
      </c>
      <c r="Q921" t="str">
        <f t="shared" si="72"/>
        <v/>
      </c>
      <c r="R921" t="str">
        <f t="shared" si="73"/>
        <v/>
      </c>
      <c r="S921" t="str">
        <f t="shared" si="74"/>
        <v>TC,53a4c42,73f32a4</v>
      </c>
    </row>
    <row r="922" spans="1:19">
      <c r="A922" t="s">
        <v>3371</v>
      </c>
      <c r="C922" t="s">
        <v>2562</v>
      </c>
      <c r="D922" s="3">
        <v>40162.63212962963</v>
      </c>
      <c r="E922" s="8" t="s">
        <v>3372</v>
      </c>
      <c r="F922" s="8" t="s">
        <v>3052</v>
      </c>
      <c r="G922" s="8" t="s">
        <v>2567</v>
      </c>
      <c r="H922" s="3">
        <v>40165.448252314818</v>
      </c>
      <c r="L922">
        <f t="shared" ref="L922:L985" si="75">COUNTA(I922:K922)</f>
        <v>0</v>
      </c>
      <c r="Q922" t="str">
        <f t="shared" ref="Q922:Q985" si="76">IF(I922&gt;0,CONCATENATE("MC,",E922,",",F922),"")</f>
        <v/>
      </c>
      <c r="R922" t="str">
        <f t="shared" ref="R922:R985" si="77">IF(J922&gt;0,CONCATENATE("BC,",E922,",",F922),"")</f>
        <v/>
      </c>
      <c r="S922" t="str">
        <f t="shared" ref="S922:S985" si="78">IF(K922&gt;0,CONCATENATE("TC,",E922,",",F922),"")</f>
        <v/>
      </c>
    </row>
    <row r="923" spans="1:19">
      <c r="A923" t="s">
        <v>3265</v>
      </c>
      <c r="C923" t="s">
        <v>2567</v>
      </c>
      <c r="D923" s="3">
        <v>40164.953622685185</v>
      </c>
      <c r="E923" s="8" t="s">
        <v>3266</v>
      </c>
      <c r="F923" s="8" t="s">
        <v>3267</v>
      </c>
      <c r="G923" s="8" t="s">
        <v>3677</v>
      </c>
      <c r="H923" s="3">
        <v>40165.451967592591</v>
      </c>
      <c r="I923">
        <v>1</v>
      </c>
      <c r="L923">
        <f t="shared" si="75"/>
        <v>1</v>
      </c>
      <c r="Q923" t="str">
        <f t="shared" si="76"/>
        <v>MC,77b906f,a7a33b4</v>
      </c>
      <c r="R923" t="str">
        <f t="shared" si="77"/>
        <v/>
      </c>
      <c r="S923" t="str">
        <f t="shared" si="78"/>
        <v/>
      </c>
    </row>
    <row r="924" spans="1:19">
      <c r="A924" t="s">
        <v>2976</v>
      </c>
      <c r="C924" t="s">
        <v>2570</v>
      </c>
      <c r="D924" s="3">
        <v>40164.686157407406</v>
      </c>
      <c r="E924" s="8" t="s">
        <v>2977</v>
      </c>
      <c r="F924" s="8" t="s">
        <v>3666</v>
      </c>
      <c r="G924" s="8" t="s">
        <v>2567</v>
      </c>
      <c r="H924" s="3">
        <v>40165.56858796296</v>
      </c>
      <c r="K924">
        <v>1</v>
      </c>
      <c r="L924">
        <f t="shared" si="75"/>
        <v>1</v>
      </c>
      <c r="Q924" t="str">
        <f t="shared" si="76"/>
        <v/>
      </c>
      <c r="R924" t="str">
        <f t="shared" si="77"/>
        <v/>
      </c>
      <c r="S924" t="str">
        <f t="shared" si="78"/>
        <v>TC,7ad2da5,9297910</v>
      </c>
    </row>
    <row r="925" spans="1:19">
      <c r="A925" t="s">
        <v>3059</v>
      </c>
      <c r="C925" t="s">
        <v>2567</v>
      </c>
      <c r="D925" s="3">
        <v>40168.765625</v>
      </c>
      <c r="E925" s="8" t="s">
        <v>3060</v>
      </c>
      <c r="F925" s="8" t="s">
        <v>3061</v>
      </c>
      <c r="G925" s="8" t="s">
        <v>2570</v>
      </c>
      <c r="H925" s="3">
        <v>40169.5234375</v>
      </c>
      <c r="K925">
        <v>1</v>
      </c>
      <c r="L925">
        <f t="shared" si="75"/>
        <v>1</v>
      </c>
      <c r="Q925" t="str">
        <f t="shared" si="76"/>
        <v/>
      </c>
      <c r="R925" t="str">
        <f t="shared" si="77"/>
        <v/>
      </c>
      <c r="S925" t="str">
        <f t="shared" si="78"/>
        <v>TC,db4212d,21f8287</v>
      </c>
    </row>
    <row r="926" spans="1:19">
      <c r="A926" t="s">
        <v>3112</v>
      </c>
      <c r="C926" t="s">
        <v>2567</v>
      </c>
      <c r="D926" s="3">
        <v>40169.671712962961</v>
      </c>
      <c r="E926" s="8" t="s">
        <v>3113</v>
      </c>
      <c r="F926" s="8" t="s">
        <v>3114</v>
      </c>
      <c r="G926" s="8" t="s">
        <v>2570</v>
      </c>
      <c r="H926" s="3">
        <v>40169.67527777778</v>
      </c>
      <c r="K926">
        <v>1</v>
      </c>
      <c r="L926">
        <f t="shared" si="75"/>
        <v>1</v>
      </c>
      <c r="Q926" t="str">
        <f t="shared" si="76"/>
        <v/>
      </c>
      <c r="R926" t="str">
        <f t="shared" si="77"/>
        <v/>
      </c>
      <c r="S926" t="str">
        <f t="shared" si="78"/>
        <v>TC,befa405,047312a</v>
      </c>
    </row>
    <row r="927" spans="1:19">
      <c r="A927" t="s">
        <v>3253</v>
      </c>
      <c r="C927" t="s">
        <v>2567</v>
      </c>
      <c r="D927" s="3">
        <v>40169.673472222225</v>
      </c>
      <c r="E927" s="8" t="s">
        <v>3254</v>
      </c>
      <c r="F927" s="8" t="s">
        <v>3255</v>
      </c>
      <c r="G927" s="8" t="s">
        <v>2570</v>
      </c>
      <c r="H927" s="3">
        <v>40169.722048611111</v>
      </c>
      <c r="K927">
        <v>1</v>
      </c>
      <c r="L927">
        <f t="shared" si="75"/>
        <v>1</v>
      </c>
      <c r="Q927" t="str">
        <f t="shared" si="76"/>
        <v/>
      </c>
      <c r="R927" t="str">
        <f t="shared" si="77"/>
        <v/>
      </c>
      <c r="S927" t="str">
        <f t="shared" si="78"/>
        <v>TC,ddbba4d,69be411</v>
      </c>
    </row>
    <row r="928" spans="1:19">
      <c r="A928" t="s">
        <v>3630</v>
      </c>
      <c r="C928" t="s">
        <v>2738</v>
      </c>
      <c r="D928" s="3">
        <v>40183.393599537034</v>
      </c>
      <c r="E928" s="8" t="s">
        <v>3631</v>
      </c>
      <c r="F928" s="8" t="s">
        <v>3632</v>
      </c>
      <c r="G928" s="8" t="s">
        <v>2570</v>
      </c>
      <c r="H928" s="3">
        <v>40183.42224537037</v>
      </c>
      <c r="I928">
        <v>1</v>
      </c>
      <c r="K928">
        <v>1</v>
      </c>
      <c r="L928">
        <f t="shared" si="75"/>
        <v>2</v>
      </c>
      <c r="Q928" t="str">
        <f t="shared" si="76"/>
        <v>MC,d9c194c,1b0196d</v>
      </c>
      <c r="R928" t="str">
        <f t="shared" si="77"/>
        <v/>
      </c>
      <c r="S928" t="str">
        <f t="shared" si="78"/>
        <v>TC,d9c194c,1b0196d</v>
      </c>
    </row>
    <row r="929" spans="1:19">
      <c r="A929" t="s">
        <v>3130</v>
      </c>
      <c r="C929" t="s">
        <v>2567</v>
      </c>
      <c r="D929" s="3">
        <v>40182.720775462964</v>
      </c>
      <c r="E929" s="8" t="s">
        <v>3131</v>
      </c>
      <c r="F929" s="8" t="s">
        <v>3132</v>
      </c>
      <c r="G929" s="8" t="s">
        <v>2570</v>
      </c>
      <c r="H929" s="3">
        <v>40183.457314814812</v>
      </c>
      <c r="I929">
        <v>1</v>
      </c>
      <c r="K929">
        <v>1</v>
      </c>
      <c r="L929">
        <f t="shared" si="75"/>
        <v>2</v>
      </c>
      <c r="Q929" t="str">
        <f t="shared" si="76"/>
        <v>MC,a0e207d,2c25d84</v>
      </c>
      <c r="R929" t="str">
        <f t="shared" si="77"/>
        <v/>
      </c>
      <c r="S929" t="str">
        <f t="shared" si="78"/>
        <v>TC,a0e207d,2c25d84</v>
      </c>
    </row>
    <row r="930" spans="1:19">
      <c r="A930" t="s">
        <v>3373</v>
      </c>
      <c r="C930" t="s">
        <v>2567</v>
      </c>
      <c r="D930" s="3">
        <v>40183.463599537034</v>
      </c>
      <c r="E930" s="8" t="s">
        <v>3374</v>
      </c>
      <c r="F930" s="8" t="s">
        <v>3375</v>
      </c>
      <c r="G930" s="8" t="s">
        <v>2570</v>
      </c>
      <c r="H930" s="3">
        <v>40183.514837962961</v>
      </c>
      <c r="K930">
        <v>1</v>
      </c>
      <c r="L930">
        <f t="shared" si="75"/>
        <v>1</v>
      </c>
      <c r="Q930" t="str">
        <f t="shared" si="76"/>
        <v/>
      </c>
      <c r="R930" t="str">
        <f t="shared" si="77"/>
        <v/>
      </c>
      <c r="S930" t="str">
        <f t="shared" si="78"/>
        <v>TC,2c168c7,059ac3b</v>
      </c>
    </row>
    <row r="931" spans="1:19">
      <c r="A931" t="s">
        <v>3466</v>
      </c>
      <c r="C931" t="s">
        <v>2653</v>
      </c>
      <c r="D931" s="3">
        <v>40179.454930555556</v>
      </c>
      <c r="E931" s="8" t="s">
        <v>3467</v>
      </c>
      <c r="F931" s="8" t="s">
        <v>3468</v>
      </c>
      <c r="G931" s="8" t="s">
        <v>2570</v>
      </c>
      <c r="H931" s="3">
        <v>40183.524444444447</v>
      </c>
      <c r="I931">
        <v>1</v>
      </c>
      <c r="K931">
        <v>1</v>
      </c>
      <c r="L931">
        <f t="shared" si="75"/>
        <v>2</v>
      </c>
      <c r="Q931" t="str">
        <f t="shared" si="76"/>
        <v>MC,954e0d4,7de5070</v>
      </c>
      <c r="R931" t="str">
        <f t="shared" si="77"/>
        <v/>
      </c>
      <c r="S931" t="str">
        <f t="shared" si="78"/>
        <v>TC,954e0d4,7de5070</v>
      </c>
    </row>
    <row r="932" spans="1:19">
      <c r="A932" t="s">
        <v>3334</v>
      </c>
      <c r="C932" t="s">
        <v>2567</v>
      </c>
      <c r="D932" s="3">
        <v>40183.552511574075</v>
      </c>
      <c r="E932" s="8" t="s">
        <v>3335</v>
      </c>
      <c r="F932" s="8" t="s">
        <v>3336</v>
      </c>
      <c r="G932" s="8" t="s">
        <v>2570</v>
      </c>
      <c r="H932" s="3">
        <v>40183.574340277781</v>
      </c>
      <c r="K932">
        <v>1</v>
      </c>
      <c r="L932">
        <f t="shared" si="75"/>
        <v>1</v>
      </c>
      <c r="Q932" t="str">
        <f t="shared" si="76"/>
        <v/>
      </c>
      <c r="R932" t="str">
        <f t="shared" si="77"/>
        <v/>
      </c>
      <c r="S932" t="str">
        <f t="shared" si="78"/>
        <v>TC,925cc61,2a21f07</v>
      </c>
    </row>
    <row r="933" spans="1:19">
      <c r="A933" t="s">
        <v>2840</v>
      </c>
      <c r="C933" t="s">
        <v>2567</v>
      </c>
      <c r="D933" s="3">
        <v>40183.572106481479</v>
      </c>
      <c r="E933" s="8" t="s">
        <v>2841</v>
      </c>
      <c r="F933" s="8" t="s">
        <v>2842</v>
      </c>
      <c r="G933" s="8" t="s">
        <v>2570</v>
      </c>
      <c r="H933" s="3">
        <v>40183.604421296295</v>
      </c>
      <c r="K933">
        <v>1</v>
      </c>
      <c r="L933">
        <f t="shared" si="75"/>
        <v>1</v>
      </c>
      <c r="Q933" t="str">
        <f t="shared" si="76"/>
        <v/>
      </c>
      <c r="R933" t="str">
        <f t="shared" si="77"/>
        <v/>
      </c>
      <c r="S933" t="str">
        <f t="shared" si="78"/>
        <v>TC,1f6a817,a0002a2</v>
      </c>
    </row>
    <row r="934" spans="1:19">
      <c r="A934" t="s">
        <v>3417</v>
      </c>
      <c r="C934" t="s">
        <v>2567</v>
      </c>
      <c r="D934" s="3">
        <v>40183.602754629632</v>
      </c>
      <c r="E934" s="8" t="s">
        <v>3418</v>
      </c>
      <c r="F934" s="8" t="s">
        <v>3419</v>
      </c>
      <c r="G934" s="8" t="s">
        <v>2570</v>
      </c>
      <c r="H934" s="3">
        <v>40183.637743055559</v>
      </c>
      <c r="L934">
        <f t="shared" si="75"/>
        <v>0</v>
      </c>
      <c r="Q934" t="str">
        <f t="shared" si="76"/>
        <v/>
      </c>
      <c r="R934" t="str">
        <f t="shared" si="77"/>
        <v/>
      </c>
      <c r="S934" t="str">
        <f t="shared" si="78"/>
        <v/>
      </c>
    </row>
    <row r="935" spans="1:19">
      <c r="A935" t="s">
        <v>3182</v>
      </c>
      <c r="C935" t="s">
        <v>2570</v>
      </c>
      <c r="D935" s="3">
        <v>40183.594363425924</v>
      </c>
      <c r="E935" s="8" t="s">
        <v>3183</v>
      </c>
      <c r="F935" s="8" t="s">
        <v>2916</v>
      </c>
      <c r="G935" s="8" t="s">
        <v>2653</v>
      </c>
      <c r="H935" s="3">
        <v>40183.640497685185</v>
      </c>
      <c r="L935">
        <f t="shared" si="75"/>
        <v>0</v>
      </c>
      <c r="Q935" t="str">
        <f t="shared" si="76"/>
        <v/>
      </c>
      <c r="R935" t="str">
        <f t="shared" si="77"/>
        <v/>
      </c>
      <c r="S935" t="str">
        <f t="shared" si="78"/>
        <v/>
      </c>
    </row>
    <row r="936" spans="1:19">
      <c r="A936" t="s">
        <v>3580</v>
      </c>
      <c r="C936" t="s">
        <v>2567</v>
      </c>
      <c r="D936" s="3">
        <v>40183.659004629626</v>
      </c>
      <c r="E936" s="8" t="s">
        <v>3581</v>
      </c>
      <c r="F936" s="8" t="s">
        <v>3582</v>
      </c>
      <c r="G936" s="8" t="s">
        <v>2570</v>
      </c>
      <c r="H936" s="3">
        <v>40183.665196759262</v>
      </c>
      <c r="K936">
        <v>1</v>
      </c>
      <c r="L936">
        <f t="shared" si="75"/>
        <v>1</v>
      </c>
      <c r="Q936" t="str">
        <f t="shared" si="76"/>
        <v/>
      </c>
      <c r="R936" t="str">
        <f t="shared" si="77"/>
        <v/>
      </c>
      <c r="S936" t="str">
        <f t="shared" si="78"/>
        <v>TC,b00c12e,aaa5ff5</v>
      </c>
    </row>
    <row r="937" spans="1:19">
      <c r="A937" t="s">
        <v>2934</v>
      </c>
      <c r="C937" t="s">
        <v>2570</v>
      </c>
      <c r="D937" s="3">
        <v>40183.773877314816</v>
      </c>
      <c r="E937" s="8" t="s">
        <v>2935</v>
      </c>
      <c r="F937" s="8" t="s">
        <v>2936</v>
      </c>
      <c r="G937" s="8" t="s">
        <v>2567</v>
      </c>
      <c r="H937" s="3">
        <v>40183.787581018521</v>
      </c>
      <c r="L937">
        <f t="shared" si="75"/>
        <v>0</v>
      </c>
      <c r="Q937" t="str">
        <f t="shared" si="76"/>
        <v/>
      </c>
      <c r="R937" t="str">
        <f t="shared" si="77"/>
        <v/>
      </c>
      <c r="S937" t="str">
        <f t="shared" si="78"/>
        <v/>
      </c>
    </row>
    <row r="938" spans="1:19">
      <c r="A938" t="s">
        <v>3221</v>
      </c>
      <c r="C938" t="s">
        <v>2567</v>
      </c>
      <c r="D938" s="3">
        <v>40184.428159722222</v>
      </c>
      <c r="E938" s="8" t="s">
        <v>3222</v>
      </c>
      <c r="F938" s="8" t="s">
        <v>3223</v>
      </c>
      <c r="G938" s="8" t="s">
        <v>2570</v>
      </c>
      <c r="H938" s="3">
        <v>40184.459363425929</v>
      </c>
      <c r="L938">
        <f t="shared" si="75"/>
        <v>0</v>
      </c>
      <c r="Q938" t="str">
        <f t="shared" si="76"/>
        <v/>
      </c>
      <c r="R938" t="str">
        <f t="shared" si="77"/>
        <v/>
      </c>
      <c r="S938" t="str">
        <f t="shared" si="78"/>
        <v/>
      </c>
    </row>
    <row r="939" spans="1:19">
      <c r="A939" t="s">
        <v>2705</v>
      </c>
      <c r="C939" t="s">
        <v>2570</v>
      </c>
      <c r="D939" s="3">
        <v>40184.681979166664</v>
      </c>
      <c r="E939" s="8" t="s">
        <v>2706</v>
      </c>
      <c r="F939" s="8" t="s">
        <v>2707</v>
      </c>
      <c r="G939" s="8" t="s">
        <v>2567</v>
      </c>
      <c r="H939" s="3">
        <v>40184.7578587963</v>
      </c>
      <c r="L939">
        <f t="shared" si="75"/>
        <v>0</v>
      </c>
      <c r="Q939" t="str">
        <f t="shared" si="76"/>
        <v/>
      </c>
      <c r="R939" t="str">
        <f t="shared" si="77"/>
        <v/>
      </c>
      <c r="S939" t="str">
        <f t="shared" si="78"/>
        <v/>
      </c>
    </row>
    <row r="940" spans="1:19">
      <c r="A940" t="s">
        <v>3268</v>
      </c>
      <c r="C940" t="s">
        <v>2570</v>
      </c>
      <c r="D940" s="3">
        <v>40184.681979166664</v>
      </c>
      <c r="E940" s="8" t="s">
        <v>2706</v>
      </c>
      <c r="F940" s="8" t="s">
        <v>2707</v>
      </c>
      <c r="G940" s="8" t="s">
        <v>2567</v>
      </c>
      <c r="H940" s="3">
        <v>40184.7578587963</v>
      </c>
      <c r="L940">
        <f t="shared" si="75"/>
        <v>0</v>
      </c>
      <c r="Q940" t="str">
        <f t="shared" si="76"/>
        <v/>
      </c>
      <c r="R940" t="str">
        <f t="shared" si="77"/>
        <v/>
      </c>
      <c r="S940" t="str">
        <f t="shared" si="78"/>
        <v/>
      </c>
    </row>
    <row r="941" spans="1:19">
      <c r="A941" t="s">
        <v>3314</v>
      </c>
      <c r="C941" t="s">
        <v>2567</v>
      </c>
      <c r="D941" s="3">
        <v>40185.484594907408</v>
      </c>
      <c r="E941" s="8" t="s">
        <v>3315</v>
      </c>
      <c r="F941" s="8" t="s">
        <v>3316</v>
      </c>
      <c r="G941" s="8" t="s">
        <v>3677</v>
      </c>
      <c r="H941" s="3">
        <v>40185.501493055555</v>
      </c>
      <c r="J941">
        <v>1</v>
      </c>
      <c r="L941">
        <f t="shared" si="75"/>
        <v>1</v>
      </c>
      <c r="Q941" t="str">
        <f t="shared" si="76"/>
        <v/>
      </c>
      <c r="R941" t="str">
        <f t="shared" si="77"/>
        <v>BC,d9f3267,aa5715c</v>
      </c>
      <c r="S941" t="str">
        <f t="shared" si="78"/>
        <v/>
      </c>
    </row>
    <row r="942" spans="1:19">
      <c r="A942" t="s">
        <v>2915</v>
      </c>
      <c r="C942" t="s">
        <v>2653</v>
      </c>
      <c r="D942" s="3">
        <v>40183.640497685185</v>
      </c>
      <c r="E942" s="8" t="s">
        <v>2916</v>
      </c>
      <c r="F942" s="8" t="s">
        <v>2917</v>
      </c>
      <c r="G942" s="8" t="s">
        <v>2570</v>
      </c>
      <c r="H942" s="3">
        <v>40185.650682870371</v>
      </c>
      <c r="I942">
        <v>1</v>
      </c>
      <c r="L942">
        <f t="shared" si="75"/>
        <v>1</v>
      </c>
      <c r="Q942" t="str">
        <f t="shared" si="76"/>
        <v>MC,7763aab,f77be6f</v>
      </c>
      <c r="R942" t="str">
        <f t="shared" si="77"/>
        <v/>
      </c>
      <c r="S942" t="str">
        <f t="shared" si="78"/>
        <v/>
      </c>
    </row>
    <row r="943" spans="1:19">
      <c r="A943" t="s">
        <v>2620</v>
      </c>
      <c r="C943" t="s">
        <v>2621</v>
      </c>
      <c r="D943" s="3">
        <v>40185.377754629626</v>
      </c>
      <c r="E943" s="8" t="s">
        <v>2622</v>
      </c>
      <c r="F943" s="8" t="s">
        <v>2623</v>
      </c>
      <c r="G943" s="8" t="s">
        <v>2570</v>
      </c>
      <c r="H943" s="3">
        <v>40185.663101851853</v>
      </c>
      <c r="K943">
        <v>1</v>
      </c>
      <c r="L943">
        <f t="shared" si="75"/>
        <v>1</v>
      </c>
      <c r="Q943" t="str">
        <f t="shared" si="76"/>
        <v/>
      </c>
      <c r="R943" t="str">
        <f t="shared" si="77"/>
        <v/>
      </c>
      <c r="S943" t="str">
        <f t="shared" si="78"/>
        <v>TC,7d06687,6c8e5e0</v>
      </c>
    </row>
    <row r="944" spans="1:19">
      <c r="A944" t="s">
        <v>3469</v>
      </c>
      <c r="C944" t="s">
        <v>2565</v>
      </c>
      <c r="D944" s="3">
        <v>40185.920856481483</v>
      </c>
      <c r="E944" s="8" t="s">
        <v>3470</v>
      </c>
      <c r="F944" s="8" t="s">
        <v>3471</v>
      </c>
      <c r="G944" s="8" t="s">
        <v>2570</v>
      </c>
      <c r="H944" s="3">
        <v>40186.433749999997</v>
      </c>
      <c r="K944">
        <v>1</v>
      </c>
      <c r="L944">
        <f t="shared" si="75"/>
        <v>1</v>
      </c>
      <c r="Q944" t="str">
        <f t="shared" si="76"/>
        <v/>
      </c>
      <c r="R944" t="str">
        <f t="shared" si="77"/>
        <v/>
      </c>
      <c r="S944" t="str">
        <f t="shared" si="78"/>
        <v>TC,d045710,b76b3f6</v>
      </c>
    </row>
    <row r="945" spans="1:19">
      <c r="A945" t="s">
        <v>2682</v>
      </c>
      <c r="C945" t="s">
        <v>2567</v>
      </c>
      <c r="D945" s="3">
        <v>40185.803587962961</v>
      </c>
      <c r="E945" s="8" t="s">
        <v>2683</v>
      </c>
      <c r="F945" s="8" t="s">
        <v>2684</v>
      </c>
      <c r="G945" s="8" t="s">
        <v>2570</v>
      </c>
      <c r="H945" s="3">
        <v>40186.453287037039</v>
      </c>
      <c r="L945">
        <f t="shared" si="75"/>
        <v>0</v>
      </c>
      <c r="Q945" t="str">
        <f t="shared" si="76"/>
        <v/>
      </c>
      <c r="R945" t="str">
        <f t="shared" si="77"/>
        <v/>
      </c>
      <c r="S945" t="str">
        <f t="shared" si="78"/>
        <v/>
      </c>
    </row>
    <row r="946" spans="1:19">
      <c r="A946" t="s">
        <v>3093</v>
      </c>
      <c r="C946" t="s">
        <v>2570</v>
      </c>
      <c r="D946" s="3">
        <v>40186.453425925924</v>
      </c>
      <c r="E946" s="8" t="s">
        <v>3094</v>
      </c>
      <c r="F946" s="8" t="s">
        <v>3095</v>
      </c>
      <c r="G946" s="8" t="s">
        <v>2653</v>
      </c>
      <c r="H946" s="3">
        <v>40186.49291666667</v>
      </c>
      <c r="L946">
        <f t="shared" si="75"/>
        <v>0</v>
      </c>
      <c r="Q946" t="str">
        <f t="shared" si="76"/>
        <v/>
      </c>
      <c r="R946" t="str">
        <f t="shared" si="77"/>
        <v/>
      </c>
      <c r="S946" t="str">
        <f t="shared" si="78"/>
        <v/>
      </c>
    </row>
    <row r="947" spans="1:19">
      <c r="A947" t="s">
        <v>3472</v>
      </c>
      <c r="C947" t="s">
        <v>2653</v>
      </c>
      <c r="D947" s="3">
        <v>40186.500486111108</v>
      </c>
      <c r="E947" s="8" t="s">
        <v>3473</v>
      </c>
      <c r="F947" s="8" t="s">
        <v>3474</v>
      </c>
      <c r="G947" s="8" t="s">
        <v>2570</v>
      </c>
      <c r="H947" s="3">
        <v>40186.714108796295</v>
      </c>
      <c r="K947">
        <v>1</v>
      </c>
      <c r="L947">
        <f t="shared" si="75"/>
        <v>1</v>
      </c>
      <c r="Q947" t="str">
        <f t="shared" si="76"/>
        <v/>
      </c>
      <c r="R947" t="str">
        <f t="shared" si="77"/>
        <v/>
      </c>
      <c r="S947" t="str">
        <f t="shared" si="78"/>
        <v>TC,36575a5,e44cf61</v>
      </c>
    </row>
    <row r="948" spans="1:19">
      <c r="A948" t="s">
        <v>2566</v>
      </c>
      <c r="C948" t="s">
        <v>2567</v>
      </c>
      <c r="D948" s="3">
        <v>40186.767187500001</v>
      </c>
      <c r="E948" s="8" t="s">
        <v>2568</v>
      </c>
      <c r="F948" s="8" t="s">
        <v>2569</v>
      </c>
      <c r="G948" s="8" t="s">
        <v>2570</v>
      </c>
      <c r="H948" s="3">
        <v>40189.714513888888</v>
      </c>
      <c r="K948">
        <v>1</v>
      </c>
      <c r="L948">
        <f t="shared" si="75"/>
        <v>1</v>
      </c>
      <c r="Q948" t="str">
        <f t="shared" si="76"/>
        <v/>
      </c>
      <c r="R948" t="str">
        <f t="shared" si="77"/>
        <v/>
      </c>
      <c r="S948" t="str">
        <f t="shared" si="78"/>
        <v>TC,371b201,7f26355</v>
      </c>
    </row>
    <row r="949" spans="1:19">
      <c r="A949" t="s">
        <v>2624</v>
      </c>
      <c r="C949" t="s">
        <v>2570</v>
      </c>
      <c r="D949" s="3">
        <v>40189.714849537035</v>
      </c>
      <c r="E949" s="8" t="s">
        <v>2625</v>
      </c>
      <c r="F949" s="8" t="s">
        <v>2626</v>
      </c>
      <c r="G949" s="8" t="s">
        <v>2567</v>
      </c>
      <c r="H949" s="3">
        <v>40189.764525462961</v>
      </c>
      <c r="K949">
        <v>1</v>
      </c>
      <c r="L949">
        <f t="shared" si="75"/>
        <v>1</v>
      </c>
      <c r="Q949" t="str">
        <f t="shared" si="76"/>
        <v/>
      </c>
      <c r="R949" t="str">
        <f t="shared" si="77"/>
        <v/>
      </c>
      <c r="S949" t="str">
        <f t="shared" si="78"/>
        <v>TC,4460aa6,4b0c40b</v>
      </c>
    </row>
    <row r="950" spans="1:19">
      <c r="A950" t="s">
        <v>3563</v>
      </c>
      <c r="C950" t="s">
        <v>2567</v>
      </c>
      <c r="D950" s="3">
        <v>40191.155115740738</v>
      </c>
      <c r="E950" s="8" t="s">
        <v>3421</v>
      </c>
      <c r="F950" s="8" t="s">
        <v>2948</v>
      </c>
      <c r="G950" s="8" t="s">
        <v>2570</v>
      </c>
      <c r="H950" s="3">
        <v>40191.659166666665</v>
      </c>
      <c r="K950">
        <v>1</v>
      </c>
      <c r="L950">
        <f t="shared" si="75"/>
        <v>1</v>
      </c>
      <c r="Q950" t="str">
        <f t="shared" si="76"/>
        <v/>
      </c>
      <c r="R950" t="str">
        <f t="shared" si="77"/>
        <v/>
      </c>
      <c r="S950" t="str">
        <f t="shared" si="78"/>
        <v>TC,54e5737,c3e93f8</v>
      </c>
    </row>
    <row r="951" spans="1:19">
      <c r="A951" t="s">
        <v>2947</v>
      </c>
      <c r="C951" t="s">
        <v>2570</v>
      </c>
      <c r="D951" s="3">
        <v>40191.659166666665</v>
      </c>
      <c r="E951" s="8" t="s">
        <v>2948</v>
      </c>
      <c r="F951" s="8" t="s">
        <v>2949</v>
      </c>
      <c r="G951" s="8" t="s">
        <v>2738</v>
      </c>
      <c r="H951" s="3">
        <v>40191.997476851851</v>
      </c>
      <c r="I951">
        <v>1</v>
      </c>
      <c r="K951">
        <v>1</v>
      </c>
      <c r="L951">
        <f t="shared" si="75"/>
        <v>2</v>
      </c>
      <c r="Q951" t="str">
        <f t="shared" si="76"/>
        <v>MC,c3e93f8,33d85e2</v>
      </c>
      <c r="R951" t="str">
        <f t="shared" si="77"/>
        <v/>
      </c>
      <c r="S951" t="str">
        <f t="shared" si="78"/>
        <v>TC,c3e93f8,33d85e2</v>
      </c>
    </row>
    <row r="952" spans="1:19">
      <c r="A952" t="s">
        <v>3420</v>
      </c>
      <c r="C952" t="s">
        <v>2567</v>
      </c>
      <c r="D952" s="3">
        <v>40191.155115740738</v>
      </c>
      <c r="E952" s="8" t="s">
        <v>3421</v>
      </c>
      <c r="F952" s="8" t="s">
        <v>3422</v>
      </c>
      <c r="G952" s="8" t="s">
        <v>2738</v>
      </c>
      <c r="H952" s="3">
        <v>40192.002835648149</v>
      </c>
      <c r="J952">
        <v>1</v>
      </c>
      <c r="L952">
        <f t="shared" si="75"/>
        <v>1</v>
      </c>
      <c r="Q952" t="str">
        <f t="shared" si="76"/>
        <v/>
      </c>
      <c r="R952" t="str">
        <f t="shared" si="77"/>
        <v>BC,54e5737,454597d</v>
      </c>
      <c r="S952" t="str">
        <f t="shared" si="78"/>
        <v/>
      </c>
    </row>
    <row r="953" spans="1:19">
      <c r="A953" t="s">
        <v>3121</v>
      </c>
      <c r="C953" t="s">
        <v>2653</v>
      </c>
      <c r="D953" s="3">
        <v>40192.436296296299</v>
      </c>
      <c r="E953" s="8" t="s">
        <v>3122</v>
      </c>
      <c r="F953" s="8" t="s">
        <v>3123</v>
      </c>
      <c r="G953" s="8" t="s">
        <v>2565</v>
      </c>
      <c r="H953" s="3">
        <v>40194.653402777774</v>
      </c>
      <c r="K953">
        <v>1</v>
      </c>
      <c r="L953">
        <f t="shared" si="75"/>
        <v>1</v>
      </c>
      <c r="Q953" t="str">
        <f t="shared" si="76"/>
        <v/>
      </c>
      <c r="R953" t="str">
        <f t="shared" si="77"/>
        <v/>
      </c>
      <c r="S953" t="str">
        <f t="shared" si="78"/>
        <v>TC,abb8947,f28781d</v>
      </c>
    </row>
    <row r="954" spans="1:19">
      <c r="A954" t="s">
        <v>2767</v>
      </c>
      <c r="C954" t="s">
        <v>2567</v>
      </c>
      <c r="D954" s="3">
        <v>40192.006631944445</v>
      </c>
      <c r="E954" s="8" t="s">
        <v>2768</v>
      </c>
      <c r="F954" s="8" t="s">
        <v>2769</v>
      </c>
      <c r="G954" s="8" t="s">
        <v>3677</v>
      </c>
      <c r="H954" s="3">
        <v>40194.746458333335</v>
      </c>
      <c r="L954">
        <f t="shared" si="75"/>
        <v>0</v>
      </c>
      <c r="Q954" t="str">
        <f t="shared" si="76"/>
        <v/>
      </c>
      <c r="R954" t="str">
        <f t="shared" si="77"/>
        <v/>
      </c>
      <c r="S954" t="str">
        <f t="shared" si="78"/>
        <v/>
      </c>
    </row>
    <row r="955" spans="1:19">
      <c r="A955" t="s">
        <v>3192</v>
      </c>
      <c r="C955" t="s">
        <v>2567</v>
      </c>
      <c r="D955" s="3">
        <v>40194.855555555558</v>
      </c>
      <c r="E955" s="8" t="s">
        <v>3193</v>
      </c>
      <c r="F955" s="8" t="s">
        <v>3194</v>
      </c>
      <c r="G955" s="8" t="s">
        <v>2738</v>
      </c>
      <c r="H955" s="3">
        <v>40195.93240740741</v>
      </c>
      <c r="K955">
        <v>1</v>
      </c>
      <c r="L955">
        <f t="shared" si="75"/>
        <v>1</v>
      </c>
      <c r="Q955" t="str">
        <f t="shared" si="76"/>
        <v/>
      </c>
      <c r="R955" t="str">
        <f t="shared" si="77"/>
        <v/>
      </c>
      <c r="S955" t="str">
        <f t="shared" si="78"/>
        <v>TC,4cd01ca,a20872a</v>
      </c>
    </row>
    <row r="956" spans="1:19">
      <c r="A956" t="s">
        <v>3550</v>
      </c>
      <c r="C956" t="s">
        <v>2567</v>
      </c>
      <c r="D956" s="3">
        <v>40195.943414351852</v>
      </c>
      <c r="E956" s="8" t="s">
        <v>3551</v>
      </c>
      <c r="F956" s="8" t="s">
        <v>3552</v>
      </c>
      <c r="G956" s="8" t="s">
        <v>2570</v>
      </c>
      <c r="H956" s="3">
        <v>40197.443541666667</v>
      </c>
      <c r="K956">
        <v>1</v>
      </c>
      <c r="L956">
        <f t="shared" si="75"/>
        <v>1</v>
      </c>
      <c r="Q956" t="str">
        <f t="shared" si="76"/>
        <v/>
      </c>
      <c r="R956" t="str">
        <f t="shared" si="77"/>
        <v/>
      </c>
      <c r="S956" t="str">
        <f t="shared" si="78"/>
        <v>TC,c65f149,b321496</v>
      </c>
    </row>
    <row r="957" spans="1:19">
      <c r="A957" t="s">
        <v>3106</v>
      </c>
      <c r="C957" t="s">
        <v>2567</v>
      </c>
      <c r="D957" s="3">
        <v>40197.446701388886</v>
      </c>
      <c r="E957" s="8" t="s">
        <v>3107</v>
      </c>
      <c r="F957" s="8" t="s">
        <v>3108</v>
      </c>
      <c r="G957" s="8" t="s">
        <v>3677</v>
      </c>
      <c r="H957" s="3">
        <v>40197.446967592594</v>
      </c>
      <c r="K957">
        <v>1</v>
      </c>
      <c r="L957">
        <f t="shared" si="75"/>
        <v>1</v>
      </c>
      <c r="Q957" t="str">
        <f t="shared" si="76"/>
        <v/>
      </c>
      <c r="R957" t="str">
        <f t="shared" si="77"/>
        <v/>
      </c>
      <c r="S957" t="str">
        <f t="shared" si="78"/>
        <v>TC,25b9084,af23673</v>
      </c>
    </row>
    <row r="958" spans="1:19">
      <c r="A958" t="s">
        <v>3283</v>
      </c>
      <c r="C958" t="s">
        <v>2653</v>
      </c>
      <c r="D958" s="3">
        <v>40196.528310185182</v>
      </c>
      <c r="E958" s="8" t="s">
        <v>3284</v>
      </c>
      <c r="F958" s="8" t="s">
        <v>3108</v>
      </c>
      <c r="G958" s="8" t="s">
        <v>2567</v>
      </c>
      <c r="H958" s="3">
        <v>40197.446967592594</v>
      </c>
      <c r="I958">
        <v>1</v>
      </c>
      <c r="J958">
        <v>1</v>
      </c>
      <c r="L958">
        <f t="shared" si="75"/>
        <v>2</v>
      </c>
      <c r="Q958" t="str">
        <f t="shared" si="76"/>
        <v>MC,d366f14,af23673</v>
      </c>
      <c r="R958" t="str">
        <f t="shared" si="77"/>
        <v>BC,d366f14,af23673</v>
      </c>
      <c r="S958" t="str">
        <f t="shared" si="78"/>
        <v/>
      </c>
    </row>
    <row r="959" spans="1:19">
      <c r="A959" t="s">
        <v>2813</v>
      </c>
      <c r="C959" t="s">
        <v>2567</v>
      </c>
      <c r="D959" s="3">
        <v>40197.811284722222</v>
      </c>
      <c r="E959" s="8" t="s">
        <v>2814</v>
      </c>
      <c r="F959" s="8" t="s">
        <v>2815</v>
      </c>
      <c r="G959" s="8" t="s">
        <v>3677</v>
      </c>
      <c r="H959" s="3">
        <v>40198.72047453704</v>
      </c>
      <c r="K959">
        <v>1</v>
      </c>
      <c r="L959">
        <f t="shared" si="75"/>
        <v>1</v>
      </c>
      <c r="Q959" t="str">
        <f t="shared" si="76"/>
        <v/>
      </c>
      <c r="R959" t="str">
        <f t="shared" si="77"/>
        <v/>
      </c>
      <c r="S959" t="str">
        <f t="shared" si="78"/>
        <v>TC,e153bcf,b14fa21</v>
      </c>
    </row>
    <row r="960" spans="1:19">
      <c r="A960" t="s">
        <v>3033</v>
      </c>
      <c r="C960" t="s">
        <v>2567</v>
      </c>
      <c r="D960" s="3">
        <v>40199.500358796293</v>
      </c>
      <c r="E960" s="8" t="s">
        <v>3034</v>
      </c>
      <c r="F960" s="8" t="s">
        <v>3035</v>
      </c>
      <c r="G960" s="8" t="s">
        <v>2570</v>
      </c>
      <c r="H960" s="3">
        <v>40199.506006944444</v>
      </c>
      <c r="I960">
        <v>1</v>
      </c>
      <c r="K960">
        <v>1</v>
      </c>
      <c r="L960">
        <f t="shared" si="75"/>
        <v>2</v>
      </c>
      <c r="Q960" t="str">
        <f t="shared" si="76"/>
        <v>MC,09037a9,d3d7581</v>
      </c>
      <c r="R960" t="str">
        <f t="shared" si="77"/>
        <v/>
      </c>
      <c r="S960" t="str">
        <f t="shared" si="78"/>
        <v>TC,09037a9,d3d7581</v>
      </c>
    </row>
    <row r="961" spans="1:19">
      <c r="A961" t="s">
        <v>3640</v>
      </c>
      <c r="C961" t="s">
        <v>2738</v>
      </c>
      <c r="D961" s="3">
        <v>40199.940381944441</v>
      </c>
      <c r="E961" s="8" t="s">
        <v>3641</v>
      </c>
      <c r="F961" s="8" t="s">
        <v>3642</v>
      </c>
      <c r="G961" s="8" t="s">
        <v>2567</v>
      </c>
      <c r="H961" s="3">
        <v>40199.976770833331</v>
      </c>
      <c r="K961">
        <v>1</v>
      </c>
      <c r="L961">
        <f t="shared" si="75"/>
        <v>1</v>
      </c>
      <c r="Q961" t="str">
        <f t="shared" si="76"/>
        <v/>
      </c>
      <c r="R961" t="str">
        <f t="shared" si="77"/>
        <v/>
      </c>
      <c r="S961" t="str">
        <f t="shared" si="78"/>
        <v>TC,b047812,7ad319a</v>
      </c>
    </row>
    <row r="962" spans="1:19">
      <c r="A962" t="s">
        <v>3388</v>
      </c>
      <c r="C962" t="s">
        <v>2567</v>
      </c>
      <c r="D962" s="3">
        <v>40199.978854166664</v>
      </c>
      <c r="E962" s="8" t="s">
        <v>3389</v>
      </c>
      <c r="F962" s="8" t="s">
        <v>3390</v>
      </c>
      <c r="G962" s="8" t="s">
        <v>2570</v>
      </c>
      <c r="H962" s="3">
        <v>40200.460185185184</v>
      </c>
      <c r="K962">
        <v>1</v>
      </c>
      <c r="L962">
        <f t="shared" si="75"/>
        <v>1</v>
      </c>
      <c r="Q962" t="str">
        <f t="shared" si="76"/>
        <v/>
      </c>
      <c r="R962" t="str">
        <f t="shared" si="77"/>
        <v/>
      </c>
      <c r="S962" t="str">
        <f t="shared" si="78"/>
        <v>TC,6e74d62,fb347bf</v>
      </c>
    </row>
    <row r="963" spans="1:19">
      <c r="A963" t="s">
        <v>2928</v>
      </c>
      <c r="C963" t="s">
        <v>2567</v>
      </c>
      <c r="D963" s="3">
        <v>40200.461539351854</v>
      </c>
      <c r="E963" s="8" t="s">
        <v>2929</v>
      </c>
      <c r="F963" s="8" t="s">
        <v>2930</v>
      </c>
      <c r="G963" s="8" t="s">
        <v>2570</v>
      </c>
      <c r="H963" s="3">
        <v>40200.466828703706</v>
      </c>
      <c r="L963">
        <f t="shared" si="75"/>
        <v>0</v>
      </c>
      <c r="Q963" t="str">
        <f t="shared" si="76"/>
        <v/>
      </c>
      <c r="R963" t="str">
        <f t="shared" si="77"/>
        <v/>
      </c>
      <c r="S963" t="str">
        <f t="shared" si="78"/>
        <v/>
      </c>
    </row>
    <row r="964" spans="1:19">
      <c r="A964" t="s">
        <v>3224</v>
      </c>
      <c r="C964" t="s">
        <v>2630</v>
      </c>
      <c r="D964" s="3">
        <v>40192.35365740741</v>
      </c>
      <c r="E964" s="8" t="s">
        <v>3225</v>
      </c>
      <c r="F964" s="8" t="s">
        <v>3226</v>
      </c>
      <c r="G964" s="8" t="s">
        <v>2567</v>
      </c>
      <c r="H964" s="3">
        <v>40200.652407407404</v>
      </c>
      <c r="L964">
        <f t="shared" si="75"/>
        <v>0</v>
      </c>
      <c r="Q964" t="str">
        <f t="shared" si="76"/>
        <v/>
      </c>
      <c r="R964" t="str">
        <f t="shared" si="77"/>
        <v/>
      </c>
      <c r="S964" t="str">
        <f t="shared" si="78"/>
        <v/>
      </c>
    </row>
    <row r="965" spans="1:19">
      <c r="A965" t="s">
        <v>2742</v>
      </c>
      <c r="C965" t="s">
        <v>2565</v>
      </c>
      <c r="D965" s="3">
        <v>40205.401678240742</v>
      </c>
      <c r="E965" s="8" t="s">
        <v>2743</v>
      </c>
      <c r="F965" s="8" t="s">
        <v>2744</v>
      </c>
      <c r="G965" s="8" t="s">
        <v>2567</v>
      </c>
      <c r="H965" s="3">
        <v>40205.766967592594</v>
      </c>
      <c r="L965">
        <f t="shared" si="75"/>
        <v>0</v>
      </c>
      <c r="Q965" t="str">
        <f t="shared" si="76"/>
        <v/>
      </c>
      <c r="R965" t="str">
        <f t="shared" si="77"/>
        <v/>
      </c>
      <c r="S965" t="str">
        <f t="shared" si="78"/>
        <v/>
      </c>
    </row>
    <row r="966" spans="1:19">
      <c r="A966" t="s">
        <v>3434</v>
      </c>
      <c r="C966" t="s">
        <v>2567</v>
      </c>
      <c r="D966" s="3">
        <v>40205.81009259259</v>
      </c>
      <c r="E966" s="8" t="s">
        <v>3435</v>
      </c>
      <c r="F966" s="8" t="s">
        <v>3436</v>
      </c>
      <c r="G966" s="8" t="s">
        <v>2565</v>
      </c>
      <c r="H966" s="3">
        <v>40206.845486111109</v>
      </c>
      <c r="L966">
        <f t="shared" si="75"/>
        <v>0</v>
      </c>
      <c r="Q966" t="str">
        <f t="shared" si="76"/>
        <v/>
      </c>
      <c r="R966" t="str">
        <f t="shared" si="77"/>
        <v/>
      </c>
      <c r="S966" t="str">
        <f t="shared" si="78"/>
        <v/>
      </c>
    </row>
    <row r="967" spans="1:19">
      <c r="A967" t="s">
        <v>3096</v>
      </c>
      <c r="C967" t="s">
        <v>2565</v>
      </c>
      <c r="D967" s="3">
        <v>40206.846354166664</v>
      </c>
      <c r="E967" s="8" t="s">
        <v>3097</v>
      </c>
      <c r="F967" s="8" t="s">
        <v>3098</v>
      </c>
      <c r="G967" s="8" t="s">
        <v>2600</v>
      </c>
      <c r="H967" s="3">
        <v>40207.819363425922</v>
      </c>
      <c r="L967">
        <f t="shared" si="75"/>
        <v>0</v>
      </c>
      <c r="Q967" t="str">
        <f t="shared" si="76"/>
        <v/>
      </c>
      <c r="R967" t="str">
        <f t="shared" si="77"/>
        <v/>
      </c>
      <c r="S967" t="str">
        <f t="shared" si="78"/>
        <v/>
      </c>
    </row>
    <row r="968" spans="1:19">
      <c r="A968" t="s">
        <v>3638</v>
      </c>
      <c r="C968" t="s">
        <v>2567</v>
      </c>
      <c r="D968" s="3">
        <v>40208.435787037037</v>
      </c>
      <c r="E968" s="8" t="s">
        <v>3639</v>
      </c>
      <c r="F968" s="8" t="s">
        <v>3079</v>
      </c>
      <c r="G968" s="8" t="s">
        <v>3677</v>
      </c>
      <c r="H968" s="3">
        <v>40210.053796296299</v>
      </c>
      <c r="L968">
        <f t="shared" si="75"/>
        <v>0</v>
      </c>
      <c r="Q968" t="str">
        <f t="shared" si="76"/>
        <v/>
      </c>
      <c r="R968" t="str">
        <f t="shared" si="77"/>
        <v/>
      </c>
      <c r="S968" t="str">
        <f t="shared" si="78"/>
        <v/>
      </c>
    </row>
    <row r="969" spans="1:19">
      <c r="A969" t="s">
        <v>3317</v>
      </c>
      <c r="C969" t="s">
        <v>2567</v>
      </c>
      <c r="D969" s="3">
        <v>40210.051782407405</v>
      </c>
      <c r="E969" s="8" t="s">
        <v>3318</v>
      </c>
      <c r="F969" s="8" t="s">
        <v>3319</v>
      </c>
      <c r="G969" s="8" t="s">
        <v>2600</v>
      </c>
      <c r="H969" s="3">
        <v>40210.376585648148</v>
      </c>
      <c r="L969">
        <f t="shared" si="75"/>
        <v>0</v>
      </c>
      <c r="Q969" t="str">
        <f t="shared" si="76"/>
        <v/>
      </c>
      <c r="R969" t="str">
        <f t="shared" si="77"/>
        <v/>
      </c>
      <c r="S969" t="str">
        <f t="shared" si="78"/>
        <v/>
      </c>
    </row>
    <row r="970" spans="1:19">
      <c r="A970" t="s">
        <v>3078</v>
      </c>
      <c r="C970" t="s">
        <v>2567</v>
      </c>
      <c r="D970" s="3">
        <v>40210.053796296299</v>
      </c>
      <c r="E970" s="8" t="s">
        <v>3079</v>
      </c>
      <c r="F970" s="8" t="s">
        <v>3080</v>
      </c>
      <c r="G970" s="8" t="s">
        <v>3677</v>
      </c>
      <c r="H970" s="3">
        <v>40210.583055555559</v>
      </c>
      <c r="L970">
        <f t="shared" si="75"/>
        <v>0</v>
      </c>
      <c r="Q970" t="str">
        <f t="shared" si="76"/>
        <v/>
      </c>
      <c r="R970" t="str">
        <f t="shared" si="77"/>
        <v/>
      </c>
      <c r="S970" t="str">
        <f t="shared" si="78"/>
        <v/>
      </c>
    </row>
    <row r="971" spans="1:19">
      <c r="A971" t="s">
        <v>3475</v>
      </c>
      <c r="C971" t="s">
        <v>2567</v>
      </c>
      <c r="D971" s="3">
        <v>40210.428981481484</v>
      </c>
      <c r="E971" s="8" t="s">
        <v>3476</v>
      </c>
      <c r="F971" s="8" t="s">
        <v>3080</v>
      </c>
      <c r="G971" s="8" t="s">
        <v>3677</v>
      </c>
      <c r="H971" s="3">
        <v>40210.583055555559</v>
      </c>
      <c r="L971">
        <f t="shared" si="75"/>
        <v>0</v>
      </c>
      <c r="Q971" t="str">
        <f t="shared" si="76"/>
        <v/>
      </c>
      <c r="R971" t="str">
        <f t="shared" si="77"/>
        <v/>
      </c>
      <c r="S971" t="str">
        <f t="shared" si="78"/>
        <v/>
      </c>
    </row>
    <row r="972" spans="1:19">
      <c r="A972" t="s">
        <v>3340</v>
      </c>
      <c r="C972" t="s">
        <v>2567</v>
      </c>
      <c r="D972" s="3">
        <v>40210.621782407405</v>
      </c>
      <c r="E972" s="8" t="s">
        <v>3341</v>
      </c>
      <c r="F972" s="8" t="s">
        <v>3342</v>
      </c>
      <c r="G972" s="8" t="s">
        <v>2600</v>
      </c>
      <c r="H972" s="3">
        <v>40211.26</v>
      </c>
      <c r="L972">
        <f t="shared" si="75"/>
        <v>0</v>
      </c>
      <c r="Q972" t="str">
        <f t="shared" si="76"/>
        <v/>
      </c>
      <c r="R972" t="str">
        <f t="shared" si="77"/>
        <v/>
      </c>
      <c r="S972" t="str">
        <f t="shared" si="78"/>
        <v/>
      </c>
    </row>
    <row r="973" spans="1:19">
      <c r="A973" t="s">
        <v>3201</v>
      </c>
      <c r="C973" t="s">
        <v>2600</v>
      </c>
      <c r="D973" s="3">
        <v>40207.819814814815</v>
      </c>
      <c r="E973" s="8" t="s">
        <v>2897</v>
      </c>
      <c r="F973" s="8" t="s">
        <v>3202</v>
      </c>
      <c r="G973" s="8" t="s">
        <v>2567</v>
      </c>
      <c r="H973" s="3">
        <v>40211.520069444443</v>
      </c>
      <c r="L973">
        <f t="shared" si="75"/>
        <v>0</v>
      </c>
      <c r="Q973" t="str">
        <f t="shared" si="76"/>
        <v/>
      </c>
      <c r="R973" t="str">
        <f t="shared" si="77"/>
        <v/>
      </c>
      <c r="S973" t="str">
        <f t="shared" si="78"/>
        <v/>
      </c>
    </row>
    <row r="974" spans="1:19">
      <c r="A974" t="s">
        <v>2896</v>
      </c>
      <c r="C974" t="s">
        <v>2600</v>
      </c>
      <c r="D974" s="3">
        <v>40207.819814814815</v>
      </c>
      <c r="E974" s="8" t="s">
        <v>2897</v>
      </c>
      <c r="F974" s="8" t="s">
        <v>2898</v>
      </c>
      <c r="G974" s="8" t="s">
        <v>3681</v>
      </c>
      <c r="H974" s="3">
        <v>40211.874259259261</v>
      </c>
      <c r="L974">
        <f t="shared" si="75"/>
        <v>0</v>
      </c>
      <c r="Q974" t="str">
        <f t="shared" si="76"/>
        <v/>
      </c>
      <c r="R974" t="str">
        <f t="shared" si="77"/>
        <v/>
      </c>
      <c r="S974" t="str">
        <f t="shared" si="78"/>
        <v/>
      </c>
    </row>
    <row r="975" spans="1:19">
      <c r="A975" t="s">
        <v>3479</v>
      </c>
      <c r="C975" t="s">
        <v>2600</v>
      </c>
      <c r="D975" s="3">
        <v>40212.302152777775</v>
      </c>
      <c r="E975" s="8" t="s">
        <v>3480</v>
      </c>
      <c r="F975" s="8" t="s">
        <v>3481</v>
      </c>
      <c r="G975" s="8" t="s">
        <v>3681</v>
      </c>
      <c r="H975" s="3">
        <v>40212.329618055555</v>
      </c>
      <c r="L975">
        <f t="shared" si="75"/>
        <v>0</v>
      </c>
      <c r="Q975" t="str">
        <f t="shared" si="76"/>
        <v/>
      </c>
      <c r="R975" t="str">
        <f t="shared" si="77"/>
        <v/>
      </c>
      <c r="S975" t="str">
        <f t="shared" si="78"/>
        <v/>
      </c>
    </row>
    <row r="976" spans="1:19">
      <c r="A976" t="s">
        <v>3482</v>
      </c>
      <c r="C976" t="s">
        <v>2600</v>
      </c>
      <c r="D976" s="3">
        <v>40212.36277777778</v>
      </c>
      <c r="E976" s="8" t="s">
        <v>3483</v>
      </c>
      <c r="F976" s="8" t="s">
        <v>3484</v>
      </c>
      <c r="G976" s="8" t="s">
        <v>3681</v>
      </c>
      <c r="H976" s="3">
        <v>40212.400555555556</v>
      </c>
      <c r="L976">
        <f t="shared" si="75"/>
        <v>0</v>
      </c>
      <c r="Q976" t="str">
        <f t="shared" si="76"/>
        <v/>
      </c>
      <c r="R976" t="str">
        <f t="shared" si="77"/>
        <v/>
      </c>
      <c r="S976" t="str">
        <f t="shared" si="78"/>
        <v/>
      </c>
    </row>
    <row r="977" spans="1:19">
      <c r="A977" t="s">
        <v>3636</v>
      </c>
      <c r="C977" t="s">
        <v>297</v>
      </c>
      <c r="D977" s="3">
        <v>40211.502280092594</v>
      </c>
      <c r="E977" s="8" t="s">
        <v>3637</v>
      </c>
      <c r="F977" s="8" t="s">
        <v>3484</v>
      </c>
      <c r="G977" s="8" t="s">
        <v>2600</v>
      </c>
      <c r="H977" s="3">
        <v>40212.400555555556</v>
      </c>
      <c r="L977">
        <f t="shared" si="75"/>
        <v>0</v>
      </c>
      <c r="Q977" t="str">
        <f t="shared" si="76"/>
        <v/>
      </c>
      <c r="R977" t="str">
        <f t="shared" si="77"/>
        <v/>
      </c>
      <c r="S977" t="str">
        <f t="shared" si="78"/>
        <v/>
      </c>
    </row>
    <row r="978" spans="1:19">
      <c r="A978" t="s">
        <v>3044</v>
      </c>
      <c r="C978" t="s">
        <v>2600</v>
      </c>
      <c r="D978" s="3">
        <v>40211.874259259261</v>
      </c>
      <c r="E978" s="8" t="s">
        <v>3045</v>
      </c>
      <c r="F978" s="8" t="s">
        <v>3046</v>
      </c>
      <c r="G978" s="8" t="s">
        <v>3681</v>
      </c>
      <c r="H978" s="3">
        <v>40212.824884259258</v>
      </c>
      <c r="L978">
        <f t="shared" si="75"/>
        <v>0</v>
      </c>
      <c r="Q978" t="str">
        <f t="shared" si="76"/>
        <v/>
      </c>
      <c r="R978" t="str">
        <f t="shared" si="77"/>
        <v/>
      </c>
      <c r="S978" t="str">
        <f t="shared" si="78"/>
        <v/>
      </c>
    </row>
    <row r="979" spans="1:19">
      <c r="A979" t="s">
        <v>3277</v>
      </c>
      <c r="C979" t="s">
        <v>2600</v>
      </c>
      <c r="D979" s="3">
        <v>40216.820439814815</v>
      </c>
      <c r="E979" s="8" t="s">
        <v>3278</v>
      </c>
      <c r="F979" s="8" t="s">
        <v>3279</v>
      </c>
      <c r="G979" s="8" t="s">
        <v>2567</v>
      </c>
      <c r="H979" s="3">
        <v>40217.644085648149</v>
      </c>
      <c r="L979">
        <f t="shared" si="75"/>
        <v>0</v>
      </c>
      <c r="Q979" t="str">
        <f t="shared" si="76"/>
        <v/>
      </c>
      <c r="R979" t="str">
        <f t="shared" si="77"/>
        <v/>
      </c>
      <c r="S979" t="str">
        <f t="shared" si="78"/>
        <v/>
      </c>
    </row>
    <row r="980" spans="1:19">
      <c r="A980" t="s">
        <v>3502</v>
      </c>
      <c r="C980" t="s">
        <v>2567</v>
      </c>
      <c r="D980" s="3">
        <v>40214.560335648152</v>
      </c>
      <c r="E980" s="8" t="s">
        <v>3503</v>
      </c>
      <c r="F980" s="8" t="s">
        <v>3504</v>
      </c>
      <c r="G980" s="8" t="s">
        <v>3677</v>
      </c>
      <c r="H980" s="3">
        <v>40217.644467592596</v>
      </c>
      <c r="I980">
        <v>1</v>
      </c>
      <c r="L980">
        <f t="shared" si="75"/>
        <v>1</v>
      </c>
      <c r="Q980" t="str">
        <f t="shared" si="76"/>
        <v>MC,df8f8b9,0852fcb</v>
      </c>
      <c r="R980" t="str">
        <f t="shared" si="77"/>
        <v/>
      </c>
      <c r="S980" t="str">
        <f t="shared" si="78"/>
        <v/>
      </c>
    </row>
    <row r="981" spans="1:19">
      <c r="A981" t="s">
        <v>3171</v>
      </c>
      <c r="C981" t="s">
        <v>297</v>
      </c>
      <c r="D981" s="3">
        <v>40214.478252314817</v>
      </c>
      <c r="E981" s="8" t="s">
        <v>3172</v>
      </c>
      <c r="F981" s="8" t="s">
        <v>3076</v>
      </c>
      <c r="G981" s="8" t="s">
        <v>2567</v>
      </c>
      <c r="H981" s="3">
        <v>40217.757303240738</v>
      </c>
      <c r="L981">
        <f t="shared" si="75"/>
        <v>0</v>
      </c>
      <c r="Q981" t="str">
        <f t="shared" si="76"/>
        <v/>
      </c>
      <c r="R981" t="str">
        <f t="shared" si="77"/>
        <v/>
      </c>
      <c r="S981" t="str">
        <f t="shared" si="78"/>
        <v/>
      </c>
    </row>
    <row r="982" spans="1:19">
      <c r="A982" t="s">
        <v>3075</v>
      </c>
      <c r="C982" t="s">
        <v>2567</v>
      </c>
      <c r="D982" s="3">
        <v>40217.757303240738</v>
      </c>
      <c r="E982" s="8" t="s">
        <v>3076</v>
      </c>
      <c r="F982" s="8" t="s">
        <v>3077</v>
      </c>
      <c r="G982" s="8" t="s">
        <v>2653</v>
      </c>
      <c r="H982" s="3">
        <v>40218.11550925926</v>
      </c>
      <c r="L982">
        <f t="shared" si="75"/>
        <v>0</v>
      </c>
      <c r="Q982" t="str">
        <f t="shared" si="76"/>
        <v/>
      </c>
      <c r="R982" t="str">
        <f t="shared" si="77"/>
        <v/>
      </c>
      <c r="S982" t="str">
        <f t="shared" si="78"/>
        <v/>
      </c>
    </row>
    <row r="983" spans="1:19">
      <c r="A983" t="s">
        <v>3195</v>
      </c>
      <c r="C983" t="s">
        <v>2567</v>
      </c>
      <c r="D983" s="3">
        <v>40217.793206018519</v>
      </c>
      <c r="E983" s="8" t="s">
        <v>3196</v>
      </c>
      <c r="F983" s="8" t="s">
        <v>3197</v>
      </c>
      <c r="G983" s="8" t="s">
        <v>2653</v>
      </c>
      <c r="H983" s="3">
        <v>40218.500868055555</v>
      </c>
      <c r="I983">
        <v>1</v>
      </c>
      <c r="L983">
        <f t="shared" si="75"/>
        <v>1</v>
      </c>
      <c r="Q983" t="str">
        <f t="shared" si="76"/>
        <v>MC,1f1d05f,54c90fa</v>
      </c>
      <c r="R983" t="str">
        <f t="shared" si="77"/>
        <v/>
      </c>
      <c r="S983" t="str">
        <f t="shared" si="78"/>
        <v/>
      </c>
    </row>
    <row r="984" spans="1:19">
      <c r="A984" t="s">
        <v>2765</v>
      </c>
      <c r="C984" t="s">
        <v>2653</v>
      </c>
      <c r="D984" s="3">
        <v>40218.515983796293</v>
      </c>
      <c r="E984" s="8" t="s">
        <v>2766</v>
      </c>
      <c r="F984" s="8" t="s">
        <v>3662</v>
      </c>
      <c r="G984" s="8" t="s">
        <v>2567</v>
      </c>
      <c r="H984" s="3">
        <v>40219.627523148149</v>
      </c>
      <c r="L984">
        <f t="shared" si="75"/>
        <v>0</v>
      </c>
      <c r="Q984" t="str">
        <f t="shared" si="76"/>
        <v/>
      </c>
      <c r="R984" t="str">
        <f t="shared" si="77"/>
        <v/>
      </c>
      <c r="S984" t="str">
        <f t="shared" si="78"/>
        <v/>
      </c>
    </row>
    <row r="985" spans="1:19">
      <c r="A985" t="s">
        <v>2862</v>
      </c>
      <c r="C985" t="s">
        <v>2653</v>
      </c>
      <c r="D985" s="3">
        <v>40221.597858796296</v>
      </c>
      <c r="E985" s="8" t="s">
        <v>2863</v>
      </c>
      <c r="F985" s="8" t="s">
        <v>2864</v>
      </c>
      <c r="G985" s="8" t="s">
        <v>3685</v>
      </c>
      <c r="H985" s="3">
        <v>40221.620138888888</v>
      </c>
      <c r="J985" s="12"/>
      <c r="K985" s="12"/>
      <c r="L985">
        <f t="shared" si="75"/>
        <v>0</v>
      </c>
      <c r="Q985" t="str">
        <f t="shared" si="76"/>
        <v/>
      </c>
      <c r="R985" t="str">
        <f t="shared" si="77"/>
        <v/>
      </c>
      <c r="S985" t="str">
        <f t="shared" si="78"/>
        <v/>
      </c>
    </row>
    <row r="986" spans="1:19">
      <c r="A986" s="1" t="s">
        <v>3047</v>
      </c>
      <c r="C986" t="s">
        <v>2567</v>
      </c>
      <c r="D986" s="3">
        <v>40224.031076388892</v>
      </c>
      <c r="E986" s="8" t="s">
        <v>3048</v>
      </c>
      <c r="F986" s="8" t="s">
        <v>3049</v>
      </c>
      <c r="G986" s="8" t="s">
        <v>2653</v>
      </c>
      <c r="H986" s="3">
        <v>40224.417511574073</v>
      </c>
      <c r="L986">
        <f t="shared" ref="L986:L1049" si="79">COUNTA(I986:K986)</f>
        <v>0</v>
      </c>
      <c r="Q986" t="str">
        <f t="shared" ref="Q986:Q1049" si="80">IF(I986&gt;0,CONCATENATE("MC,",E986,",",F986),"")</f>
        <v/>
      </c>
      <c r="R986" t="str">
        <f t="shared" ref="R986:R1049" si="81">IF(J986&gt;0,CONCATENATE("BC,",E986,",",F986),"")</f>
        <v/>
      </c>
      <c r="S986" t="str">
        <f t="shared" ref="S986:S1049" si="82">IF(K986&gt;0,CONCATENATE("TC,",E986,",",F986),"")</f>
        <v/>
      </c>
    </row>
    <row r="987" spans="1:19">
      <c r="A987" t="s">
        <v>2944</v>
      </c>
      <c r="C987" t="s">
        <v>2567</v>
      </c>
      <c r="D987" s="3">
        <v>40224.485636574071</v>
      </c>
      <c r="E987" s="8" t="s">
        <v>2945</v>
      </c>
      <c r="F987" s="8" t="s">
        <v>2946</v>
      </c>
      <c r="G987" s="8" t="s">
        <v>3677</v>
      </c>
      <c r="H987" s="3">
        <v>40224.485636574071</v>
      </c>
      <c r="L987">
        <f t="shared" si="79"/>
        <v>0</v>
      </c>
      <c r="Q987" t="str">
        <f t="shared" si="80"/>
        <v/>
      </c>
      <c r="R987" t="str">
        <f t="shared" si="81"/>
        <v/>
      </c>
      <c r="S987" t="str">
        <f t="shared" si="82"/>
        <v/>
      </c>
    </row>
    <row r="988" spans="1:19">
      <c r="A988" t="s">
        <v>3235</v>
      </c>
      <c r="C988" t="s">
        <v>2653</v>
      </c>
      <c r="D988" s="3">
        <v>40224.417511574073</v>
      </c>
      <c r="E988" s="8" t="s">
        <v>3236</v>
      </c>
      <c r="F988" s="8" t="s">
        <v>3670</v>
      </c>
      <c r="G988" s="8" t="s">
        <v>3685</v>
      </c>
      <c r="H988" s="3">
        <v>40224.488645833335</v>
      </c>
      <c r="L988">
        <f t="shared" si="79"/>
        <v>0</v>
      </c>
      <c r="Q988" t="str">
        <f t="shared" si="80"/>
        <v/>
      </c>
      <c r="R988" t="str">
        <f t="shared" si="81"/>
        <v/>
      </c>
      <c r="S988" t="str">
        <f t="shared" si="82"/>
        <v/>
      </c>
    </row>
    <row r="989" spans="1:19">
      <c r="A989" t="s">
        <v>3488</v>
      </c>
      <c r="C989" t="s">
        <v>2567</v>
      </c>
      <c r="D989" s="3">
        <v>40226.634027777778</v>
      </c>
      <c r="E989" s="8" t="s">
        <v>3489</v>
      </c>
      <c r="F989" s="8" t="s">
        <v>3490</v>
      </c>
      <c r="G989" s="8" t="s">
        <v>3677</v>
      </c>
      <c r="H989" s="3">
        <v>40226.634027777778</v>
      </c>
      <c r="K989">
        <v>1</v>
      </c>
      <c r="L989">
        <f t="shared" si="79"/>
        <v>1</v>
      </c>
      <c r="Q989" t="str">
        <f t="shared" si="80"/>
        <v/>
      </c>
      <c r="R989" t="str">
        <f t="shared" si="81"/>
        <v/>
      </c>
      <c r="S989" t="str">
        <f t="shared" si="82"/>
        <v>TC,6ff946e,d2c8824</v>
      </c>
    </row>
    <row r="990" spans="1:19">
      <c r="A990" t="s">
        <v>3320</v>
      </c>
      <c r="C990" t="s">
        <v>2567</v>
      </c>
      <c r="D990" s="3">
        <v>40226.814837962964</v>
      </c>
      <c r="E990" s="8" t="s">
        <v>3321</v>
      </c>
      <c r="F990" s="8" t="s">
        <v>3322</v>
      </c>
      <c r="G990" s="8" t="s">
        <v>3677</v>
      </c>
      <c r="H990" s="3">
        <v>40227.770173611112</v>
      </c>
      <c r="L990">
        <f t="shared" si="79"/>
        <v>0</v>
      </c>
      <c r="Q990" t="str">
        <f t="shared" si="80"/>
        <v/>
      </c>
      <c r="R990" t="str">
        <f t="shared" si="81"/>
        <v/>
      </c>
      <c r="S990" t="str">
        <f t="shared" si="82"/>
        <v/>
      </c>
    </row>
    <row r="991" spans="1:19">
      <c r="A991" t="s">
        <v>3520</v>
      </c>
      <c r="C991" t="s">
        <v>2653</v>
      </c>
      <c r="D991" s="3">
        <v>40237.802268518521</v>
      </c>
      <c r="E991" s="8" t="s">
        <v>3521</v>
      </c>
      <c r="F991" s="8" t="s">
        <v>3522</v>
      </c>
      <c r="G991" s="8" t="s">
        <v>3685</v>
      </c>
      <c r="H991" s="3">
        <v>40237.822164351855</v>
      </c>
      <c r="L991">
        <f t="shared" si="79"/>
        <v>0</v>
      </c>
      <c r="Q991" t="str">
        <f t="shared" si="80"/>
        <v/>
      </c>
      <c r="R991" t="str">
        <f t="shared" si="81"/>
        <v/>
      </c>
      <c r="S991" t="str">
        <f t="shared" si="82"/>
        <v/>
      </c>
    </row>
    <row r="992" spans="1:19">
      <c r="A992" t="s">
        <v>2819</v>
      </c>
      <c r="C992" t="s">
        <v>2820</v>
      </c>
      <c r="D992" s="3">
        <v>40218.991759259261</v>
      </c>
      <c r="E992" s="8" t="s">
        <v>2821</v>
      </c>
      <c r="F992" s="8" t="s">
        <v>2822</v>
      </c>
      <c r="G992" s="8" t="s">
        <v>2653</v>
      </c>
      <c r="H992" s="3">
        <v>40237.870405092595</v>
      </c>
      <c r="I992">
        <v>1</v>
      </c>
      <c r="L992">
        <f t="shared" si="79"/>
        <v>1</v>
      </c>
      <c r="Q992" t="str">
        <f t="shared" si="80"/>
        <v>MC,f019092,e219ac6</v>
      </c>
      <c r="R992" t="str">
        <f t="shared" si="81"/>
        <v/>
      </c>
      <c r="S992" t="str">
        <f t="shared" si="82"/>
        <v/>
      </c>
    </row>
    <row r="993" spans="1:19">
      <c r="A993" t="s">
        <v>3184</v>
      </c>
      <c r="C993" t="s">
        <v>3185</v>
      </c>
      <c r="D993" s="3">
        <v>40240.936493055553</v>
      </c>
      <c r="E993" s="8" t="s">
        <v>3186</v>
      </c>
      <c r="F993" s="8" t="s">
        <v>3187</v>
      </c>
      <c r="G993" s="8" t="s">
        <v>2600</v>
      </c>
      <c r="H993" s="3">
        <v>40243.374189814815</v>
      </c>
      <c r="K993">
        <v>1</v>
      </c>
      <c r="L993">
        <f t="shared" si="79"/>
        <v>1</v>
      </c>
      <c r="Q993" t="str">
        <f t="shared" si="80"/>
        <v/>
      </c>
      <c r="R993" t="str">
        <f t="shared" si="81"/>
        <v/>
      </c>
      <c r="S993" t="str">
        <f t="shared" si="82"/>
        <v>TC,d0745ee,e7c10f3</v>
      </c>
    </row>
    <row r="994" spans="1:19">
      <c r="A994" t="s">
        <v>3643</v>
      </c>
      <c r="C994" t="s">
        <v>2600</v>
      </c>
      <c r="D994" s="3">
        <v>40244.393182870372</v>
      </c>
      <c r="E994" s="8" t="s">
        <v>3644</v>
      </c>
      <c r="F994" s="8" t="s">
        <v>3645</v>
      </c>
      <c r="G994" s="8" t="s">
        <v>2567</v>
      </c>
      <c r="H994" s="3">
        <v>40245.569328703707</v>
      </c>
      <c r="L994">
        <f t="shared" si="79"/>
        <v>0</v>
      </c>
      <c r="Q994" t="str">
        <f t="shared" si="80"/>
        <v/>
      </c>
      <c r="R994" t="str">
        <f t="shared" si="81"/>
        <v/>
      </c>
      <c r="S994" t="str">
        <f t="shared" si="82"/>
        <v/>
      </c>
    </row>
    <row r="995" spans="1:19">
      <c r="A995" t="s">
        <v>2902</v>
      </c>
      <c r="C995" t="s">
        <v>2600</v>
      </c>
      <c r="D995" s="3">
        <v>40243.483796296299</v>
      </c>
      <c r="E995" s="8" t="s">
        <v>2903</v>
      </c>
      <c r="F995" s="8" t="s">
        <v>2904</v>
      </c>
      <c r="G995" s="8" t="s">
        <v>2567</v>
      </c>
      <c r="H995" s="3">
        <v>40245.569537037038</v>
      </c>
      <c r="L995">
        <f t="shared" si="79"/>
        <v>0</v>
      </c>
      <c r="Q995" t="str">
        <f t="shared" si="80"/>
        <v/>
      </c>
      <c r="R995" t="str">
        <f t="shared" si="81"/>
        <v/>
      </c>
      <c r="S995" t="str">
        <f t="shared" si="82"/>
        <v/>
      </c>
    </row>
    <row r="996" spans="1:19">
      <c r="A996" t="s">
        <v>2627</v>
      </c>
      <c r="C996" t="s">
        <v>2567</v>
      </c>
      <c r="D996" s="3">
        <v>40245.570011574076</v>
      </c>
      <c r="E996" s="8" t="s">
        <v>2628</v>
      </c>
      <c r="F996" s="8" t="s">
        <v>2629</v>
      </c>
      <c r="G996" s="8" t="s">
        <v>2630</v>
      </c>
      <c r="H996" s="3">
        <v>40245.616319444445</v>
      </c>
      <c r="L996">
        <f t="shared" si="79"/>
        <v>0</v>
      </c>
      <c r="Q996" t="str">
        <f t="shared" si="80"/>
        <v/>
      </c>
      <c r="R996" t="str">
        <f t="shared" si="81"/>
        <v/>
      </c>
      <c r="S996" t="str">
        <f t="shared" si="82"/>
        <v/>
      </c>
    </row>
    <row r="997" spans="1:19">
      <c r="A997" t="s">
        <v>3062</v>
      </c>
      <c r="C997" t="s">
        <v>2567</v>
      </c>
      <c r="D997" s="3">
        <v>40249.849583333336</v>
      </c>
      <c r="E997" s="8" t="s">
        <v>3063</v>
      </c>
      <c r="F997" s="8" t="s">
        <v>3064</v>
      </c>
      <c r="G997" s="8" t="s">
        <v>3677</v>
      </c>
      <c r="H997" s="3">
        <v>40249.949641203704</v>
      </c>
      <c r="I997">
        <v>1</v>
      </c>
      <c r="L997">
        <f t="shared" si="79"/>
        <v>1</v>
      </c>
      <c r="Q997" t="str">
        <f t="shared" si="80"/>
        <v>MC,98fc368,5c596e6</v>
      </c>
      <c r="R997" t="str">
        <f t="shared" si="81"/>
        <v/>
      </c>
      <c r="S997" t="str">
        <f t="shared" si="82"/>
        <v/>
      </c>
    </row>
    <row r="998" spans="1:19">
      <c r="A998" t="s">
        <v>2899</v>
      </c>
      <c r="C998" t="s">
        <v>2653</v>
      </c>
      <c r="D998" s="3">
        <v>40252.730381944442</v>
      </c>
      <c r="E998" s="8" t="s">
        <v>2900</v>
      </c>
      <c r="F998" s="8" t="s">
        <v>2901</v>
      </c>
      <c r="G998" s="8" t="s">
        <v>2567</v>
      </c>
      <c r="H998" s="3">
        <v>40252.753645833334</v>
      </c>
      <c r="L998">
        <f t="shared" si="79"/>
        <v>0</v>
      </c>
      <c r="Q998" t="str">
        <f t="shared" si="80"/>
        <v/>
      </c>
      <c r="R998" t="str">
        <f t="shared" si="81"/>
        <v/>
      </c>
      <c r="S998" t="str">
        <f t="shared" si="82"/>
        <v/>
      </c>
    </row>
    <row r="999" spans="1:19">
      <c r="A999" t="s">
        <v>2781</v>
      </c>
      <c r="C999" t="s">
        <v>2567</v>
      </c>
      <c r="D999" s="3">
        <v>40253.413113425922</v>
      </c>
      <c r="E999" s="8" t="s">
        <v>2782</v>
      </c>
      <c r="F999" s="8" t="s">
        <v>2783</v>
      </c>
      <c r="G999" s="8" t="s">
        <v>2653</v>
      </c>
      <c r="H999" s="3">
        <v>40253.456261574072</v>
      </c>
      <c r="L999">
        <f t="shared" si="79"/>
        <v>0</v>
      </c>
      <c r="Q999" t="str">
        <f t="shared" si="80"/>
        <v/>
      </c>
      <c r="R999" t="str">
        <f t="shared" si="81"/>
        <v/>
      </c>
      <c r="S999" t="str">
        <f t="shared" si="82"/>
        <v/>
      </c>
    </row>
    <row r="1000" spans="1:19">
      <c r="A1000" t="s">
        <v>2992</v>
      </c>
      <c r="C1000" t="s">
        <v>2993</v>
      </c>
      <c r="D1000" s="3">
        <v>40256.656585648147</v>
      </c>
      <c r="E1000" s="8" t="s">
        <v>2994</v>
      </c>
      <c r="F1000" s="8" t="s">
        <v>2995</v>
      </c>
      <c r="G1000" s="8" t="s">
        <v>3680</v>
      </c>
      <c r="H1000" s="3">
        <v>40256.656585648147</v>
      </c>
      <c r="L1000">
        <f t="shared" si="79"/>
        <v>0</v>
      </c>
      <c r="Q1000" t="str">
        <f t="shared" si="80"/>
        <v/>
      </c>
      <c r="R1000" t="str">
        <f t="shared" si="81"/>
        <v/>
      </c>
      <c r="S1000" t="str">
        <f t="shared" si="82"/>
        <v/>
      </c>
    </row>
    <row r="1001" spans="1:19">
      <c r="A1001" s="1" t="s">
        <v>3491</v>
      </c>
      <c r="C1001" t="s">
        <v>3492</v>
      </c>
      <c r="D1001" s="3">
        <v>40277.727569444447</v>
      </c>
      <c r="E1001" s="8" t="s">
        <v>3493</v>
      </c>
      <c r="F1001" s="8" t="s">
        <v>3494</v>
      </c>
      <c r="G1001" s="8" t="s">
        <v>2567</v>
      </c>
      <c r="H1001" s="3">
        <v>40280.786863425928</v>
      </c>
      <c r="L1001">
        <f t="shared" si="79"/>
        <v>0</v>
      </c>
      <c r="Q1001" t="str">
        <f t="shared" si="80"/>
        <v/>
      </c>
      <c r="R1001" t="str">
        <f t="shared" si="81"/>
        <v/>
      </c>
      <c r="S1001" t="str">
        <f t="shared" si="82"/>
        <v/>
      </c>
    </row>
    <row r="1002" spans="1:19">
      <c r="A1002" t="s">
        <v>2661</v>
      </c>
      <c r="C1002" t="s">
        <v>2567</v>
      </c>
      <c r="D1002" s="3">
        <v>40281.743321759262</v>
      </c>
      <c r="E1002" s="8" t="s">
        <v>2662</v>
      </c>
      <c r="F1002" s="8" t="s">
        <v>2663</v>
      </c>
      <c r="G1002" s="8" t="s">
        <v>2653</v>
      </c>
      <c r="H1002" s="3">
        <v>40282.393657407411</v>
      </c>
      <c r="L1002">
        <f t="shared" si="79"/>
        <v>0</v>
      </c>
      <c r="Q1002" t="str">
        <f t="shared" si="80"/>
        <v/>
      </c>
      <c r="R1002" t="str">
        <f t="shared" si="81"/>
        <v/>
      </c>
      <c r="S1002" t="str">
        <f t="shared" si="82"/>
        <v/>
      </c>
    </row>
    <row r="1003" spans="1:19">
      <c r="A1003" t="s">
        <v>2739</v>
      </c>
      <c r="C1003" t="s">
        <v>2653</v>
      </c>
      <c r="D1003" s="3">
        <v>40276.734907407408</v>
      </c>
      <c r="E1003" s="8" t="s">
        <v>2740</v>
      </c>
      <c r="F1003" s="8" t="s">
        <v>2741</v>
      </c>
      <c r="G1003" s="8" t="s">
        <v>3685</v>
      </c>
      <c r="H1003" s="3">
        <v>40282.401898148149</v>
      </c>
      <c r="I1003">
        <v>1</v>
      </c>
      <c r="K1003">
        <v>1</v>
      </c>
      <c r="L1003">
        <f t="shared" si="79"/>
        <v>2</v>
      </c>
      <c r="Q1003" t="str">
        <f t="shared" si="80"/>
        <v>MC,7c01105,a1c9685</v>
      </c>
      <c r="R1003" t="str">
        <f t="shared" si="81"/>
        <v/>
      </c>
      <c r="S1003" t="str">
        <f t="shared" si="82"/>
        <v>TC,7c01105,a1c9685</v>
      </c>
    </row>
    <row r="1004" spans="1:19">
      <c r="A1004" t="s">
        <v>2650</v>
      </c>
      <c r="C1004" t="s">
        <v>2572</v>
      </c>
      <c r="D1004" s="3">
        <v>40288.43072916667</v>
      </c>
      <c r="E1004" s="8" t="s">
        <v>2651</v>
      </c>
      <c r="F1004" s="8" t="s">
        <v>2652</v>
      </c>
      <c r="G1004" s="8" t="s">
        <v>2653</v>
      </c>
      <c r="H1004" s="3">
        <v>40290.478425925925</v>
      </c>
      <c r="L1004">
        <f t="shared" si="79"/>
        <v>0</v>
      </c>
      <c r="Q1004" t="str">
        <f t="shared" si="80"/>
        <v/>
      </c>
      <c r="R1004" t="str">
        <f t="shared" si="81"/>
        <v/>
      </c>
      <c r="S1004" t="str">
        <f t="shared" si="82"/>
        <v/>
      </c>
    </row>
    <row r="1005" spans="1:19">
      <c r="A1005" t="s">
        <v>2790</v>
      </c>
      <c r="C1005" t="s">
        <v>2567</v>
      </c>
      <c r="D1005" s="3">
        <v>40288.670300925929</v>
      </c>
      <c r="E1005" s="8" t="s">
        <v>2791</v>
      </c>
      <c r="F1005" s="8" t="s">
        <v>2792</v>
      </c>
      <c r="G1005" s="8" t="s">
        <v>2572</v>
      </c>
      <c r="H1005" s="3">
        <v>40291.016041666669</v>
      </c>
      <c r="L1005">
        <f t="shared" si="79"/>
        <v>0</v>
      </c>
      <c r="Q1005" t="str">
        <f t="shared" si="80"/>
        <v/>
      </c>
      <c r="R1005" t="str">
        <f t="shared" si="81"/>
        <v/>
      </c>
      <c r="S1005" t="str">
        <f t="shared" si="82"/>
        <v/>
      </c>
    </row>
    <row r="1006" spans="1:19">
      <c r="A1006" t="s">
        <v>3212</v>
      </c>
      <c r="C1006" t="s">
        <v>2572</v>
      </c>
      <c r="D1006" s="3">
        <v>40295.462465277778</v>
      </c>
      <c r="E1006" s="8" t="s">
        <v>3213</v>
      </c>
      <c r="F1006" s="8" t="s">
        <v>3214</v>
      </c>
      <c r="G1006" s="8" t="s">
        <v>2653</v>
      </c>
      <c r="H1006" s="3">
        <v>40301.756041666667</v>
      </c>
      <c r="K1006">
        <v>1</v>
      </c>
      <c r="L1006">
        <f t="shared" si="79"/>
        <v>1</v>
      </c>
      <c r="Q1006" t="str">
        <f t="shared" si="80"/>
        <v/>
      </c>
      <c r="R1006" t="str">
        <f t="shared" si="81"/>
        <v/>
      </c>
      <c r="S1006" t="str">
        <f t="shared" si="82"/>
        <v>TC,955176c,c0aef39</v>
      </c>
    </row>
    <row r="1007" spans="1:19">
      <c r="A1007" t="s">
        <v>2918</v>
      </c>
      <c r="C1007" t="s">
        <v>2653</v>
      </c>
      <c r="D1007" s="3">
        <v>40305.458240740743</v>
      </c>
      <c r="E1007" s="8" t="s">
        <v>2919</v>
      </c>
      <c r="F1007" s="8" t="s">
        <v>2920</v>
      </c>
      <c r="G1007" s="8" t="s">
        <v>3685</v>
      </c>
      <c r="H1007" s="3">
        <v>40305.58865740741</v>
      </c>
      <c r="I1007">
        <v>1</v>
      </c>
      <c r="K1007">
        <v>1</v>
      </c>
      <c r="L1007">
        <f t="shared" si="79"/>
        <v>2</v>
      </c>
      <c r="Q1007" t="str">
        <f t="shared" si="80"/>
        <v>MC,497c4cb,6c05f10</v>
      </c>
      <c r="R1007" t="str">
        <f t="shared" si="81"/>
        <v/>
      </c>
      <c r="S1007" t="str">
        <f t="shared" si="82"/>
        <v>TC,497c4cb,6c05f10</v>
      </c>
    </row>
    <row r="1008" spans="1:19">
      <c r="A1008" t="s">
        <v>3534</v>
      </c>
      <c r="C1008" t="s">
        <v>2567</v>
      </c>
      <c r="D1008" s="3">
        <v>40316.560787037037</v>
      </c>
      <c r="E1008" s="8" t="s">
        <v>3535</v>
      </c>
      <c r="F1008" s="8" t="s">
        <v>3536</v>
      </c>
      <c r="G1008" s="8" t="s">
        <v>2572</v>
      </c>
      <c r="H1008" s="3">
        <v>40318.89439814815</v>
      </c>
      <c r="L1008">
        <f t="shared" si="79"/>
        <v>0</v>
      </c>
      <c r="Q1008" t="str">
        <f t="shared" si="80"/>
        <v/>
      </c>
      <c r="R1008" t="str">
        <f t="shared" si="81"/>
        <v/>
      </c>
      <c r="S1008" t="str">
        <f t="shared" si="82"/>
        <v/>
      </c>
    </row>
    <row r="1009" spans="1:19">
      <c r="A1009" t="s">
        <v>3658</v>
      </c>
      <c r="C1009" t="s">
        <v>2567</v>
      </c>
      <c r="D1009" s="3">
        <v>40322.533321759256</v>
      </c>
      <c r="E1009" s="8" t="s">
        <v>3659</v>
      </c>
      <c r="F1009" s="8" t="s">
        <v>3660</v>
      </c>
      <c r="G1009" s="8" t="s">
        <v>3677</v>
      </c>
      <c r="H1009" s="3">
        <v>40322.976099537038</v>
      </c>
      <c r="L1009">
        <f t="shared" si="79"/>
        <v>0</v>
      </c>
      <c r="Q1009" t="str">
        <f t="shared" si="80"/>
        <v/>
      </c>
      <c r="R1009" t="str">
        <f t="shared" si="81"/>
        <v/>
      </c>
      <c r="S1009" t="str">
        <f t="shared" si="82"/>
        <v/>
      </c>
    </row>
    <row r="1010" spans="1:19">
      <c r="A1010" t="s">
        <v>2924</v>
      </c>
      <c r="C1010" t="s">
        <v>2925</v>
      </c>
      <c r="D1010" s="3">
        <v>40322.841608796298</v>
      </c>
      <c r="E1010" s="8" t="s">
        <v>2926</v>
      </c>
      <c r="F1010" s="8" t="s">
        <v>2927</v>
      </c>
      <c r="G1010" s="8" t="s">
        <v>2567</v>
      </c>
      <c r="H1010" s="3">
        <v>40323.879675925928</v>
      </c>
      <c r="L1010">
        <f t="shared" si="79"/>
        <v>0</v>
      </c>
      <c r="Q1010" t="str">
        <f t="shared" si="80"/>
        <v/>
      </c>
      <c r="R1010" t="str">
        <f t="shared" si="81"/>
        <v/>
      </c>
      <c r="S1010" t="str">
        <f t="shared" si="82"/>
        <v/>
      </c>
    </row>
    <row r="1011" spans="1:19">
      <c r="A1011" t="s">
        <v>2658</v>
      </c>
      <c r="C1011" t="s">
        <v>2572</v>
      </c>
      <c r="D1011" s="3">
        <v>40340.49496527778</v>
      </c>
      <c r="E1011" s="8" t="s">
        <v>2659</v>
      </c>
      <c r="F1011" s="8" t="s">
        <v>2660</v>
      </c>
      <c r="G1011" s="8" t="s">
        <v>3676</v>
      </c>
      <c r="H1011" s="3">
        <v>40340.670787037037</v>
      </c>
      <c r="K1011">
        <v>1</v>
      </c>
      <c r="L1011">
        <f t="shared" si="79"/>
        <v>1</v>
      </c>
      <c r="Q1011" t="str">
        <f t="shared" si="80"/>
        <v/>
      </c>
      <c r="R1011" t="str">
        <f t="shared" si="81"/>
        <v/>
      </c>
      <c r="S1011" t="str">
        <f t="shared" si="82"/>
        <v>TC,0b2ef08,d74a474</v>
      </c>
    </row>
    <row r="1012" spans="1:19">
      <c r="A1012" t="s">
        <v>2859</v>
      </c>
      <c r="C1012" t="s">
        <v>2572</v>
      </c>
      <c r="D1012" s="3">
        <v>40340.725532407407</v>
      </c>
      <c r="E1012" s="8" t="s">
        <v>2860</v>
      </c>
      <c r="F1012" s="8" t="s">
        <v>2861</v>
      </c>
      <c r="G1012" s="8" t="s">
        <v>2565</v>
      </c>
      <c r="H1012" s="3">
        <v>40340.94017361111</v>
      </c>
      <c r="L1012">
        <f t="shared" si="79"/>
        <v>0</v>
      </c>
      <c r="Q1012" t="str">
        <f t="shared" si="80"/>
        <v/>
      </c>
      <c r="R1012" t="str">
        <f t="shared" si="81"/>
        <v/>
      </c>
      <c r="S1012" t="str">
        <f t="shared" si="82"/>
        <v/>
      </c>
    </row>
    <row r="1013" spans="1:19">
      <c r="A1013" t="s">
        <v>3274</v>
      </c>
      <c r="C1013" t="s">
        <v>2567</v>
      </c>
      <c r="D1013" s="3">
        <v>40345.739108796297</v>
      </c>
      <c r="E1013" s="8" t="s">
        <v>3275</v>
      </c>
      <c r="F1013" s="8" t="s">
        <v>3276</v>
      </c>
      <c r="G1013" s="8" t="s">
        <v>3677</v>
      </c>
      <c r="H1013" s="3">
        <v>40345.769259259258</v>
      </c>
      <c r="L1013">
        <f t="shared" si="79"/>
        <v>0</v>
      </c>
      <c r="Q1013" t="str">
        <f t="shared" si="80"/>
        <v/>
      </c>
      <c r="R1013" t="str">
        <f t="shared" si="81"/>
        <v/>
      </c>
      <c r="S1013" t="str">
        <f t="shared" si="82"/>
        <v/>
      </c>
    </row>
    <row r="1014" spans="1:19">
      <c r="A1014" t="s">
        <v>3604</v>
      </c>
      <c r="C1014" t="s">
        <v>2653</v>
      </c>
      <c r="D1014" s="3">
        <v>40308.314456018517</v>
      </c>
      <c r="E1014" s="8" t="s">
        <v>3605</v>
      </c>
      <c r="F1014" s="8" t="s">
        <v>3022</v>
      </c>
      <c r="G1014" s="8" t="s">
        <v>2572</v>
      </c>
      <c r="H1014" s="3">
        <v>40353.539942129632</v>
      </c>
      <c r="I1014">
        <v>1</v>
      </c>
      <c r="L1014">
        <f t="shared" si="79"/>
        <v>1</v>
      </c>
      <c r="Q1014" t="str">
        <f t="shared" si="80"/>
        <v>MC,a3d7142,bd11b46</v>
      </c>
      <c r="R1014" t="str">
        <f t="shared" si="81"/>
        <v/>
      </c>
      <c r="S1014" t="str">
        <f t="shared" si="82"/>
        <v/>
      </c>
    </row>
    <row r="1015" spans="1:19">
      <c r="A1015" s="1" t="s">
        <v>3021</v>
      </c>
      <c r="C1015" t="s">
        <v>2572</v>
      </c>
      <c r="D1015" s="3">
        <v>40353.539942129632</v>
      </c>
      <c r="E1015" s="8" t="s">
        <v>3022</v>
      </c>
      <c r="F1015" s="8" t="s">
        <v>3023</v>
      </c>
      <c r="G1015" s="8" t="s">
        <v>2567</v>
      </c>
      <c r="H1015" s="3">
        <v>40354.893414351849</v>
      </c>
      <c r="L1015">
        <f t="shared" si="79"/>
        <v>0</v>
      </c>
      <c r="Q1015" t="str">
        <f t="shared" si="80"/>
        <v/>
      </c>
      <c r="R1015" t="str">
        <f t="shared" si="81"/>
        <v/>
      </c>
      <c r="S1015" t="str">
        <f t="shared" si="82"/>
        <v/>
      </c>
    </row>
    <row r="1016" spans="1:19">
      <c r="A1016" t="s">
        <v>2886</v>
      </c>
      <c r="C1016" t="s">
        <v>2567</v>
      </c>
      <c r="D1016" s="3">
        <v>40367.756180555552</v>
      </c>
      <c r="E1016" s="8" t="s">
        <v>2887</v>
      </c>
      <c r="F1016" s="8" t="s">
        <v>3665</v>
      </c>
      <c r="G1016" s="8" t="s">
        <v>2572</v>
      </c>
      <c r="H1016" s="3">
        <v>40368.023310185185</v>
      </c>
      <c r="L1016">
        <f t="shared" si="79"/>
        <v>0</v>
      </c>
      <c r="Q1016" t="str">
        <f t="shared" si="80"/>
        <v/>
      </c>
      <c r="R1016" t="str">
        <f t="shared" si="81"/>
        <v/>
      </c>
      <c r="S1016" t="str">
        <f t="shared" si="82"/>
        <v/>
      </c>
    </row>
    <row r="1017" spans="1:19">
      <c r="A1017" t="s">
        <v>3622</v>
      </c>
      <c r="C1017" t="s">
        <v>2567</v>
      </c>
      <c r="D1017" s="3">
        <v>40368.479780092595</v>
      </c>
      <c r="E1017" s="8" t="s">
        <v>3623</v>
      </c>
      <c r="F1017" s="8" t="s">
        <v>3624</v>
      </c>
      <c r="G1017" s="8" t="s">
        <v>2572</v>
      </c>
      <c r="H1017" s="3">
        <v>40368.525439814817</v>
      </c>
      <c r="L1017">
        <f t="shared" si="79"/>
        <v>0</v>
      </c>
      <c r="Q1017" t="str">
        <f t="shared" si="80"/>
        <v/>
      </c>
      <c r="R1017" t="str">
        <f t="shared" si="81"/>
        <v/>
      </c>
      <c r="S1017" t="str">
        <f t="shared" si="82"/>
        <v/>
      </c>
    </row>
    <row r="1018" spans="1:19">
      <c r="A1018" t="s">
        <v>2762</v>
      </c>
      <c r="C1018" t="s">
        <v>2565</v>
      </c>
      <c r="D1018" s="3">
        <v>40370.929027777776</v>
      </c>
      <c r="E1018" s="8" t="s">
        <v>2763</v>
      </c>
      <c r="F1018" s="8" t="s">
        <v>2764</v>
      </c>
      <c r="G1018" s="8" t="s">
        <v>2572</v>
      </c>
      <c r="H1018" s="3">
        <v>40370.97488425926</v>
      </c>
      <c r="L1018">
        <f t="shared" si="79"/>
        <v>0</v>
      </c>
      <c r="Q1018" t="str">
        <f t="shared" si="80"/>
        <v/>
      </c>
      <c r="R1018" t="str">
        <f t="shared" si="81"/>
        <v/>
      </c>
      <c r="S1018" t="str">
        <f t="shared" si="82"/>
        <v/>
      </c>
    </row>
    <row r="1019" spans="1:19">
      <c r="A1019" t="s">
        <v>3608</v>
      </c>
      <c r="C1019" t="s">
        <v>2653</v>
      </c>
      <c r="D1019" s="3">
        <v>40354.892731481479</v>
      </c>
      <c r="E1019" s="8" t="s">
        <v>3609</v>
      </c>
      <c r="F1019" s="8" t="s">
        <v>3610</v>
      </c>
      <c r="G1019" s="8" t="s">
        <v>2572</v>
      </c>
      <c r="H1019" s="3">
        <v>40370.975219907406</v>
      </c>
      <c r="I1019">
        <v>1</v>
      </c>
      <c r="L1019">
        <f t="shared" si="79"/>
        <v>1</v>
      </c>
      <c r="Q1019" t="str">
        <f t="shared" si="80"/>
        <v>MC,e5a49a2,2f5deff</v>
      </c>
      <c r="R1019" t="str">
        <f t="shared" si="81"/>
        <v/>
      </c>
      <c r="S1019" t="str">
        <f t="shared" si="82"/>
        <v/>
      </c>
    </row>
    <row r="1020" spans="1:19">
      <c r="A1020" t="s">
        <v>3215</v>
      </c>
      <c r="C1020" t="s">
        <v>2572</v>
      </c>
      <c r="D1020" s="3">
        <v>40371.548634259256</v>
      </c>
      <c r="E1020" s="8" t="s">
        <v>3216</v>
      </c>
      <c r="F1020" s="8" t="s">
        <v>3217</v>
      </c>
      <c r="G1020" s="8" t="s">
        <v>3676</v>
      </c>
      <c r="H1020" s="3">
        <v>40371.644988425927</v>
      </c>
      <c r="K1020">
        <v>1</v>
      </c>
      <c r="L1020">
        <f t="shared" si="79"/>
        <v>1</v>
      </c>
      <c r="Q1020" t="str">
        <f t="shared" si="80"/>
        <v/>
      </c>
      <c r="R1020" t="str">
        <f t="shared" si="81"/>
        <v/>
      </c>
      <c r="S1020" t="str">
        <f t="shared" si="82"/>
        <v>TC,e03d78c,8ada0e3</v>
      </c>
    </row>
    <row r="1021" spans="1:19">
      <c r="A1021" t="s">
        <v>3228</v>
      </c>
      <c r="C1021" t="s">
        <v>2572</v>
      </c>
      <c r="D1021" s="3">
        <v>40371.644988425927</v>
      </c>
      <c r="E1021" s="8" t="s">
        <v>3217</v>
      </c>
      <c r="F1021" s="8" t="s">
        <v>3229</v>
      </c>
      <c r="G1021" s="8" t="s">
        <v>2567</v>
      </c>
      <c r="H1021" s="3">
        <v>40374.589421296296</v>
      </c>
      <c r="L1021">
        <f t="shared" si="79"/>
        <v>0</v>
      </c>
      <c r="Q1021" t="str">
        <f t="shared" si="80"/>
        <v/>
      </c>
      <c r="R1021" t="str">
        <f t="shared" si="81"/>
        <v/>
      </c>
      <c r="S1021" t="str">
        <f t="shared" si="82"/>
        <v/>
      </c>
    </row>
    <row r="1022" spans="1:19">
      <c r="A1022" t="s">
        <v>3406</v>
      </c>
      <c r="C1022" t="s">
        <v>2572</v>
      </c>
      <c r="D1022" s="3">
        <v>40372.770624999997</v>
      </c>
      <c r="E1022" s="8" t="s">
        <v>3407</v>
      </c>
      <c r="F1022" s="8" t="s">
        <v>3408</v>
      </c>
      <c r="G1022" s="8" t="s">
        <v>3676</v>
      </c>
      <c r="H1022" s="3">
        <v>40378.625763888886</v>
      </c>
      <c r="I1022">
        <v>1</v>
      </c>
      <c r="L1022">
        <f t="shared" si="79"/>
        <v>1</v>
      </c>
      <c r="Q1022" t="str">
        <f t="shared" si="80"/>
        <v>MC,83bfb9c,f9687d6</v>
      </c>
      <c r="R1022" t="str">
        <f t="shared" si="81"/>
        <v/>
      </c>
      <c r="S1022" t="str">
        <f t="shared" si="82"/>
        <v/>
      </c>
    </row>
    <row r="1023" spans="1:19">
      <c r="A1023" t="s">
        <v>2779</v>
      </c>
      <c r="C1023" t="s">
        <v>2572</v>
      </c>
      <c r="D1023" s="3">
        <v>40378.739050925928</v>
      </c>
      <c r="E1023" s="8" t="s">
        <v>2780</v>
      </c>
      <c r="F1023" s="8" t="s">
        <v>3663</v>
      </c>
      <c r="G1023" s="8" t="s">
        <v>3676</v>
      </c>
      <c r="H1023" s="3">
        <v>40379.691307870373</v>
      </c>
      <c r="K1023">
        <v>1</v>
      </c>
      <c r="L1023">
        <f t="shared" si="79"/>
        <v>1</v>
      </c>
      <c r="Q1023" t="str">
        <f t="shared" si="80"/>
        <v/>
      </c>
      <c r="R1023" t="str">
        <f t="shared" si="81"/>
        <v/>
      </c>
      <c r="S1023" t="str">
        <f t="shared" si="82"/>
        <v>TC,e88d32d,9509899</v>
      </c>
    </row>
    <row r="1024" spans="1:19">
      <c r="A1024" s="1" t="s">
        <v>2796</v>
      </c>
      <c r="C1024" t="s">
        <v>2572</v>
      </c>
      <c r="D1024" s="3">
        <v>40400.497881944444</v>
      </c>
      <c r="E1024" s="8" t="s">
        <v>2797</v>
      </c>
      <c r="F1024" s="8" t="s">
        <v>2798</v>
      </c>
      <c r="G1024" s="8" t="s">
        <v>2567</v>
      </c>
      <c r="H1024" s="3">
        <v>40403.619652777779</v>
      </c>
      <c r="K1024">
        <v>1</v>
      </c>
      <c r="L1024">
        <f t="shared" si="79"/>
        <v>1</v>
      </c>
      <c r="Q1024" t="str">
        <f t="shared" si="80"/>
        <v/>
      </c>
      <c r="R1024" t="str">
        <f t="shared" si="81"/>
        <v/>
      </c>
      <c r="S1024" t="str">
        <f t="shared" si="82"/>
        <v>TC,3ba4e35,994c51b</v>
      </c>
    </row>
    <row r="1025" spans="1:19">
      <c r="A1025" t="s">
        <v>3115</v>
      </c>
      <c r="C1025" t="s">
        <v>2567</v>
      </c>
      <c r="D1025" s="3">
        <v>40403.620659722219</v>
      </c>
      <c r="E1025" s="8" t="s">
        <v>3116</v>
      </c>
      <c r="F1025" s="8" t="s">
        <v>3117</v>
      </c>
      <c r="G1025" s="8" t="s">
        <v>2572</v>
      </c>
      <c r="H1025" s="3">
        <v>40408.585613425923</v>
      </c>
      <c r="L1025">
        <f t="shared" si="79"/>
        <v>0</v>
      </c>
      <c r="Q1025" t="str">
        <f t="shared" si="80"/>
        <v/>
      </c>
      <c r="R1025" t="str">
        <f t="shared" si="81"/>
        <v/>
      </c>
      <c r="S1025" t="str">
        <f t="shared" si="82"/>
        <v/>
      </c>
    </row>
    <row r="1026" spans="1:19">
      <c r="A1026" t="s">
        <v>2745</v>
      </c>
      <c r="C1026" t="s">
        <v>2567</v>
      </c>
      <c r="D1026" s="3">
        <v>40410.375868055555</v>
      </c>
      <c r="E1026" s="8" t="s">
        <v>2746</v>
      </c>
      <c r="F1026" s="8" t="s">
        <v>2747</v>
      </c>
      <c r="G1026" s="8" t="s">
        <v>2572</v>
      </c>
      <c r="H1026" s="3">
        <v>40410.527708333335</v>
      </c>
      <c r="L1026">
        <f t="shared" si="79"/>
        <v>0</v>
      </c>
      <c r="Q1026" t="str">
        <f t="shared" si="80"/>
        <v/>
      </c>
      <c r="R1026" t="str">
        <f t="shared" si="81"/>
        <v/>
      </c>
      <c r="S1026" t="str">
        <f t="shared" si="82"/>
        <v/>
      </c>
    </row>
    <row r="1027" spans="1:19">
      <c r="A1027" t="s">
        <v>3495</v>
      </c>
      <c r="C1027" t="s">
        <v>2567</v>
      </c>
      <c r="D1027" s="3">
        <v>40409.530451388891</v>
      </c>
      <c r="E1027" s="8" t="s">
        <v>3496</v>
      </c>
      <c r="F1027" s="8" t="s">
        <v>3497</v>
      </c>
      <c r="G1027" s="8" t="s">
        <v>2572</v>
      </c>
      <c r="H1027" s="3">
        <v>40417.765231481484</v>
      </c>
      <c r="J1027">
        <v>1</v>
      </c>
      <c r="L1027">
        <f t="shared" si="79"/>
        <v>1</v>
      </c>
      <c r="Q1027" t="str">
        <f t="shared" si="80"/>
        <v/>
      </c>
      <c r="R1027" t="str">
        <f t="shared" si="81"/>
        <v>BC,8c72464,13fbb1d</v>
      </c>
      <c r="S1027" t="str">
        <f t="shared" si="82"/>
        <v/>
      </c>
    </row>
    <row r="1028" spans="1:19">
      <c r="A1028" t="s">
        <v>3453</v>
      </c>
      <c r="C1028" t="s">
        <v>2572</v>
      </c>
      <c r="D1028" s="3">
        <v>40416.433611111112</v>
      </c>
      <c r="E1028" s="8" t="s">
        <v>3454</v>
      </c>
      <c r="F1028" s="8" t="s">
        <v>3455</v>
      </c>
      <c r="G1028" s="8" t="s">
        <v>2600</v>
      </c>
      <c r="H1028" s="3">
        <v>40418.743009259262</v>
      </c>
      <c r="L1028">
        <f t="shared" si="79"/>
        <v>0</v>
      </c>
      <c r="Q1028" t="str">
        <f t="shared" si="80"/>
        <v/>
      </c>
      <c r="R1028" t="str">
        <f t="shared" si="81"/>
        <v/>
      </c>
      <c r="S1028" t="str">
        <f t="shared" si="82"/>
        <v/>
      </c>
    </row>
    <row r="1029" spans="1:19">
      <c r="A1029" t="s">
        <v>2888</v>
      </c>
      <c r="C1029" t="s">
        <v>2572</v>
      </c>
      <c r="D1029" s="3">
        <v>40421.807627314818</v>
      </c>
      <c r="E1029" s="8" t="s">
        <v>2889</v>
      </c>
      <c r="F1029" s="8" t="s">
        <v>2890</v>
      </c>
      <c r="G1029" s="8" t="s">
        <v>3676</v>
      </c>
      <c r="H1029" s="3">
        <v>40422.661157407405</v>
      </c>
      <c r="L1029">
        <f t="shared" si="79"/>
        <v>0</v>
      </c>
      <c r="Q1029" t="str">
        <f t="shared" si="80"/>
        <v/>
      </c>
      <c r="R1029" t="str">
        <f t="shared" si="81"/>
        <v/>
      </c>
      <c r="S1029" t="str">
        <f t="shared" si="82"/>
        <v/>
      </c>
    </row>
    <row r="1030" spans="1:19">
      <c r="A1030" t="s">
        <v>3649</v>
      </c>
      <c r="C1030" t="s">
        <v>2567</v>
      </c>
      <c r="D1030" s="3">
        <v>40434.868298611109</v>
      </c>
      <c r="E1030" s="8" t="s">
        <v>3650</v>
      </c>
      <c r="F1030" s="8" t="s">
        <v>3651</v>
      </c>
      <c r="G1030" s="8" t="s">
        <v>2572</v>
      </c>
      <c r="H1030" s="3">
        <v>40441.574965277781</v>
      </c>
      <c r="I1030">
        <v>1</v>
      </c>
      <c r="K1030">
        <v>1</v>
      </c>
      <c r="L1030">
        <f t="shared" si="79"/>
        <v>2</v>
      </c>
      <c r="Q1030" t="str">
        <f t="shared" si="80"/>
        <v>MC,1f21e50,61f4d16</v>
      </c>
      <c r="R1030" t="str">
        <f t="shared" si="81"/>
        <v/>
      </c>
      <c r="S1030" t="str">
        <f t="shared" si="82"/>
        <v>TC,1f21e50,61f4d16</v>
      </c>
    </row>
    <row r="1031" spans="1:19">
      <c r="A1031" t="s">
        <v>2578</v>
      </c>
      <c r="C1031" t="s">
        <v>2572</v>
      </c>
      <c r="D1031" s="3">
        <v>40448.040277777778</v>
      </c>
      <c r="E1031" s="8" t="s">
        <v>2579</v>
      </c>
      <c r="F1031" s="8" t="s">
        <v>3661</v>
      </c>
      <c r="G1031" s="8" t="s">
        <v>3676</v>
      </c>
      <c r="H1031" s="3">
        <v>40448.694872685184</v>
      </c>
      <c r="K1031">
        <v>1</v>
      </c>
      <c r="L1031">
        <f t="shared" si="79"/>
        <v>1</v>
      </c>
      <c r="Q1031" t="str">
        <f t="shared" si="80"/>
        <v/>
      </c>
      <c r="R1031" t="str">
        <f t="shared" si="81"/>
        <v/>
      </c>
      <c r="S1031" t="str">
        <f t="shared" si="82"/>
        <v>TC,a24eb46,4717020</v>
      </c>
    </row>
    <row r="1032" spans="1:19">
      <c r="A1032" t="s">
        <v>2893</v>
      </c>
      <c r="C1032" t="s">
        <v>2572</v>
      </c>
      <c r="D1032" s="3">
        <v>40422.578101851854</v>
      </c>
      <c r="E1032" s="8" t="s">
        <v>2894</v>
      </c>
      <c r="F1032" s="8" t="s">
        <v>2895</v>
      </c>
      <c r="G1032" s="8" t="s">
        <v>3676</v>
      </c>
      <c r="H1032" s="3">
        <v>40454.770196759258</v>
      </c>
      <c r="I1032">
        <v>1</v>
      </c>
      <c r="K1032">
        <v>1</v>
      </c>
      <c r="L1032">
        <f t="shared" si="79"/>
        <v>2</v>
      </c>
      <c r="Q1032" t="str">
        <f t="shared" si="80"/>
        <v>MC,566b4bc,01fad80</v>
      </c>
      <c r="R1032" t="str">
        <f t="shared" si="81"/>
        <v/>
      </c>
      <c r="S1032" t="str">
        <f t="shared" si="82"/>
        <v>TC,566b4bc,01fad80</v>
      </c>
    </row>
    <row r="1033" spans="1:19">
      <c r="A1033" t="s">
        <v>2611</v>
      </c>
      <c r="C1033" t="s">
        <v>2567</v>
      </c>
      <c r="D1033" s="3">
        <v>40455.457233796296</v>
      </c>
      <c r="E1033" s="8" t="s">
        <v>2612</v>
      </c>
      <c r="F1033" s="8" t="s">
        <v>2613</v>
      </c>
      <c r="G1033" s="8" t="s">
        <v>2572</v>
      </c>
      <c r="H1033" s="3">
        <v>40455.650011574071</v>
      </c>
      <c r="I1033">
        <v>1</v>
      </c>
      <c r="K1033">
        <v>1</v>
      </c>
      <c r="L1033">
        <f t="shared" si="79"/>
        <v>2</v>
      </c>
      <c r="Q1033" t="str">
        <f t="shared" si="80"/>
        <v>MC,6efd96c,d55c771</v>
      </c>
      <c r="R1033" t="str">
        <f t="shared" si="81"/>
        <v/>
      </c>
      <c r="S1033" t="str">
        <f t="shared" si="82"/>
        <v>TC,6efd96c,d55c771</v>
      </c>
    </row>
    <row r="1034" spans="1:19">
      <c r="A1034" t="s">
        <v>2868</v>
      </c>
      <c r="C1034" t="s">
        <v>2572</v>
      </c>
      <c r="D1034" s="3">
        <v>40462.958796296298</v>
      </c>
      <c r="E1034" s="8" t="s">
        <v>2869</v>
      </c>
      <c r="F1034" s="8" t="s">
        <v>2870</v>
      </c>
      <c r="G1034" s="8" t="s">
        <v>2567</v>
      </c>
      <c r="H1034" s="3">
        <v>40466.583634259259</v>
      </c>
      <c r="L1034">
        <f t="shared" si="79"/>
        <v>0</v>
      </c>
      <c r="Q1034" t="str">
        <f t="shared" si="80"/>
        <v/>
      </c>
      <c r="R1034" t="str">
        <f t="shared" si="81"/>
        <v/>
      </c>
      <c r="S1034" t="str">
        <f t="shared" si="82"/>
        <v/>
      </c>
    </row>
    <row r="1035" spans="1:19">
      <c r="A1035" t="s">
        <v>3102</v>
      </c>
      <c r="C1035" t="s">
        <v>2567</v>
      </c>
      <c r="D1035" s="3">
        <v>40507.520740740743</v>
      </c>
      <c r="E1035" s="8" t="s">
        <v>3103</v>
      </c>
      <c r="F1035" s="8" t="s">
        <v>3104</v>
      </c>
      <c r="G1035" s="8" t="s">
        <v>3105</v>
      </c>
      <c r="H1035" s="3">
        <v>40527.674097222225</v>
      </c>
      <c r="L1035">
        <f t="shared" si="79"/>
        <v>0</v>
      </c>
      <c r="Q1035" t="str">
        <f t="shared" si="80"/>
        <v/>
      </c>
      <c r="R1035" t="str">
        <f t="shared" si="81"/>
        <v/>
      </c>
      <c r="S1035" t="str">
        <f t="shared" si="82"/>
        <v/>
      </c>
    </row>
    <row r="1036" spans="1:19">
      <c r="A1036" t="s">
        <v>2940</v>
      </c>
      <c r="C1036" t="s">
        <v>2941</v>
      </c>
      <c r="D1036" s="3">
        <v>40532.788263888891</v>
      </c>
      <c r="E1036" s="8" t="s">
        <v>2942</v>
      </c>
      <c r="F1036" s="8" t="s">
        <v>2943</v>
      </c>
      <c r="G1036" s="8" t="s">
        <v>3682</v>
      </c>
      <c r="H1036" s="3">
        <v>40533.9766087963</v>
      </c>
      <c r="K1036">
        <v>1</v>
      </c>
      <c r="L1036">
        <f t="shared" si="79"/>
        <v>1</v>
      </c>
      <c r="Q1036" t="str">
        <f t="shared" si="80"/>
        <v/>
      </c>
      <c r="R1036" t="str">
        <f t="shared" si="81"/>
        <v/>
      </c>
      <c r="S1036" t="str">
        <f t="shared" si="82"/>
        <v>TC,6a899cd,d00bf6e</v>
      </c>
    </row>
    <row r="1037" spans="1:19">
      <c r="A1037" t="s">
        <v>3118</v>
      </c>
      <c r="C1037" t="s">
        <v>2567</v>
      </c>
      <c r="D1037" s="3">
        <v>40505.782870370371</v>
      </c>
      <c r="E1037" s="8" t="s">
        <v>3119</v>
      </c>
      <c r="F1037" s="8" t="s">
        <v>3120</v>
      </c>
      <c r="G1037" s="8" t="s">
        <v>3677</v>
      </c>
      <c r="H1037" s="3">
        <v>40539.070798611108</v>
      </c>
      <c r="L1037">
        <f t="shared" si="79"/>
        <v>0</v>
      </c>
      <c r="Q1037" t="str">
        <f t="shared" si="80"/>
        <v/>
      </c>
      <c r="R1037" t="str">
        <f t="shared" si="81"/>
        <v/>
      </c>
      <c r="S1037" t="str">
        <f t="shared" si="82"/>
        <v/>
      </c>
    </row>
    <row r="1038" spans="1:19">
      <c r="A1038" t="s">
        <v>3161</v>
      </c>
      <c r="C1038" t="s">
        <v>2567</v>
      </c>
      <c r="D1038" s="3">
        <v>40555.714699074073</v>
      </c>
      <c r="E1038" s="8" t="s">
        <v>3162</v>
      </c>
      <c r="F1038" s="8" t="s">
        <v>3163</v>
      </c>
      <c r="G1038" s="8" t="s">
        <v>2572</v>
      </c>
      <c r="H1038" s="3">
        <v>40556.790995370371</v>
      </c>
      <c r="L1038">
        <f t="shared" si="79"/>
        <v>0</v>
      </c>
      <c r="Q1038" t="str">
        <f t="shared" si="80"/>
        <v/>
      </c>
      <c r="R1038" t="str">
        <f t="shared" si="81"/>
        <v/>
      </c>
      <c r="S1038" t="str">
        <f t="shared" si="82"/>
        <v/>
      </c>
    </row>
    <row r="1039" spans="1:19">
      <c r="A1039" t="s">
        <v>3646</v>
      </c>
      <c r="C1039" t="s">
        <v>2941</v>
      </c>
      <c r="D1039" s="3">
        <v>40549.73883101852</v>
      </c>
      <c r="E1039" s="8" t="s">
        <v>3647</v>
      </c>
      <c r="F1039" s="8" t="s">
        <v>3648</v>
      </c>
      <c r="G1039" s="8" t="s">
        <v>2567</v>
      </c>
      <c r="H1039" s="3">
        <v>40558.982094907406</v>
      </c>
      <c r="L1039">
        <f t="shared" si="79"/>
        <v>0</v>
      </c>
      <c r="Q1039" t="str">
        <f t="shared" si="80"/>
        <v/>
      </c>
      <c r="R1039" t="str">
        <f t="shared" si="81"/>
        <v/>
      </c>
      <c r="S1039" t="str">
        <f t="shared" si="82"/>
        <v/>
      </c>
    </row>
    <row r="1040" spans="1:19">
      <c r="A1040" t="s">
        <v>3243</v>
      </c>
      <c r="C1040" t="s">
        <v>2572</v>
      </c>
      <c r="D1040" s="3">
        <v>40561.675173611111</v>
      </c>
      <c r="E1040" s="8" t="s">
        <v>3244</v>
      </c>
      <c r="F1040" s="8" t="s">
        <v>3245</v>
      </c>
      <c r="G1040" s="8" t="s">
        <v>2567</v>
      </c>
      <c r="H1040" s="3">
        <v>40561.694548611114</v>
      </c>
      <c r="L1040">
        <f t="shared" si="79"/>
        <v>0</v>
      </c>
      <c r="Q1040" t="str">
        <f t="shared" si="80"/>
        <v/>
      </c>
      <c r="R1040" t="str">
        <f t="shared" si="81"/>
        <v/>
      </c>
      <c r="S1040" t="str">
        <f t="shared" si="82"/>
        <v/>
      </c>
    </row>
    <row r="1041" spans="1:19">
      <c r="A1041" t="s">
        <v>3198</v>
      </c>
      <c r="C1041" t="s">
        <v>2572</v>
      </c>
      <c r="D1041" s="3">
        <v>40561.715636574074</v>
      </c>
      <c r="E1041" s="8" t="s">
        <v>3199</v>
      </c>
      <c r="F1041" s="8" t="s">
        <v>3200</v>
      </c>
      <c r="G1041" s="8" t="s">
        <v>2567</v>
      </c>
      <c r="H1041" s="3">
        <v>40563.542928240742</v>
      </c>
      <c r="K1041">
        <v>1</v>
      </c>
      <c r="L1041">
        <f t="shared" si="79"/>
        <v>1</v>
      </c>
      <c r="Q1041" t="str">
        <f t="shared" si="80"/>
        <v/>
      </c>
      <c r="R1041" t="str">
        <f t="shared" si="81"/>
        <v/>
      </c>
      <c r="S1041" t="str">
        <f t="shared" si="82"/>
        <v>TC,012ba09,46a8829</v>
      </c>
    </row>
    <row r="1042" spans="1:19">
      <c r="A1042" t="s">
        <v>3287</v>
      </c>
      <c r="C1042" t="s">
        <v>2572</v>
      </c>
      <c r="D1042" s="3">
        <v>40575.44803240741</v>
      </c>
      <c r="E1042" s="8" t="s">
        <v>3288</v>
      </c>
      <c r="F1042" s="8" t="s">
        <v>3289</v>
      </c>
      <c r="G1042" s="8" t="s">
        <v>3105</v>
      </c>
      <c r="H1042" s="3">
        <v>40575.812615740739</v>
      </c>
      <c r="L1042">
        <f t="shared" si="79"/>
        <v>0</v>
      </c>
      <c r="Q1042" t="str">
        <f t="shared" si="80"/>
        <v/>
      </c>
      <c r="R1042" t="str">
        <f t="shared" si="81"/>
        <v/>
      </c>
      <c r="S1042" t="str">
        <f t="shared" si="82"/>
        <v/>
      </c>
    </row>
    <row r="1043" spans="1:19">
      <c r="A1043" t="s">
        <v>3633</v>
      </c>
      <c r="C1043" t="s">
        <v>2572</v>
      </c>
      <c r="D1043" s="3">
        <v>40577.412789351853</v>
      </c>
      <c r="E1043" s="8" t="s">
        <v>3634</v>
      </c>
      <c r="F1043" s="8" t="s">
        <v>3635</v>
      </c>
      <c r="G1043" s="8" t="s">
        <v>3676</v>
      </c>
      <c r="H1043" s="3">
        <v>40581.412893518522</v>
      </c>
      <c r="L1043">
        <f t="shared" si="79"/>
        <v>0</v>
      </c>
      <c r="Q1043" t="str">
        <f t="shared" si="80"/>
        <v/>
      </c>
      <c r="R1043" t="str">
        <f t="shared" si="81"/>
        <v/>
      </c>
      <c r="S1043" t="str">
        <f t="shared" si="82"/>
        <v/>
      </c>
    </row>
    <row r="1044" spans="1:19">
      <c r="A1044" t="s">
        <v>3084</v>
      </c>
      <c r="C1044" t="s">
        <v>2572</v>
      </c>
      <c r="D1044" s="3">
        <v>40577.412789351853</v>
      </c>
      <c r="E1044" s="8" t="s">
        <v>3085</v>
      </c>
      <c r="F1044" s="8" t="s">
        <v>3086</v>
      </c>
      <c r="G1044" s="8" t="s">
        <v>3676</v>
      </c>
      <c r="H1044" s="3">
        <v>40581.4137962963</v>
      </c>
      <c r="L1044">
        <f t="shared" si="79"/>
        <v>0</v>
      </c>
      <c r="Q1044" t="str">
        <f t="shared" si="80"/>
        <v/>
      </c>
      <c r="R1044" t="str">
        <f t="shared" si="81"/>
        <v/>
      </c>
      <c r="S1044" t="str">
        <f t="shared" si="82"/>
        <v/>
      </c>
    </row>
    <row r="1045" spans="1:19">
      <c r="A1045" t="s">
        <v>2921</v>
      </c>
      <c r="C1045" t="s">
        <v>2567</v>
      </c>
      <c r="D1045" s="3">
        <v>40578.600543981483</v>
      </c>
      <c r="E1045" s="8" t="s">
        <v>2922</v>
      </c>
      <c r="F1045" s="8" t="s">
        <v>2923</v>
      </c>
      <c r="G1045" s="8" t="s">
        <v>2572</v>
      </c>
      <c r="H1045" s="3">
        <v>40581.413958333331</v>
      </c>
      <c r="L1045">
        <f t="shared" si="79"/>
        <v>0</v>
      </c>
      <c r="Q1045" t="str">
        <f t="shared" si="80"/>
        <v/>
      </c>
      <c r="R1045" t="str">
        <f t="shared" si="81"/>
        <v/>
      </c>
      <c r="S1045" t="str">
        <f t="shared" si="82"/>
        <v/>
      </c>
    </row>
    <row r="1046" spans="1:19">
      <c r="A1046" t="s">
        <v>3553</v>
      </c>
      <c r="C1046" t="s">
        <v>2567</v>
      </c>
      <c r="D1046" s="3">
        <v>40578.600543981483</v>
      </c>
      <c r="E1046" s="8" t="s">
        <v>2922</v>
      </c>
      <c r="F1046" s="8" t="s">
        <v>3554</v>
      </c>
      <c r="G1046" s="8" t="s">
        <v>3677</v>
      </c>
      <c r="H1046" s="3">
        <v>40581.97388888889</v>
      </c>
      <c r="L1046">
        <f t="shared" si="79"/>
        <v>0</v>
      </c>
      <c r="Q1046" t="str">
        <f t="shared" si="80"/>
        <v/>
      </c>
      <c r="R1046" t="str">
        <f t="shared" si="81"/>
        <v/>
      </c>
      <c r="S1046" t="str">
        <f t="shared" si="82"/>
        <v/>
      </c>
    </row>
    <row r="1047" spans="1:19">
      <c r="A1047" t="s">
        <v>3376</v>
      </c>
      <c r="C1047" t="s">
        <v>2567</v>
      </c>
      <c r="D1047" s="3">
        <v>40582.000694444447</v>
      </c>
      <c r="E1047" s="8" t="s">
        <v>3377</v>
      </c>
      <c r="F1047" s="8" t="s">
        <v>3378</v>
      </c>
      <c r="G1047" s="8" t="s">
        <v>2572</v>
      </c>
      <c r="H1047" s="3">
        <v>40588.447071759256</v>
      </c>
      <c r="K1047">
        <v>1</v>
      </c>
      <c r="L1047">
        <f t="shared" si="79"/>
        <v>1</v>
      </c>
      <c r="Q1047" t="str">
        <f t="shared" si="80"/>
        <v/>
      </c>
      <c r="R1047" t="str">
        <f t="shared" si="81"/>
        <v/>
      </c>
      <c r="S1047" t="str">
        <f t="shared" si="82"/>
        <v>TC,05721d7,a1be5c6</v>
      </c>
    </row>
    <row r="1048" spans="1:19">
      <c r="A1048" t="s">
        <v>3564</v>
      </c>
      <c r="C1048" t="s">
        <v>3565</v>
      </c>
      <c r="D1048" s="3">
        <v>40590.666006944448</v>
      </c>
      <c r="E1048" s="8" t="s">
        <v>3566</v>
      </c>
      <c r="F1048" s="8" t="s">
        <v>3567</v>
      </c>
      <c r="G1048" s="8" t="s">
        <v>3568</v>
      </c>
      <c r="H1048" s="3">
        <v>40592.643206018518</v>
      </c>
      <c r="K1048">
        <v>1</v>
      </c>
      <c r="L1048">
        <f t="shared" si="79"/>
        <v>1</v>
      </c>
      <c r="Q1048" t="str">
        <f t="shared" si="80"/>
        <v/>
      </c>
      <c r="R1048" t="str">
        <f t="shared" si="81"/>
        <v/>
      </c>
      <c r="S1048" t="str">
        <f t="shared" si="82"/>
        <v>TC,23b7001,c6a9034</v>
      </c>
    </row>
    <row r="1049" spans="1:19">
      <c r="A1049" t="s">
        <v>3296</v>
      </c>
      <c r="C1049" t="s">
        <v>2572</v>
      </c>
      <c r="D1049" s="3">
        <v>40592.448599537034</v>
      </c>
      <c r="E1049" s="8" t="s">
        <v>3297</v>
      </c>
      <c r="F1049" s="8" t="s">
        <v>3298</v>
      </c>
      <c r="G1049" s="8" t="s">
        <v>2567</v>
      </c>
      <c r="H1049" s="3">
        <v>40592.665625000001</v>
      </c>
      <c r="K1049">
        <v>1</v>
      </c>
      <c r="L1049">
        <f t="shared" si="79"/>
        <v>1</v>
      </c>
      <c r="Q1049" t="str">
        <f t="shared" si="80"/>
        <v/>
      </c>
      <c r="R1049" t="str">
        <f t="shared" si="81"/>
        <v/>
      </c>
      <c r="S1049" t="str">
        <f t="shared" si="82"/>
        <v>TC,12b94d0,1ea0b6a</v>
      </c>
    </row>
    <row r="1050" spans="1:19">
      <c r="A1050" t="s">
        <v>3206</v>
      </c>
      <c r="C1050" t="s">
        <v>2572</v>
      </c>
      <c r="D1050" s="3">
        <v>40590.891226851854</v>
      </c>
      <c r="E1050" s="8" t="s">
        <v>3207</v>
      </c>
      <c r="F1050" s="8" t="s">
        <v>3208</v>
      </c>
      <c r="G1050" s="8" t="s">
        <v>2567</v>
      </c>
      <c r="H1050" s="3">
        <v>40592.828842592593</v>
      </c>
      <c r="L1050">
        <f t="shared" ref="L1050:L1113" si="83">COUNTA(I1050:K1050)</f>
        <v>0</v>
      </c>
      <c r="Q1050" t="str">
        <f t="shared" ref="Q1050:Q1113" si="84">IF(I1050&gt;0,CONCATENATE("MC,",E1050,",",F1050),"")</f>
        <v/>
      </c>
      <c r="R1050" t="str">
        <f t="shared" ref="R1050:R1113" si="85">IF(J1050&gt;0,CONCATENATE("BC,",E1050,",",F1050),"")</f>
        <v/>
      </c>
      <c r="S1050" t="str">
        <f t="shared" ref="S1050:S1113" si="86">IF(K1050&gt;0,CONCATENATE("TC,",E1050,",",F1050),"")</f>
        <v/>
      </c>
    </row>
    <row r="1051" spans="1:19">
      <c r="A1051" t="s">
        <v>3299</v>
      </c>
      <c r="C1051" t="s">
        <v>2567</v>
      </c>
      <c r="D1051" s="3">
        <v>40591.839409722219</v>
      </c>
      <c r="E1051" s="8" t="s">
        <v>3300</v>
      </c>
      <c r="F1051" s="8" t="s">
        <v>3301</v>
      </c>
      <c r="G1051" s="8" t="s">
        <v>3677</v>
      </c>
      <c r="H1051" s="3">
        <v>40594.852488425924</v>
      </c>
      <c r="L1051">
        <f t="shared" si="83"/>
        <v>0</v>
      </c>
      <c r="Q1051" t="str">
        <f t="shared" si="84"/>
        <v/>
      </c>
      <c r="R1051" t="str">
        <f t="shared" si="85"/>
        <v/>
      </c>
      <c r="S1051" t="str">
        <f t="shared" si="86"/>
        <v/>
      </c>
    </row>
    <row r="1052" spans="1:19">
      <c r="A1052" s="1" t="s">
        <v>2770</v>
      </c>
      <c r="C1052" t="s">
        <v>2572</v>
      </c>
      <c r="D1052" s="3">
        <v>40599.595289351855</v>
      </c>
      <c r="E1052" s="8" t="s">
        <v>2771</v>
      </c>
      <c r="F1052" s="8" t="s">
        <v>2772</v>
      </c>
      <c r="G1052" s="8" t="s">
        <v>2773</v>
      </c>
      <c r="H1052" s="3">
        <v>40599.63690972222</v>
      </c>
      <c r="K1052">
        <v>1</v>
      </c>
      <c r="L1052">
        <f t="shared" si="83"/>
        <v>1</v>
      </c>
      <c r="Q1052" t="str">
        <f t="shared" si="84"/>
        <v/>
      </c>
      <c r="R1052" t="str">
        <f t="shared" si="85"/>
        <v/>
      </c>
      <c r="S1052" t="str">
        <f t="shared" si="86"/>
        <v>TC,ed4306c,6fa13b1</v>
      </c>
    </row>
    <row r="1053" spans="1:19">
      <c r="A1053" t="s">
        <v>2981</v>
      </c>
      <c r="C1053" t="s">
        <v>2572</v>
      </c>
      <c r="D1053" s="3">
        <v>40592.707233796296</v>
      </c>
      <c r="E1053" s="8" t="s">
        <v>2982</v>
      </c>
      <c r="F1053" s="8" t="s">
        <v>3667</v>
      </c>
      <c r="G1053" s="8" t="s">
        <v>3676</v>
      </c>
      <c r="H1053" s="3">
        <v>40599.717824074076</v>
      </c>
      <c r="K1053">
        <v>1</v>
      </c>
      <c r="L1053">
        <f t="shared" si="83"/>
        <v>1</v>
      </c>
      <c r="Q1053" t="str">
        <f t="shared" si="84"/>
        <v/>
      </c>
      <c r="R1053" t="str">
        <f t="shared" si="85"/>
        <v/>
      </c>
      <c r="S1053" t="str">
        <f t="shared" si="86"/>
        <v>TC,b461814,6794240</v>
      </c>
    </row>
    <row r="1054" spans="1:19">
      <c r="A1054" t="s">
        <v>3385</v>
      </c>
      <c r="C1054" t="s">
        <v>2572</v>
      </c>
      <c r="D1054" s="3">
        <v>40599.73027777778</v>
      </c>
      <c r="E1054" s="8" t="s">
        <v>3386</v>
      </c>
      <c r="F1054" s="8" t="s">
        <v>3387</v>
      </c>
      <c r="G1054" s="8" t="s">
        <v>3676</v>
      </c>
      <c r="H1054" s="3">
        <v>40599.73027777778</v>
      </c>
      <c r="K1054">
        <v>1</v>
      </c>
      <c r="L1054">
        <f t="shared" si="83"/>
        <v>1</v>
      </c>
      <c r="Q1054" t="str">
        <f t="shared" si="84"/>
        <v/>
      </c>
      <c r="R1054" t="str">
        <f t="shared" si="85"/>
        <v/>
      </c>
      <c r="S1054" t="str">
        <f t="shared" si="86"/>
        <v>TC,258f15d,db422b6</v>
      </c>
    </row>
    <row r="1055" spans="1:19">
      <c r="A1055" t="s">
        <v>3498</v>
      </c>
      <c r="C1055" t="s">
        <v>2567</v>
      </c>
      <c r="D1055" s="3">
        <v>40594.852488425924</v>
      </c>
      <c r="E1055" s="8" t="s">
        <v>3301</v>
      </c>
      <c r="F1055" s="8" t="s">
        <v>3499</v>
      </c>
      <c r="G1055" s="8" t="s">
        <v>2572</v>
      </c>
      <c r="H1055" s="3">
        <v>40599.788495370369</v>
      </c>
      <c r="L1055">
        <f t="shared" si="83"/>
        <v>0</v>
      </c>
      <c r="Q1055" t="str">
        <f t="shared" si="84"/>
        <v/>
      </c>
      <c r="R1055" t="str">
        <f t="shared" si="85"/>
        <v/>
      </c>
      <c r="S1055" t="str">
        <f t="shared" si="86"/>
        <v/>
      </c>
    </row>
    <row r="1056" spans="1:19">
      <c r="A1056" t="s">
        <v>3337</v>
      </c>
      <c r="C1056" t="s">
        <v>2572</v>
      </c>
      <c r="D1056" s="3">
        <v>40603.864085648151</v>
      </c>
      <c r="E1056" s="8" t="s">
        <v>3338</v>
      </c>
      <c r="F1056" s="8" t="s">
        <v>3339</v>
      </c>
      <c r="G1056" s="8" t="s">
        <v>2591</v>
      </c>
      <c r="H1056" s="3">
        <v>40611.490787037037</v>
      </c>
      <c r="K1056">
        <v>1</v>
      </c>
      <c r="L1056">
        <f t="shared" si="83"/>
        <v>1</v>
      </c>
      <c r="Q1056" t="str">
        <f t="shared" si="84"/>
        <v/>
      </c>
      <c r="R1056" t="str">
        <f t="shared" si="85"/>
        <v/>
      </c>
      <c r="S1056" t="str">
        <f t="shared" si="86"/>
        <v>TC,d3985cd,b1eb9ba</v>
      </c>
    </row>
    <row r="1057" spans="1:19">
      <c r="A1057" t="s">
        <v>2834</v>
      </c>
      <c r="C1057" t="s">
        <v>2567</v>
      </c>
      <c r="D1057" s="3">
        <v>40560.579525462963</v>
      </c>
      <c r="E1057" s="8" t="s">
        <v>2835</v>
      </c>
      <c r="F1057" s="8" t="s">
        <v>2836</v>
      </c>
      <c r="G1057" s="8" t="s">
        <v>2591</v>
      </c>
      <c r="H1057" s="3">
        <v>40617.548750000002</v>
      </c>
      <c r="K1057">
        <v>1</v>
      </c>
      <c r="L1057">
        <f t="shared" si="83"/>
        <v>1</v>
      </c>
      <c r="Q1057" t="str">
        <f t="shared" si="84"/>
        <v/>
      </c>
      <c r="R1057" t="str">
        <f t="shared" si="85"/>
        <v/>
      </c>
      <c r="S1057" t="str">
        <f t="shared" si="86"/>
        <v>TC,77092cb,899b53d</v>
      </c>
    </row>
    <row r="1058" spans="1:19">
      <c r="A1058" t="s">
        <v>3155</v>
      </c>
      <c r="C1058" t="s">
        <v>2591</v>
      </c>
      <c r="D1058" s="3">
        <v>40617.548750000002</v>
      </c>
      <c r="E1058" s="8" t="s">
        <v>2836</v>
      </c>
      <c r="F1058" s="8" t="s">
        <v>3669</v>
      </c>
      <c r="G1058" s="8" t="s">
        <v>2572</v>
      </c>
      <c r="H1058" s="3">
        <v>40618.485706018517</v>
      </c>
      <c r="K1058">
        <v>1</v>
      </c>
      <c r="L1058">
        <f t="shared" si="83"/>
        <v>1</v>
      </c>
      <c r="Q1058" t="str">
        <f t="shared" si="84"/>
        <v/>
      </c>
      <c r="R1058" t="str">
        <f t="shared" si="85"/>
        <v/>
      </c>
      <c r="S1058" t="str">
        <f t="shared" si="86"/>
        <v>TC,899b53d,9090427</v>
      </c>
    </row>
    <row r="1059" spans="1:19">
      <c r="A1059" t="s">
        <v>3625</v>
      </c>
      <c r="C1059" t="s">
        <v>2572</v>
      </c>
      <c r="D1059" s="3">
        <v>40618.974618055552</v>
      </c>
      <c r="E1059" s="8" t="s">
        <v>3626</v>
      </c>
      <c r="F1059" s="8" t="s">
        <v>3100</v>
      </c>
      <c r="G1059" s="8" t="s">
        <v>2567</v>
      </c>
      <c r="H1059" s="3">
        <v>40619.449143518519</v>
      </c>
      <c r="L1059">
        <f t="shared" si="83"/>
        <v>0</v>
      </c>
      <c r="Q1059" t="str">
        <f t="shared" si="84"/>
        <v/>
      </c>
      <c r="R1059" t="str">
        <f t="shared" si="85"/>
        <v/>
      </c>
      <c r="S1059" t="str">
        <f t="shared" si="86"/>
        <v/>
      </c>
    </row>
    <row r="1060" spans="1:19">
      <c r="A1060" t="s">
        <v>3099</v>
      </c>
      <c r="C1060" t="s">
        <v>2567</v>
      </c>
      <c r="D1060" s="3">
        <v>40619.449143518519</v>
      </c>
      <c r="E1060" s="8" t="s">
        <v>3100</v>
      </c>
      <c r="F1060" s="8" t="s">
        <v>3101</v>
      </c>
      <c r="G1060" s="8" t="s">
        <v>2591</v>
      </c>
      <c r="H1060" s="3">
        <v>40619.636018518519</v>
      </c>
      <c r="L1060">
        <f t="shared" si="83"/>
        <v>0</v>
      </c>
      <c r="Q1060" t="str">
        <f t="shared" si="84"/>
        <v/>
      </c>
      <c r="R1060" t="str">
        <f t="shared" si="85"/>
        <v/>
      </c>
      <c r="S1060" t="str">
        <f t="shared" si="86"/>
        <v/>
      </c>
    </row>
    <row r="1061" spans="1:19">
      <c r="A1061" t="s">
        <v>2753</v>
      </c>
      <c r="C1061" t="s">
        <v>2572</v>
      </c>
      <c r="D1061" s="3">
        <v>40613.722881944443</v>
      </c>
      <c r="E1061" s="8" t="s">
        <v>2754</v>
      </c>
      <c r="F1061" s="8" t="s">
        <v>2755</v>
      </c>
      <c r="G1061" s="8" t="s">
        <v>3676</v>
      </c>
      <c r="H1061" s="3">
        <v>40624.873692129629</v>
      </c>
      <c r="L1061">
        <f t="shared" si="83"/>
        <v>0</v>
      </c>
      <c r="Q1061" t="str">
        <f t="shared" si="84"/>
        <v/>
      </c>
      <c r="R1061" t="str">
        <f t="shared" si="85"/>
        <v/>
      </c>
      <c r="S1061" t="str">
        <f t="shared" si="86"/>
        <v/>
      </c>
    </row>
    <row r="1062" spans="1:19">
      <c r="A1062" t="s">
        <v>3429</v>
      </c>
      <c r="C1062" t="s">
        <v>2591</v>
      </c>
      <c r="D1062" s="3">
        <v>40625.584155092591</v>
      </c>
      <c r="E1062" s="8" t="s">
        <v>3430</v>
      </c>
      <c r="F1062" s="8" t="s">
        <v>3431</v>
      </c>
      <c r="G1062" s="8" t="s">
        <v>2567</v>
      </c>
      <c r="H1062" s="3">
        <v>40625.828877314816</v>
      </c>
      <c r="K1062">
        <v>1</v>
      </c>
      <c r="L1062">
        <f t="shared" si="83"/>
        <v>1</v>
      </c>
      <c r="Q1062" t="str">
        <f t="shared" si="84"/>
        <v/>
      </c>
      <c r="R1062" t="str">
        <f t="shared" si="85"/>
        <v/>
      </c>
      <c r="S1062" t="str">
        <f t="shared" si="86"/>
        <v>TC,11693e2,6d24579</v>
      </c>
    </row>
    <row r="1063" spans="1:19">
      <c r="A1063" t="s">
        <v>3081</v>
      </c>
      <c r="C1063" t="s">
        <v>2567</v>
      </c>
      <c r="D1063" s="3">
        <v>40626.747569444444</v>
      </c>
      <c r="E1063" s="8" t="s">
        <v>3082</v>
      </c>
      <c r="F1063" s="8" t="s">
        <v>3083</v>
      </c>
      <c r="G1063" s="8" t="s">
        <v>3677</v>
      </c>
      <c r="H1063" s="3">
        <v>40627.461782407408</v>
      </c>
      <c r="K1063">
        <v>1</v>
      </c>
      <c r="L1063">
        <f t="shared" si="83"/>
        <v>1</v>
      </c>
      <c r="Q1063" t="str">
        <f t="shared" si="84"/>
        <v/>
      </c>
      <c r="R1063" t="str">
        <f t="shared" si="85"/>
        <v/>
      </c>
      <c r="S1063" t="str">
        <f t="shared" si="86"/>
        <v>TC,979f52a,cecc55e</v>
      </c>
    </row>
    <row r="1064" spans="1:19">
      <c r="A1064" t="s">
        <v>3606</v>
      </c>
      <c r="C1064" t="s">
        <v>2591</v>
      </c>
      <c r="D1064" s="3">
        <v>40625.760671296295</v>
      </c>
      <c r="E1064" s="8" t="s">
        <v>3607</v>
      </c>
      <c r="F1064" s="8" t="s">
        <v>2866</v>
      </c>
      <c r="G1064" s="8" t="s">
        <v>2572</v>
      </c>
      <c r="H1064" s="3">
        <v>40627.541203703702</v>
      </c>
      <c r="K1064">
        <v>1</v>
      </c>
      <c r="L1064">
        <f t="shared" si="83"/>
        <v>1</v>
      </c>
      <c r="Q1064" t="str">
        <f t="shared" si="84"/>
        <v/>
      </c>
      <c r="R1064" t="str">
        <f t="shared" si="85"/>
        <v/>
      </c>
      <c r="S1064" t="str">
        <f t="shared" si="86"/>
        <v>TC,e601d8b,b01a8b2</v>
      </c>
    </row>
    <row r="1065" spans="1:19">
      <c r="A1065" t="s">
        <v>3618</v>
      </c>
      <c r="C1065" t="s">
        <v>2572</v>
      </c>
      <c r="D1065" s="3">
        <v>40627.455636574072</v>
      </c>
      <c r="E1065" s="8" t="s">
        <v>3619</v>
      </c>
      <c r="F1065" s="8" t="s">
        <v>2866</v>
      </c>
      <c r="G1065" s="8" t="s">
        <v>3676</v>
      </c>
      <c r="H1065" s="3">
        <v>40627.541203703702</v>
      </c>
      <c r="K1065">
        <v>1</v>
      </c>
      <c r="L1065">
        <f t="shared" si="83"/>
        <v>1</v>
      </c>
      <c r="Q1065" t="str">
        <f t="shared" si="84"/>
        <v/>
      </c>
      <c r="R1065" t="str">
        <f t="shared" si="85"/>
        <v/>
      </c>
      <c r="S1065" t="str">
        <f t="shared" si="86"/>
        <v>TC,17d5b42,b01a8b2</v>
      </c>
    </row>
    <row r="1066" spans="1:19">
      <c r="A1066" t="s">
        <v>2865</v>
      </c>
      <c r="C1066" t="s">
        <v>2572</v>
      </c>
      <c r="D1066" s="3">
        <v>40627.541203703702</v>
      </c>
      <c r="E1066" s="8" t="s">
        <v>2866</v>
      </c>
      <c r="F1066" s="8" t="s">
        <v>2867</v>
      </c>
      <c r="G1066" s="8" t="s">
        <v>2567</v>
      </c>
      <c r="H1066" s="3">
        <v>40627.587673611109</v>
      </c>
      <c r="I1066">
        <v>1</v>
      </c>
      <c r="L1066">
        <f t="shared" si="83"/>
        <v>1</v>
      </c>
      <c r="Q1066" t="str">
        <f t="shared" si="84"/>
        <v>MC,b01a8b2,23e600e</v>
      </c>
      <c r="R1066" t="str">
        <f t="shared" si="85"/>
        <v/>
      </c>
      <c r="S1066" t="str">
        <f t="shared" si="86"/>
        <v/>
      </c>
    </row>
    <row r="1067" spans="1:19">
      <c r="A1067" t="s">
        <v>3068</v>
      </c>
      <c r="C1067" t="s">
        <v>2572</v>
      </c>
      <c r="D1067" s="3">
        <v>40627.575231481482</v>
      </c>
      <c r="E1067" s="8" t="s">
        <v>3069</v>
      </c>
      <c r="F1067" s="8" t="s">
        <v>3070</v>
      </c>
      <c r="G1067" s="8" t="s">
        <v>3676</v>
      </c>
      <c r="H1067" s="3">
        <v>40630.674050925925</v>
      </c>
      <c r="K1067">
        <v>1</v>
      </c>
      <c r="L1067">
        <f t="shared" si="83"/>
        <v>1</v>
      </c>
      <c r="Q1067" t="str">
        <f t="shared" si="84"/>
        <v/>
      </c>
      <c r="R1067" t="str">
        <f t="shared" si="85"/>
        <v/>
      </c>
      <c r="S1067" t="str">
        <f t="shared" si="86"/>
        <v>TC,02513d5,7d5e323</v>
      </c>
    </row>
    <row r="1068" spans="1:19">
      <c r="A1068" t="s">
        <v>3403</v>
      </c>
      <c r="C1068" t="s">
        <v>2567</v>
      </c>
      <c r="D1068" s="3">
        <v>40627.59578703704</v>
      </c>
      <c r="E1068" s="8" t="s">
        <v>3404</v>
      </c>
      <c r="F1068" s="8" t="s">
        <v>3405</v>
      </c>
      <c r="G1068" s="8" t="s">
        <v>2572</v>
      </c>
      <c r="H1068" s="3">
        <v>40631.546793981484</v>
      </c>
      <c r="K1068">
        <v>1</v>
      </c>
      <c r="L1068">
        <f t="shared" si="83"/>
        <v>1</v>
      </c>
      <c r="Q1068" t="str">
        <f t="shared" si="84"/>
        <v/>
      </c>
      <c r="R1068" t="str">
        <f t="shared" si="85"/>
        <v/>
      </c>
      <c r="S1068" t="str">
        <f t="shared" si="86"/>
        <v>TC,983dbd0,ba1512e</v>
      </c>
    </row>
    <row r="1069" spans="1:19">
      <c r="A1069" t="s">
        <v>3358</v>
      </c>
      <c r="C1069" t="s">
        <v>2572</v>
      </c>
      <c r="D1069" s="3">
        <v>40630.676504629628</v>
      </c>
      <c r="E1069" s="8" t="s">
        <v>3359</v>
      </c>
      <c r="F1069" s="8" t="s">
        <v>3360</v>
      </c>
      <c r="G1069" s="8" t="s">
        <v>3676</v>
      </c>
      <c r="H1069" s="3">
        <v>40631.553356481483</v>
      </c>
      <c r="K1069">
        <v>1</v>
      </c>
      <c r="L1069">
        <f t="shared" si="83"/>
        <v>1</v>
      </c>
      <c r="Q1069" t="str">
        <f t="shared" si="84"/>
        <v/>
      </c>
      <c r="R1069" t="str">
        <f t="shared" si="85"/>
        <v/>
      </c>
      <c r="S1069" t="str">
        <f t="shared" si="86"/>
        <v>TC,52c3fa1,b9d885f</v>
      </c>
    </row>
    <row r="1070" spans="1:19">
      <c r="A1070" t="s">
        <v>3456</v>
      </c>
      <c r="C1070" t="s">
        <v>2572</v>
      </c>
      <c r="D1070" s="3">
        <v>40631.557662037034</v>
      </c>
      <c r="E1070" s="8" t="s">
        <v>3457</v>
      </c>
      <c r="F1070" s="8" t="s">
        <v>3458</v>
      </c>
      <c r="G1070" s="8" t="s">
        <v>3686</v>
      </c>
      <c r="H1070" s="3">
        <v>40631.580543981479</v>
      </c>
      <c r="L1070">
        <f t="shared" si="83"/>
        <v>0</v>
      </c>
      <c r="Q1070" t="str">
        <f t="shared" si="84"/>
        <v/>
      </c>
      <c r="R1070" t="str">
        <f t="shared" si="85"/>
        <v/>
      </c>
      <c r="S1070" t="str">
        <f t="shared" si="86"/>
        <v/>
      </c>
    </row>
    <row r="1071" spans="1:19">
      <c r="A1071" t="s">
        <v>3355</v>
      </c>
      <c r="C1071" t="s">
        <v>2572</v>
      </c>
      <c r="D1071" s="3">
        <v>40631.583981481483</v>
      </c>
      <c r="E1071" s="8" t="s">
        <v>3356</v>
      </c>
      <c r="F1071" s="8" t="s">
        <v>3357</v>
      </c>
      <c r="G1071" s="8" t="s">
        <v>2591</v>
      </c>
      <c r="H1071" s="3">
        <v>40631.673854166664</v>
      </c>
      <c r="L1071">
        <f t="shared" si="83"/>
        <v>0</v>
      </c>
      <c r="Q1071" t="str">
        <f t="shared" si="84"/>
        <v/>
      </c>
      <c r="R1071" t="str">
        <f t="shared" si="85"/>
        <v/>
      </c>
      <c r="S1071" t="str">
        <f t="shared" si="86"/>
        <v/>
      </c>
    </row>
    <row r="1072" spans="1:19">
      <c r="A1072" t="s">
        <v>3589</v>
      </c>
      <c r="C1072" t="s">
        <v>2572</v>
      </c>
      <c r="D1072" s="3">
        <v>40631.756550925929</v>
      </c>
      <c r="E1072" s="8" t="s">
        <v>3590</v>
      </c>
      <c r="F1072" s="8" t="s">
        <v>3591</v>
      </c>
      <c r="G1072" s="8" t="s">
        <v>3676</v>
      </c>
      <c r="H1072" s="3">
        <v>40631.808553240742</v>
      </c>
      <c r="K1072">
        <v>1</v>
      </c>
      <c r="L1072">
        <f t="shared" si="83"/>
        <v>1</v>
      </c>
      <c r="Q1072" t="str">
        <f t="shared" si="84"/>
        <v/>
      </c>
      <c r="R1072" t="str">
        <f t="shared" si="85"/>
        <v/>
      </c>
      <c r="S1072" t="str">
        <f t="shared" si="86"/>
        <v>TC,988643f,a76d91d</v>
      </c>
    </row>
    <row r="1073" spans="1:19">
      <c r="A1073" t="s">
        <v>3382</v>
      </c>
      <c r="C1073" t="s">
        <v>2572</v>
      </c>
      <c r="D1073" s="3">
        <v>40631.809027777781</v>
      </c>
      <c r="E1073" s="8" t="s">
        <v>3383</v>
      </c>
      <c r="F1073" s="8" t="s">
        <v>3384</v>
      </c>
      <c r="G1073" s="8" t="s">
        <v>3676</v>
      </c>
      <c r="H1073" s="3">
        <v>40632.64539351852</v>
      </c>
      <c r="K1073">
        <v>1</v>
      </c>
      <c r="L1073">
        <f t="shared" si="83"/>
        <v>1</v>
      </c>
      <c r="Q1073" t="str">
        <f t="shared" si="84"/>
        <v/>
      </c>
      <c r="R1073" t="str">
        <f t="shared" si="85"/>
        <v/>
      </c>
      <c r="S1073" t="str">
        <f t="shared" si="86"/>
        <v>TC,f6ce395,1e95071</v>
      </c>
    </row>
    <row r="1074" spans="1:19">
      <c r="A1074" t="s">
        <v>3620</v>
      </c>
      <c r="C1074" t="s">
        <v>2591</v>
      </c>
      <c r="D1074" s="3">
        <v>40632.50203703704</v>
      </c>
      <c r="E1074" s="8" t="s">
        <v>3621</v>
      </c>
      <c r="F1074" s="8" t="s">
        <v>3384</v>
      </c>
      <c r="G1074" s="8" t="s">
        <v>2572</v>
      </c>
      <c r="H1074" s="3">
        <v>40632.64539351852</v>
      </c>
      <c r="K1074">
        <v>1</v>
      </c>
      <c r="L1074">
        <f t="shared" si="83"/>
        <v>1</v>
      </c>
      <c r="Q1074" t="str">
        <f t="shared" si="84"/>
        <v/>
      </c>
      <c r="R1074" t="str">
        <f t="shared" si="85"/>
        <v/>
      </c>
      <c r="S1074" t="str">
        <f t="shared" si="86"/>
        <v>TC,d45566c,1e95071</v>
      </c>
    </row>
    <row r="1075" spans="1:19">
      <c r="A1075" t="s">
        <v>2883</v>
      </c>
      <c r="C1075" t="s">
        <v>2572</v>
      </c>
      <c r="D1075" s="3">
        <v>40632.64539351852</v>
      </c>
      <c r="E1075" s="8" t="s">
        <v>2884</v>
      </c>
      <c r="F1075" s="8" t="s">
        <v>2885</v>
      </c>
      <c r="G1075" s="8" t="s">
        <v>3676</v>
      </c>
      <c r="H1075" s="3">
        <v>40632.648726851854</v>
      </c>
      <c r="K1075">
        <v>1</v>
      </c>
      <c r="L1075">
        <f t="shared" si="83"/>
        <v>1</v>
      </c>
      <c r="Q1075" t="str">
        <f t="shared" si="84"/>
        <v/>
      </c>
      <c r="R1075" t="str">
        <f t="shared" si="85"/>
        <v/>
      </c>
      <c r="S1075" t="str">
        <f t="shared" si="86"/>
        <v>TC,dcd9d57,6e128c0</v>
      </c>
    </row>
    <row r="1076" spans="1:19">
      <c r="A1076" t="s">
        <v>2953</v>
      </c>
      <c r="C1076" t="s">
        <v>2572</v>
      </c>
      <c r="D1076" s="3">
        <v>40632.649699074071</v>
      </c>
      <c r="E1076" s="8" t="s">
        <v>2954</v>
      </c>
      <c r="F1076" s="8" t="s">
        <v>2955</v>
      </c>
      <c r="G1076" s="8" t="s">
        <v>3676</v>
      </c>
      <c r="H1076" s="3">
        <v>40632.652199074073</v>
      </c>
      <c r="K1076">
        <v>1</v>
      </c>
      <c r="L1076">
        <f t="shared" si="83"/>
        <v>1</v>
      </c>
      <c r="Q1076" t="str">
        <f t="shared" si="84"/>
        <v/>
      </c>
      <c r="R1076" t="str">
        <f t="shared" si="85"/>
        <v/>
      </c>
      <c r="S1076" t="str">
        <f t="shared" si="86"/>
        <v>TC,204f594,8fea168</v>
      </c>
    </row>
    <row r="1077" spans="1:19">
      <c r="A1077" t="s">
        <v>2823</v>
      </c>
      <c r="C1077" t="s">
        <v>2572</v>
      </c>
      <c r="D1077" s="3">
        <v>40633.797222222223</v>
      </c>
      <c r="E1077" s="8" t="s">
        <v>2824</v>
      </c>
      <c r="F1077" s="8" t="s">
        <v>2825</v>
      </c>
      <c r="G1077" s="8" t="s">
        <v>3676</v>
      </c>
      <c r="H1077" s="3">
        <v>40634.650358796294</v>
      </c>
      <c r="K1077">
        <v>1</v>
      </c>
      <c r="L1077">
        <f t="shared" si="83"/>
        <v>1</v>
      </c>
      <c r="Q1077" t="str">
        <f t="shared" si="84"/>
        <v/>
      </c>
      <c r="R1077" t="str">
        <f t="shared" si="85"/>
        <v/>
      </c>
      <c r="S1077" t="str">
        <f t="shared" si="86"/>
        <v>TC,bac0fa7,4bc49d8</v>
      </c>
    </row>
    <row r="1078" spans="1:19">
      <c r="A1078" t="s">
        <v>2959</v>
      </c>
      <c r="C1078" t="s">
        <v>2567</v>
      </c>
      <c r="D1078" s="3">
        <v>40634.576921296299</v>
      </c>
      <c r="E1078" s="8" t="s">
        <v>2960</v>
      </c>
      <c r="F1078" s="8" t="s">
        <v>2961</v>
      </c>
      <c r="G1078" s="8" t="s">
        <v>2572</v>
      </c>
      <c r="H1078" s="3">
        <v>40634.654363425929</v>
      </c>
      <c r="K1078">
        <v>1</v>
      </c>
      <c r="L1078">
        <f t="shared" si="83"/>
        <v>1</v>
      </c>
      <c r="Q1078" t="str">
        <f t="shared" si="84"/>
        <v/>
      </c>
      <c r="R1078" t="str">
        <f t="shared" si="85"/>
        <v/>
      </c>
      <c r="S1078" t="str">
        <f t="shared" si="86"/>
        <v>TC,ad057e9,475b823</v>
      </c>
    </row>
    <row r="1079" spans="1:19">
      <c r="A1079" t="s">
        <v>3587</v>
      </c>
      <c r="C1079" t="s">
        <v>2572</v>
      </c>
      <c r="D1079" s="3">
        <v>40632.652326388888</v>
      </c>
      <c r="E1079" s="8" t="s">
        <v>3588</v>
      </c>
      <c r="F1079" s="8" t="s">
        <v>2961</v>
      </c>
      <c r="G1079" s="8" t="s">
        <v>3676</v>
      </c>
      <c r="H1079" s="3">
        <v>40634.654363425929</v>
      </c>
      <c r="I1079">
        <v>1</v>
      </c>
      <c r="K1079">
        <v>1</v>
      </c>
      <c r="L1079">
        <f t="shared" si="83"/>
        <v>2</v>
      </c>
      <c r="Q1079" t="str">
        <f t="shared" si="84"/>
        <v>MC,ad0a6b2,475b823</v>
      </c>
      <c r="R1079" t="str">
        <f t="shared" si="85"/>
        <v/>
      </c>
      <c r="S1079" t="str">
        <f t="shared" si="86"/>
        <v>TC,ad0a6b2,475b823</v>
      </c>
    </row>
    <row r="1080" spans="1:19">
      <c r="A1080" t="s">
        <v>3323</v>
      </c>
      <c r="C1080" t="s">
        <v>2572</v>
      </c>
      <c r="D1080" s="3">
        <v>40634.751782407409</v>
      </c>
      <c r="E1080" s="8" t="s">
        <v>3324</v>
      </c>
      <c r="F1080" s="8" t="s">
        <v>3325</v>
      </c>
      <c r="G1080" s="8" t="s">
        <v>2567</v>
      </c>
      <c r="H1080" s="3">
        <v>40634.785162037035</v>
      </c>
      <c r="L1080">
        <f t="shared" si="83"/>
        <v>0</v>
      </c>
      <c r="Q1080" t="str">
        <f t="shared" si="84"/>
        <v/>
      </c>
      <c r="R1080" t="str">
        <f t="shared" si="85"/>
        <v/>
      </c>
      <c r="S1080" t="str">
        <f t="shared" si="86"/>
        <v/>
      </c>
    </row>
    <row r="1081" spans="1:19">
      <c r="A1081" t="s">
        <v>3540</v>
      </c>
      <c r="C1081" t="s">
        <v>2572</v>
      </c>
      <c r="D1081" s="3">
        <v>40636.425520833334</v>
      </c>
      <c r="E1081" s="8" t="s">
        <v>3541</v>
      </c>
      <c r="F1081" s="8" t="s">
        <v>3542</v>
      </c>
      <c r="G1081" s="8" t="s">
        <v>3676</v>
      </c>
      <c r="H1081" s="3">
        <v>40637.569479166668</v>
      </c>
      <c r="L1081">
        <f t="shared" si="83"/>
        <v>0</v>
      </c>
      <c r="Q1081" t="str">
        <f t="shared" si="84"/>
        <v/>
      </c>
      <c r="R1081" t="str">
        <f t="shared" si="85"/>
        <v/>
      </c>
      <c r="S1081" t="str">
        <f t="shared" si="86"/>
        <v/>
      </c>
    </row>
    <row r="1082" spans="1:19">
      <c r="A1082" t="s">
        <v>2986</v>
      </c>
      <c r="C1082" t="s">
        <v>2567</v>
      </c>
      <c r="D1082" s="3">
        <v>40618.023877314816</v>
      </c>
      <c r="E1082" s="8" t="s">
        <v>2987</v>
      </c>
      <c r="F1082" s="8" t="s">
        <v>2988</v>
      </c>
      <c r="G1082" s="8" t="s">
        <v>2572</v>
      </c>
      <c r="H1082" s="3">
        <v>40640.877685185187</v>
      </c>
      <c r="L1082">
        <f t="shared" si="83"/>
        <v>0</v>
      </c>
      <c r="Q1082" t="str">
        <f t="shared" si="84"/>
        <v/>
      </c>
      <c r="R1082" t="str">
        <f t="shared" si="85"/>
        <v/>
      </c>
      <c r="S1082" t="str">
        <f t="shared" si="86"/>
        <v/>
      </c>
    </row>
    <row r="1083" spans="1:19">
      <c r="A1083" t="s">
        <v>3423</v>
      </c>
      <c r="C1083" t="s">
        <v>2572</v>
      </c>
      <c r="D1083" s="3">
        <v>40650.987025462964</v>
      </c>
      <c r="E1083" s="8" t="s">
        <v>3424</v>
      </c>
      <c r="F1083" s="8" t="s">
        <v>3425</v>
      </c>
      <c r="G1083" s="8" t="s">
        <v>3676</v>
      </c>
      <c r="H1083" s="3">
        <v>40652.529965277776</v>
      </c>
      <c r="K1083">
        <v>1</v>
      </c>
      <c r="L1083">
        <f t="shared" si="83"/>
        <v>1</v>
      </c>
      <c r="Q1083" t="str">
        <f t="shared" si="84"/>
        <v/>
      </c>
      <c r="R1083" t="str">
        <f t="shared" si="85"/>
        <v/>
      </c>
      <c r="S1083" t="str">
        <f t="shared" si="86"/>
        <v>TC,b91a29f,5df0a72</v>
      </c>
    </row>
    <row r="1084" spans="1:19">
      <c r="A1084" t="s">
        <v>2571</v>
      </c>
      <c r="C1084" t="s">
        <v>2572</v>
      </c>
      <c r="D1084" s="3">
        <v>40659.032488425924</v>
      </c>
      <c r="E1084" s="8" t="s">
        <v>2573</v>
      </c>
      <c r="F1084" s="8" t="s">
        <v>2574</v>
      </c>
      <c r="G1084" s="8" t="s">
        <v>3676</v>
      </c>
      <c r="H1084" s="3">
        <v>40660.639178240737</v>
      </c>
      <c r="K1084">
        <v>1</v>
      </c>
      <c r="L1084">
        <f t="shared" si="83"/>
        <v>1</v>
      </c>
      <c r="Q1084" t="str">
        <f t="shared" si="84"/>
        <v/>
      </c>
      <c r="R1084" t="str">
        <f t="shared" si="85"/>
        <v/>
      </c>
      <c r="S1084" t="str">
        <f t="shared" si="86"/>
        <v>TC,1a8ec6c,7cb8624</v>
      </c>
    </row>
    <row r="1085" spans="1:19">
      <c r="A1085" t="s">
        <v>3548</v>
      </c>
      <c r="C1085" t="s">
        <v>2572</v>
      </c>
      <c r="D1085" s="3">
        <v>40660.639178240737</v>
      </c>
      <c r="E1085" s="8" t="s">
        <v>2574</v>
      </c>
      <c r="F1085" s="8" t="s">
        <v>3549</v>
      </c>
      <c r="G1085" s="8" t="s">
        <v>2591</v>
      </c>
      <c r="H1085" s="3">
        <v>40661.643321759257</v>
      </c>
      <c r="K1085">
        <v>1</v>
      </c>
      <c r="L1085">
        <f t="shared" si="83"/>
        <v>1</v>
      </c>
      <c r="Q1085" t="str">
        <f t="shared" si="84"/>
        <v/>
      </c>
      <c r="R1085" t="str">
        <f t="shared" si="85"/>
        <v/>
      </c>
      <c r="S1085" t="str">
        <f t="shared" si="86"/>
        <v>TC,7cb8624,40031f9</v>
      </c>
    </row>
    <row r="1086" spans="1:19">
      <c r="A1086" t="s">
        <v>2784</v>
      </c>
      <c r="C1086" t="s">
        <v>2591</v>
      </c>
      <c r="D1086" s="3">
        <v>40661.643321759257</v>
      </c>
      <c r="E1086" s="8" t="s">
        <v>2785</v>
      </c>
      <c r="F1086" s="8" t="s">
        <v>2786</v>
      </c>
      <c r="G1086" s="8" t="s">
        <v>3685</v>
      </c>
      <c r="H1086" s="3">
        <v>40661.657916666663</v>
      </c>
      <c r="L1086">
        <f t="shared" si="83"/>
        <v>0</v>
      </c>
      <c r="Q1086" t="str">
        <f t="shared" si="84"/>
        <v/>
      </c>
      <c r="R1086" t="str">
        <f t="shared" si="85"/>
        <v/>
      </c>
      <c r="S1086" t="str">
        <f t="shared" si="86"/>
        <v/>
      </c>
    </row>
    <row r="1087" spans="1:19">
      <c r="A1087" t="s">
        <v>3545</v>
      </c>
      <c r="C1087" t="s">
        <v>2591</v>
      </c>
      <c r="D1087" s="3">
        <v>40675.609236111108</v>
      </c>
      <c r="E1087" s="8" t="s">
        <v>3546</v>
      </c>
      <c r="F1087" s="8" t="s">
        <v>3547</v>
      </c>
      <c r="G1087" s="8" t="s">
        <v>2567</v>
      </c>
      <c r="H1087" s="3">
        <v>40675.615752314814</v>
      </c>
      <c r="L1087">
        <f t="shared" si="83"/>
        <v>0</v>
      </c>
      <c r="Q1087" t="str">
        <f t="shared" si="84"/>
        <v/>
      </c>
      <c r="R1087" t="str">
        <f t="shared" si="85"/>
        <v/>
      </c>
      <c r="S1087" t="str">
        <f t="shared" si="86"/>
        <v/>
      </c>
    </row>
    <row r="1088" spans="1:19">
      <c r="A1088" t="s">
        <v>3304</v>
      </c>
      <c r="C1088" t="s">
        <v>2572</v>
      </c>
      <c r="D1088" s="3">
        <v>40674.799375000002</v>
      </c>
      <c r="E1088" s="8" t="s">
        <v>3305</v>
      </c>
      <c r="F1088" s="8" t="s">
        <v>3306</v>
      </c>
      <c r="G1088" s="8" t="s">
        <v>2567</v>
      </c>
      <c r="H1088" s="3">
        <v>40675.615925925929</v>
      </c>
      <c r="L1088">
        <f t="shared" si="83"/>
        <v>0</v>
      </c>
      <c r="Q1088" t="str">
        <f t="shared" si="84"/>
        <v/>
      </c>
      <c r="R1088" t="str">
        <f t="shared" si="85"/>
        <v/>
      </c>
      <c r="S1088" t="str">
        <f t="shared" si="86"/>
        <v/>
      </c>
    </row>
    <row r="1089" spans="1:19">
      <c r="A1089" t="s">
        <v>3432</v>
      </c>
      <c r="C1089" t="s">
        <v>2572</v>
      </c>
      <c r="D1089" s="3">
        <v>40675.751087962963</v>
      </c>
      <c r="E1089" s="8" t="s">
        <v>3433</v>
      </c>
      <c r="F1089" s="8" t="s">
        <v>3327</v>
      </c>
      <c r="G1089" s="8" t="s">
        <v>2591</v>
      </c>
      <c r="H1089" s="3">
        <v>40675.80327546296</v>
      </c>
      <c r="L1089">
        <f t="shared" si="83"/>
        <v>0</v>
      </c>
      <c r="Q1089" t="str">
        <f t="shared" si="84"/>
        <v/>
      </c>
      <c r="R1089" t="str">
        <f t="shared" si="85"/>
        <v/>
      </c>
      <c r="S1089" t="str">
        <f t="shared" si="86"/>
        <v/>
      </c>
    </row>
    <row r="1090" spans="1:19">
      <c r="A1090" t="s">
        <v>3209</v>
      </c>
      <c r="C1090" t="s">
        <v>2572</v>
      </c>
      <c r="D1090" s="3">
        <v>40682.592685185184</v>
      </c>
      <c r="E1090" s="8" t="s">
        <v>3210</v>
      </c>
      <c r="F1090" s="8" t="s">
        <v>3211</v>
      </c>
      <c r="G1090" s="8" t="s">
        <v>2591</v>
      </c>
      <c r="H1090" s="3">
        <v>40682.606539351851</v>
      </c>
      <c r="I1090">
        <v>1</v>
      </c>
      <c r="K1090">
        <v>1</v>
      </c>
      <c r="L1090">
        <f t="shared" si="83"/>
        <v>2</v>
      </c>
      <c r="Q1090" t="str">
        <f t="shared" si="84"/>
        <v>MC,b255dca,207b94a</v>
      </c>
      <c r="R1090" t="str">
        <f t="shared" si="85"/>
        <v/>
      </c>
      <c r="S1090" t="str">
        <f t="shared" si="86"/>
        <v>TC,b255dca,207b94a</v>
      </c>
    </row>
    <row r="1091" spans="1:19">
      <c r="A1091" t="s">
        <v>2937</v>
      </c>
      <c r="C1091" t="s">
        <v>2591</v>
      </c>
      <c r="D1091" s="3">
        <v>40682.630439814813</v>
      </c>
      <c r="E1091" s="8" t="s">
        <v>2938</v>
      </c>
      <c r="F1091" s="8" t="s">
        <v>2939</v>
      </c>
      <c r="G1091" s="8" t="s">
        <v>2572</v>
      </c>
      <c r="H1091" s="3">
        <v>40682.715185185189</v>
      </c>
      <c r="L1091">
        <f t="shared" si="83"/>
        <v>0</v>
      </c>
      <c r="Q1091" t="str">
        <f t="shared" si="84"/>
        <v/>
      </c>
      <c r="R1091" t="str">
        <f t="shared" si="85"/>
        <v/>
      </c>
      <c r="S1091" t="str">
        <f t="shared" si="86"/>
        <v/>
      </c>
    </row>
    <row r="1092" spans="1:19">
      <c r="A1092" t="s">
        <v>3326</v>
      </c>
      <c r="C1092" t="s">
        <v>2591</v>
      </c>
      <c r="D1092" s="3">
        <v>40675.80327546296</v>
      </c>
      <c r="E1092" s="8" t="s">
        <v>3327</v>
      </c>
      <c r="F1092" s="8" t="s">
        <v>3328</v>
      </c>
      <c r="G1092" s="8" t="s">
        <v>2773</v>
      </c>
      <c r="H1092" s="3">
        <v>40682.755312499998</v>
      </c>
      <c r="L1092">
        <f t="shared" si="83"/>
        <v>0</v>
      </c>
      <c r="Q1092" t="str">
        <f t="shared" si="84"/>
        <v/>
      </c>
      <c r="R1092" t="str">
        <f t="shared" si="85"/>
        <v/>
      </c>
      <c r="S1092" t="str">
        <f t="shared" si="86"/>
        <v/>
      </c>
    </row>
    <row r="1093" spans="1:19">
      <c r="A1093" t="s">
        <v>3302</v>
      </c>
      <c r="C1093" t="s">
        <v>2572</v>
      </c>
      <c r="D1093" s="3">
        <v>40682.798043981478</v>
      </c>
      <c r="E1093" s="8" t="s">
        <v>3303</v>
      </c>
      <c r="F1093" s="8" t="s">
        <v>3672</v>
      </c>
      <c r="G1093" s="8" t="s">
        <v>3676</v>
      </c>
      <c r="H1093" s="3">
        <v>40682.80059027778</v>
      </c>
      <c r="L1093">
        <f t="shared" si="83"/>
        <v>0</v>
      </c>
      <c r="Q1093" t="str">
        <f t="shared" si="84"/>
        <v/>
      </c>
      <c r="R1093" t="str">
        <f t="shared" si="85"/>
        <v/>
      </c>
      <c r="S1093" t="str">
        <f t="shared" si="86"/>
        <v/>
      </c>
    </row>
    <row r="1094" spans="1:19">
      <c r="A1094" t="s">
        <v>3140</v>
      </c>
      <c r="C1094" t="s">
        <v>2591</v>
      </c>
      <c r="D1094" s="3">
        <v>40665.572337962964</v>
      </c>
      <c r="E1094" s="8" t="s">
        <v>3141</v>
      </c>
      <c r="F1094" s="8" t="s">
        <v>3142</v>
      </c>
      <c r="G1094" s="8" t="s">
        <v>2572</v>
      </c>
      <c r="H1094" s="3">
        <v>40694.797627314816</v>
      </c>
      <c r="L1094">
        <f t="shared" si="83"/>
        <v>0</v>
      </c>
      <c r="Q1094" t="str">
        <f t="shared" si="84"/>
        <v/>
      </c>
      <c r="R1094" t="str">
        <f t="shared" si="85"/>
        <v/>
      </c>
      <c r="S1094" t="str">
        <f t="shared" si="86"/>
        <v/>
      </c>
    </row>
    <row r="1095" spans="1:19">
      <c r="A1095" t="s">
        <v>3409</v>
      </c>
      <c r="C1095" t="s">
        <v>2572</v>
      </c>
      <c r="D1095" s="3">
        <v>40694.801990740743</v>
      </c>
      <c r="E1095" s="8" t="s">
        <v>3410</v>
      </c>
      <c r="F1095" s="8" t="s">
        <v>3411</v>
      </c>
      <c r="G1095" s="8" t="s">
        <v>2591</v>
      </c>
      <c r="H1095" s="3">
        <v>40694.803425925929</v>
      </c>
      <c r="K1095">
        <v>1</v>
      </c>
      <c r="L1095">
        <f t="shared" si="83"/>
        <v>1</v>
      </c>
      <c r="Q1095" t="str">
        <f t="shared" si="84"/>
        <v/>
      </c>
      <c r="R1095" t="str">
        <f t="shared" si="85"/>
        <v/>
      </c>
      <c r="S1095" t="str">
        <f t="shared" si="86"/>
        <v>TC,b66ec96,f2e82d4</v>
      </c>
    </row>
    <row r="1096" spans="1:19">
      <c r="A1096" t="s">
        <v>3259</v>
      </c>
      <c r="C1096" t="s">
        <v>2572</v>
      </c>
      <c r="D1096" s="3">
        <v>40703.721458333333</v>
      </c>
      <c r="E1096" s="8" t="s">
        <v>3260</v>
      </c>
      <c r="F1096" s="8" t="s">
        <v>3261</v>
      </c>
      <c r="G1096" s="8" t="s">
        <v>2591</v>
      </c>
      <c r="H1096" s="3">
        <v>40703.938287037039</v>
      </c>
      <c r="K1096">
        <v>1</v>
      </c>
      <c r="L1096">
        <f t="shared" si="83"/>
        <v>1</v>
      </c>
      <c r="Q1096" t="str">
        <f t="shared" si="84"/>
        <v/>
      </c>
      <c r="R1096" t="str">
        <f t="shared" si="85"/>
        <v/>
      </c>
      <c r="S1096" t="str">
        <f t="shared" si="86"/>
        <v>TC,0893ed2,b8d8a0d</v>
      </c>
    </row>
    <row r="1097" spans="1:19">
      <c r="A1097" s="1" t="s">
        <v>2843</v>
      </c>
      <c r="C1097" t="s">
        <v>2591</v>
      </c>
      <c r="D1097" s="3">
        <v>40704.664039351854</v>
      </c>
      <c r="E1097" s="8" t="s">
        <v>2844</v>
      </c>
      <c r="F1097" s="8" t="s">
        <v>2845</v>
      </c>
      <c r="G1097" s="8" t="s">
        <v>2846</v>
      </c>
      <c r="H1097" s="3">
        <v>40704.673692129632</v>
      </c>
      <c r="I1097">
        <v>1</v>
      </c>
      <c r="L1097">
        <f t="shared" si="83"/>
        <v>1</v>
      </c>
      <c r="Q1097" t="str">
        <f t="shared" si="84"/>
        <v>MC,2c0af43,8e62003</v>
      </c>
      <c r="R1097" t="str">
        <f t="shared" si="85"/>
        <v/>
      </c>
      <c r="S1097" t="str">
        <f t="shared" si="86"/>
        <v/>
      </c>
    </row>
    <row r="1098" spans="1:19">
      <c r="A1098" t="s">
        <v>2664</v>
      </c>
      <c r="C1098" t="s">
        <v>2567</v>
      </c>
      <c r="D1098" s="3">
        <v>40706.552233796298</v>
      </c>
      <c r="E1098" s="8" t="s">
        <v>2665</v>
      </c>
      <c r="F1098" s="8" t="s">
        <v>2666</v>
      </c>
      <c r="G1098" s="8" t="s">
        <v>2572</v>
      </c>
      <c r="H1098" s="3">
        <v>40708.459722222222</v>
      </c>
      <c r="K1098">
        <v>1</v>
      </c>
      <c r="L1098">
        <f t="shared" si="83"/>
        <v>1</v>
      </c>
      <c r="Q1098" t="str">
        <f t="shared" si="84"/>
        <v/>
      </c>
      <c r="R1098" t="str">
        <f t="shared" si="85"/>
        <v/>
      </c>
      <c r="S1098" t="str">
        <f t="shared" si="86"/>
        <v>TC,8c07e32,c131595</v>
      </c>
    </row>
    <row r="1099" spans="1:19">
      <c r="A1099" t="s">
        <v>2688</v>
      </c>
      <c r="C1099" t="s">
        <v>2567</v>
      </c>
      <c r="D1099" s="3">
        <v>40708.579259259262</v>
      </c>
      <c r="E1099" s="8" t="s">
        <v>2689</v>
      </c>
      <c r="F1099" s="8" t="s">
        <v>2690</v>
      </c>
      <c r="G1099" s="8" t="s">
        <v>2591</v>
      </c>
      <c r="H1099" s="3">
        <v>40709.014918981484</v>
      </c>
      <c r="K1099">
        <v>1</v>
      </c>
      <c r="L1099">
        <f t="shared" si="83"/>
        <v>1</v>
      </c>
      <c r="Q1099" t="str">
        <f t="shared" si="84"/>
        <v/>
      </c>
      <c r="R1099" t="str">
        <f t="shared" si="85"/>
        <v/>
      </c>
      <c r="S1099" t="str">
        <f t="shared" si="86"/>
        <v>TC,cca94e7,7376cc6</v>
      </c>
    </row>
    <row r="1100" spans="1:19">
      <c r="A1100" t="s">
        <v>3528</v>
      </c>
      <c r="C1100" t="s">
        <v>2572</v>
      </c>
      <c r="D1100" s="3">
        <v>40599.73027777778</v>
      </c>
      <c r="E1100" s="8" t="s">
        <v>3529</v>
      </c>
      <c r="F1100" s="8" t="s">
        <v>3530</v>
      </c>
      <c r="G1100" s="8" t="s">
        <v>3676</v>
      </c>
      <c r="H1100" s="3">
        <v>40709.470706018517</v>
      </c>
      <c r="K1100">
        <v>1</v>
      </c>
      <c r="L1100">
        <f t="shared" si="83"/>
        <v>1</v>
      </c>
      <c r="Q1100" t="str">
        <f t="shared" si="84"/>
        <v/>
      </c>
      <c r="R1100" t="str">
        <f t="shared" si="85"/>
        <v/>
      </c>
      <c r="S1100" t="str">
        <f t="shared" si="86"/>
        <v>TC,46a0ec8,d8f6c90</v>
      </c>
    </row>
    <row r="1101" spans="1:19">
      <c r="A1101" t="s">
        <v>3526</v>
      </c>
      <c r="C1101" t="s">
        <v>2572</v>
      </c>
      <c r="D1101" s="3">
        <v>40710.587118055555</v>
      </c>
      <c r="E1101" s="8" t="s">
        <v>3527</v>
      </c>
      <c r="F1101" s="8" t="s">
        <v>2979</v>
      </c>
      <c r="G1101" s="8" t="s">
        <v>3676</v>
      </c>
      <c r="H1101" s="3">
        <v>40717.543576388889</v>
      </c>
      <c r="L1101">
        <f t="shared" si="83"/>
        <v>0</v>
      </c>
      <c r="Q1101" t="str">
        <f t="shared" si="84"/>
        <v/>
      </c>
      <c r="R1101" t="str">
        <f t="shared" si="85"/>
        <v/>
      </c>
      <c r="S1101" t="str">
        <f t="shared" si="86"/>
        <v/>
      </c>
    </row>
    <row r="1102" spans="1:19">
      <c r="A1102" t="s">
        <v>2978</v>
      </c>
      <c r="C1102" t="s">
        <v>2572</v>
      </c>
      <c r="D1102" s="3">
        <v>40717.543576388889</v>
      </c>
      <c r="E1102" s="8" t="s">
        <v>2979</v>
      </c>
      <c r="F1102" s="8" t="s">
        <v>2980</v>
      </c>
      <c r="G1102" s="8" t="s">
        <v>2591</v>
      </c>
      <c r="H1102" s="3">
        <v>40717.949942129628</v>
      </c>
      <c r="I1102">
        <v>1</v>
      </c>
      <c r="L1102">
        <f t="shared" si="83"/>
        <v>1</v>
      </c>
      <c r="Q1102" t="str">
        <f t="shared" si="84"/>
        <v>MC,de9ffd0,50c3abb</v>
      </c>
      <c r="R1102" t="str">
        <f t="shared" si="85"/>
        <v/>
      </c>
      <c r="S1102" t="str">
        <f t="shared" si="86"/>
        <v/>
      </c>
    </row>
    <row r="1103" spans="1:19">
      <c r="A1103" t="s">
        <v>2962</v>
      </c>
      <c r="C1103" t="s">
        <v>2591</v>
      </c>
      <c r="D1103" s="3">
        <v>40709.015277777777</v>
      </c>
      <c r="E1103" s="8" t="s">
        <v>2963</v>
      </c>
      <c r="F1103" s="8" t="s">
        <v>2964</v>
      </c>
      <c r="G1103" s="8" t="s">
        <v>3685</v>
      </c>
      <c r="H1103" s="3">
        <v>40717.962268518517</v>
      </c>
      <c r="I1103">
        <v>1</v>
      </c>
      <c r="L1103">
        <f t="shared" si="83"/>
        <v>1</v>
      </c>
      <c r="Q1103" t="str">
        <f t="shared" si="84"/>
        <v>MC,69ae69e,c3b8777</v>
      </c>
      <c r="R1103" t="str">
        <f t="shared" si="85"/>
        <v/>
      </c>
      <c r="S1103" t="str">
        <f t="shared" si="86"/>
        <v/>
      </c>
    </row>
    <row r="1104" spans="1:19">
      <c r="A1104" t="s">
        <v>2720</v>
      </c>
      <c r="C1104" t="s">
        <v>2572</v>
      </c>
      <c r="D1104" s="3">
        <v>40717.605821759258</v>
      </c>
      <c r="E1104" s="8" t="s">
        <v>2721</v>
      </c>
      <c r="F1104" s="8" t="s">
        <v>2722</v>
      </c>
      <c r="G1104" s="8" t="s">
        <v>3676</v>
      </c>
      <c r="H1104" s="3">
        <v>40737.826898148145</v>
      </c>
      <c r="K1104">
        <v>1</v>
      </c>
      <c r="L1104">
        <f t="shared" si="83"/>
        <v>1</v>
      </c>
      <c r="Q1104" t="str">
        <f t="shared" si="84"/>
        <v/>
      </c>
      <c r="R1104" t="str">
        <f t="shared" si="85"/>
        <v/>
      </c>
      <c r="S1104" t="str">
        <f t="shared" si="86"/>
        <v>TC,9ed2ae8,1ce9886</v>
      </c>
    </row>
    <row r="1105" spans="1:19">
      <c r="A1105" t="s">
        <v>3233</v>
      </c>
      <c r="C1105" t="s">
        <v>2572</v>
      </c>
      <c r="D1105" s="3">
        <v>40736.720752314817</v>
      </c>
      <c r="E1105" s="8" t="s">
        <v>3234</v>
      </c>
      <c r="F1105" s="8" t="s">
        <v>2722</v>
      </c>
      <c r="G1105" s="8" t="s">
        <v>3676</v>
      </c>
      <c r="H1105" s="3">
        <v>40737.826898148145</v>
      </c>
      <c r="L1105">
        <f t="shared" si="83"/>
        <v>0</v>
      </c>
      <c r="Q1105" t="str">
        <f t="shared" si="84"/>
        <v/>
      </c>
      <c r="R1105" t="str">
        <f t="shared" si="85"/>
        <v/>
      </c>
      <c r="S1105" t="str">
        <f t="shared" si="86"/>
        <v/>
      </c>
    </row>
    <row r="1106" spans="1:19">
      <c r="A1106" t="s">
        <v>2685</v>
      </c>
      <c r="C1106" t="s">
        <v>2591</v>
      </c>
      <c r="D1106" s="3">
        <v>40722.045266203706</v>
      </c>
      <c r="E1106" s="8" t="s">
        <v>2686</v>
      </c>
      <c r="F1106" s="8" t="s">
        <v>2687</v>
      </c>
      <c r="G1106" s="8" t="s">
        <v>2572</v>
      </c>
      <c r="H1106" s="3">
        <v>40737.828449074077</v>
      </c>
      <c r="I1106">
        <v>1</v>
      </c>
      <c r="L1106">
        <f t="shared" si="83"/>
        <v>1</v>
      </c>
      <c r="Q1106" t="str">
        <f t="shared" si="84"/>
        <v>MC,351e729,2ac361e</v>
      </c>
      <c r="R1106" t="str">
        <f t="shared" si="85"/>
        <v/>
      </c>
      <c r="S1106" t="str">
        <f t="shared" si="86"/>
        <v/>
      </c>
    </row>
    <row r="1107" spans="1:19">
      <c r="A1107" t="s">
        <v>3135</v>
      </c>
      <c r="C1107" t="s">
        <v>2591</v>
      </c>
      <c r="D1107" s="3">
        <v>40717.967905092592</v>
      </c>
      <c r="E1107" s="8" t="s">
        <v>3136</v>
      </c>
      <c r="F1107" s="8" t="s">
        <v>2687</v>
      </c>
      <c r="G1107" s="8" t="s">
        <v>2572</v>
      </c>
      <c r="H1107" s="3">
        <v>40737.828449074077</v>
      </c>
      <c r="L1107">
        <f t="shared" si="83"/>
        <v>0</v>
      </c>
      <c r="Q1107" t="str">
        <f t="shared" si="84"/>
        <v/>
      </c>
      <c r="R1107" t="str">
        <f t="shared" si="85"/>
        <v/>
      </c>
      <c r="S1107" t="str">
        <f t="shared" si="86"/>
        <v/>
      </c>
    </row>
    <row r="1108" spans="1:19">
      <c r="A1108" t="s">
        <v>2751</v>
      </c>
      <c r="C1108" t="s">
        <v>2591</v>
      </c>
      <c r="D1108" s="3">
        <v>40722.045266203706</v>
      </c>
      <c r="E1108" s="8" t="s">
        <v>2686</v>
      </c>
      <c r="F1108" s="8" t="s">
        <v>2752</v>
      </c>
      <c r="G1108" s="8" t="s">
        <v>3685</v>
      </c>
      <c r="H1108" s="3">
        <v>40738.9690162037</v>
      </c>
      <c r="L1108">
        <f t="shared" si="83"/>
        <v>0</v>
      </c>
      <c r="Q1108" t="str">
        <f t="shared" si="84"/>
        <v/>
      </c>
      <c r="R1108" t="str">
        <f t="shared" si="85"/>
        <v/>
      </c>
      <c r="S1108" t="str">
        <f t="shared" si="86"/>
        <v/>
      </c>
    </row>
    <row r="1109" spans="1:19">
      <c r="A1109" t="s">
        <v>3345</v>
      </c>
      <c r="C1109" t="s">
        <v>2591</v>
      </c>
      <c r="D1109" s="3">
        <v>40737.873391203706</v>
      </c>
      <c r="E1109" s="8" t="s">
        <v>3346</v>
      </c>
      <c r="F1109" s="8" t="s">
        <v>3347</v>
      </c>
      <c r="G1109" s="8" t="s">
        <v>3685</v>
      </c>
      <c r="H1109" s="3">
        <v>40738.981562499997</v>
      </c>
      <c r="K1109">
        <v>1</v>
      </c>
      <c r="L1109">
        <f t="shared" si="83"/>
        <v>1</v>
      </c>
      <c r="Q1109" t="str">
        <f t="shared" si="84"/>
        <v/>
      </c>
      <c r="R1109" t="str">
        <f t="shared" si="85"/>
        <v/>
      </c>
      <c r="S1109" t="str">
        <f t="shared" si="86"/>
        <v>TC,a69271a,f5628c4</v>
      </c>
    </row>
    <row r="1110" spans="1:19">
      <c r="A1110" t="s">
        <v>2799</v>
      </c>
      <c r="C1110" t="s">
        <v>2572</v>
      </c>
      <c r="D1110" s="3">
        <v>40738.752395833333</v>
      </c>
      <c r="E1110" s="8" t="s">
        <v>2800</v>
      </c>
      <c r="F1110" s="8" t="s">
        <v>2801</v>
      </c>
      <c r="G1110" s="8" t="s">
        <v>3676</v>
      </c>
      <c r="H1110" s="3">
        <v>40739.955613425926</v>
      </c>
      <c r="L1110">
        <f t="shared" si="83"/>
        <v>0</v>
      </c>
      <c r="Q1110" t="str">
        <f t="shared" si="84"/>
        <v/>
      </c>
      <c r="R1110" t="str">
        <f t="shared" si="85"/>
        <v/>
      </c>
      <c r="S1110" t="str">
        <f t="shared" si="86"/>
        <v/>
      </c>
    </row>
    <row r="1111" spans="1:19">
      <c r="A1111" t="s">
        <v>3657</v>
      </c>
      <c r="C1111" t="s">
        <v>2572</v>
      </c>
      <c r="D1111" s="3">
        <v>40737.828449074077</v>
      </c>
      <c r="E1111" s="8" t="s">
        <v>2687</v>
      </c>
      <c r="F1111" s="8" t="s">
        <v>2801</v>
      </c>
      <c r="G1111" s="8" t="s">
        <v>3676</v>
      </c>
      <c r="H1111" s="3">
        <v>40739.955613425926</v>
      </c>
      <c r="L1111">
        <f t="shared" si="83"/>
        <v>0</v>
      </c>
      <c r="Q1111" t="str">
        <f t="shared" si="84"/>
        <v/>
      </c>
      <c r="R1111" t="str">
        <f t="shared" si="85"/>
        <v/>
      </c>
      <c r="S1111" t="str">
        <f t="shared" si="86"/>
        <v/>
      </c>
    </row>
    <row r="1112" spans="1:19">
      <c r="A1112" t="s">
        <v>2776</v>
      </c>
      <c r="C1112" t="s">
        <v>2591</v>
      </c>
      <c r="D1112" s="3">
        <v>40739.946793981479</v>
      </c>
      <c r="E1112" s="8" t="s">
        <v>2777</v>
      </c>
      <c r="F1112" s="8" t="s">
        <v>2778</v>
      </c>
      <c r="G1112" s="8" t="s">
        <v>2572</v>
      </c>
      <c r="H1112" s="3">
        <v>40740.383009259262</v>
      </c>
      <c r="L1112">
        <f t="shared" si="83"/>
        <v>0</v>
      </c>
      <c r="Q1112" t="str">
        <f t="shared" si="84"/>
        <v/>
      </c>
      <c r="R1112" t="str">
        <f t="shared" si="85"/>
        <v/>
      </c>
      <c r="S1112" t="str">
        <f t="shared" si="86"/>
        <v/>
      </c>
    </row>
    <row r="1113" spans="1:19">
      <c r="A1113" t="s">
        <v>3002</v>
      </c>
      <c r="C1113" t="s">
        <v>2572</v>
      </c>
      <c r="D1113" s="3">
        <v>40746.726307870369</v>
      </c>
      <c r="E1113" s="8" t="s">
        <v>3003</v>
      </c>
      <c r="F1113" s="8" t="s">
        <v>3004</v>
      </c>
      <c r="G1113" s="8" t="s">
        <v>3676</v>
      </c>
      <c r="H1113" s="3">
        <v>40746.773425925923</v>
      </c>
      <c r="L1113">
        <f t="shared" si="83"/>
        <v>0</v>
      </c>
      <c r="Q1113" t="str">
        <f t="shared" si="84"/>
        <v/>
      </c>
      <c r="R1113" t="str">
        <f t="shared" si="85"/>
        <v/>
      </c>
      <c r="S1113" t="str">
        <f t="shared" si="86"/>
        <v/>
      </c>
    </row>
    <row r="1114" spans="1:19">
      <c r="A1114" t="s">
        <v>3412</v>
      </c>
      <c r="C1114" t="s">
        <v>2567</v>
      </c>
      <c r="D1114" s="3">
        <v>40745.769432870373</v>
      </c>
      <c r="E1114" s="8" t="s">
        <v>3413</v>
      </c>
      <c r="F1114" s="8" t="s">
        <v>3414</v>
      </c>
      <c r="G1114" s="8" t="s">
        <v>2572</v>
      </c>
      <c r="H1114" s="3">
        <v>40750.684907407405</v>
      </c>
      <c r="L1114">
        <f t="shared" ref="L1114:L1173" si="87">COUNTA(I1114:K1114)</f>
        <v>0</v>
      </c>
      <c r="Q1114" t="str">
        <f t="shared" ref="Q1114:Q1173" si="88">IF(I1114&gt;0,CONCATENATE("MC,",E1114,",",F1114),"")</f>
        <v/>
      </c>
      <c r="R1114" t="str">
        <f t="shared" ref="R1114:R1173" si="89">IF(J1114&gt;0,CONCATENATE("BC,",E1114,",",F1114),"")</f>
        <v/>
      </c>
      <c r="S1114" t="str">
        <f t="shared" ref="S1114:S1173" si="90">IF(K1114&gt;0,CONCATENATE("TC,",E1114,",",F1114),"")</f>
        <v/>
      </c>
    </row>
    <row r="1115" spans="1:19">
      <c r="A1115" t="s">
        <v>3179</v>
      </c>
      <c r="C1115" t="s">
        <v>2567</v>
      </c>
      <c r="D1115" s="3">
        <v>40750.981134259258</v>
      </c>
      <c r="E1115" s="8" t="s">
        <v>3180</v>
      </c>
      <c r="F1115" s="8" t="s">
        <v>3181</v>
      </c>
      <c r="G1115" s="8" t="s">
        <v>2572</v>
      </c>
      <c r="H1115" s="3">
        <v>40752.459050925929</v>
      </c>
      <c r="K1115">
        <v>1</v>
      </c>
      <c r="L1115">
        <f t="shared" si="87"/>
        <v>1</v>
      </c>
      <c r="Q1115" t="str">
        <f t="shared" si="88"/>
        <v/>
      </c>
      <c r="R1115" t="str">
        <f t="shared" si="89"/>
        <v/>
      </c>
      <c r="S1115" t="str">
        <f t="shared" si="90"/>
        <v>TC,cc8c363,8a9376a</v>
      </c>
    </row>
    <row r="1116" spans="1:19">
      <c r="A1116" t="s">
        <v>3379</v>
      </c>
      <c r="C1116" t="s">
        <v>2567</v>
      </c>
      <c r="D1116" s="3">
        <v>40752.700740740744</v>
      </c>
      <c r="E1116" s="8" t="s">
        <v>3380</v>
      </c>
      <c r="F1116" s="8" t="s">
        <v>3381</v>
      </c>
      <c r="G1116" s="8" t="s">
        <v>2581</v>
      </c>
      <c r="H1116" s="3">
        <v>40757.435636574075</v>
      </c>
      <c r="K1116">
        <v>1</v>
      </c>
      <c r="L1116">
        <f t="shared" si="87"/>
        <v>1</v>
      </c>
      <c r="Q1116" t="str">
        <f t="shared" si="88"/>
        <v/>
      </c>
      <c r="R1116" t="str">
        <f t="shared" si="89"/>
        <v/>
      </c>
      <c r="S1116" t="str">
        <f t="shared" si="90"/>
        <v>TC,9e68193,1bf538c</v>
      </c>
    </row>
    <row r="1117" spans="1:19">
      <c r="A1117" t="s">
        <v>3237</v>
      </c>
      <c r="C1117" t="s">
        <v>2581</v>
      </c>
      <c r="D1117" s="3">
        <v>40766.826365740744</v>
      </c>
      <c r="E1117" s="8" t="s">
        <v>3238</v>
      </c>
      <c r="F1117" s="8" t="s">
        <v>3239</v>
      </c>
      <c r="G1117" s="8" t="s">
        <v>2773</v>
      </c>
      <c r="H1117" s="3">
        <v>40767.597430555557</v>
      </c>
      <c r="K1117">
        <v>1</v>
      </c>
      <c r="L1117">
        <f t="shared" si="87"/>
        <v>1</v>
      </c>
      <c r="Q1117" t="str">
        <f t="shared" si="88"/>
        <v/>
      </c>
      <c r="R1117" t="str">
        <f t="shared" si="89"/>
        <v/>
      </c>
      <c r="S1117" t="str">
        <f t="shared" si="90"/>
        <v>TC,3fea647,6388c94</v>
      </c>
    </row>
    <row r="1118" spans="1:19">
      <c r="A1118" t="s">
        <v>3437</v>
      </c>
      <c r="C1118" t="s">
        <v>2591</v>
      </c>
      <c r="D1118" s="3">
        <v>40788.475578703707</v>
      </c>
      <c r="E1118" s="8" t="s">
        <v>3438</v>
      </c>
      <c r="F1118" s="8" t="s">
        <v>3439</v>
      </c>
      <c r="G1118" s="8" t="s">
        <v>2567</v>
      </c>
      <c r="H1118" s="3">
        <v>40788.870844907404</v>
      </c>
      <c r="I1118">
        <v>1</v>
      </c>
      <c r="L1118">
        <f t="shared" si="87"/>
        <v>1</v>
      </c>
      <c r="Q1118" t="str">
        <f t="shared" si="88"/>
        <v>MC,c94ab05,e491023</v>
      </c>
      <c r="R1118" t="str">
        <f t="shared" si="89"/>
        <v/>
      </c>
      <c r="S1118" t="str">
        <f t="shared" si="90"/>
        <v/>
      </c>
    </row>
    <row r="1119" spans="1:19">
      <c r="A1119" t="s">
        <v>3065</v>
      </c>
      <c r="B1119" t="s">
        <v>2685</v>
      </c>
      <c r="C1119" t="s">
        <v>2567</v>
      </c>
      <c r="D1119" s="3">
        <v>40794.617465277777</v>
      </c>
      <c r="E1119" s="8" t="s">
        <v>3066</v>
      </c>
      <c r="F1119" s="8" t="s">
        <v>3067</v>
      </c>
      <c r="G1119" s="8" t="s">
        <v>2591</v>
      </c>
      <c r="H1119" s="3">
        <v>40819.601967592593</v>
      </c>
      <c r="L1119">
        <f t="shared" si="87"/>
        <v>0</v>
      </c>
      <c r="Q1119" t="str">
        <f t="shared" si="88"/>
        <v/>
      </c>
      <c r="R1119" t="str">
        <f t="shared" si="89"/>
        <v/>
      </c>
      <c r="S1119" t="str">
        <f t="shared" si="90"/>
        <v/>
      </c>
    </row>
    <row r="1120" spans="1:19">
      <c r="A1120" t="s">
        <v>3652</v>
      </c>
      <c r="B1120" t="s">
        <v>2893</v>
      </c>
      <c r="C1120" t="s">
        <v>2581</v>
      </c>
      <c r="D1120" s="3">
        <v>40812.761655092596</v>
      </c>
      <c r="E1120" s="8" t="s">
        <v>3653</v>
      </c>
      <c r="F1120" s="8" t="s">
        <v>3654</v>
      </c>
      <c r="G1120" s="8" t="s">
        <v>2591</v>
      </c>
      <c r="H1120" s="3">
        <v>40820.578043981484</v>
      </c>
      <c r="K1120">
        <v>1</v>
      </c>
      <c r="L1120">
        <f t="shared" si="87"/>
        <v>1</v>
      </c>
      <c r="Q1120" t="str">
        <f t="shared" si="88"/>
        <v/>
      </c>
      <c r="R1120" t="str">
        <f t="shared" si="89"/>
        <v/>
      </c>
      <c r="S1120" t="str">
        <f t="shared" si="90"/>
        <v>TC,8e11705,a3f8195</v>
      </c>
    </row>
    <row r="1121" spans="1:19">
      <c r="A1121" t="s">
        <v>3024</v>
      </c>
      <c r="B1121" t="s">
        <v>2947</v>
      </c>
      <c r="C1121" t="s">
        <v>2581</v>
      </c>
      <c r="D1121" s="3">
        <v>40800.401875000003</v>
      </c>
      <c r="E1121" s="8" t="s">
        <v>3025</v>
      </c>
      <c r="F1121" s="8" t="s">
        <v>2749</v>
      </c>
      <c r="G1121" s="8" t="s">
        <v>2591</v>
      </c>
      <c r="H1121" s="3">
        <v>40822.614155092589</v>
      </c>
      <c r="I1121">
        <v>1</v>
      </c>
      <c r="L1121">
        <f t="shared" si="87"/>
        <v>1</v>
      </c>
      <c r="Q1121" t="str">
        <f t="shared" si="88"/>
        <v>MC,e4f5121,74e0d94</v>
      </c>
      <c r="R1121" t="str">
        <f t="shared" si="89"/>
        <v/>
      </c>
      <c r="S1121" t="str">
        <f t="shared" si="90"/>
        <v/>
      </c>
    </row>
    <row r="1122" spans="1:19">
      <c r="A1122" t="s">
        <v>3133</v>
      </c>
      <c r="B1122" t="s">
        <v>3466</v>
      </c>
      <c r="C1122" t="s">
        <v>2591</v>
      </c>
      <c r="D1122" s="3">
        <v>40822.614155092589</v>
      </c>
      <c r="E1122" s="8" t="s">
        <v>2749</v>
      </c>
      <c r="F1122" s="8" t="s">
        <v>3134</v>
      </c>
      <c r="G1122" s="8" t="s">
        <v>3685</v>
      </c>
      <c r="H1122" s="3">
        <v>40834.501400462963</v>
      </c>
      <c r="L1122">
        <f t="shared" si="87"/>
        <v>0</v>
      </c>
      <c r="Q1122" t="str">
        <f t="shared" si="88"/>
        <v/>
      </c>
      <c r="R1122" t="str">
        <f t="shared" si="89"/>
        <v/>
      </c>
      <c r="S1122" t="str">
        <f t="shared" si="90"/>
        <v/>
      </c>
    </row>
    <row r="1123" spans="1:19">
      <c r="A1123" t="s">
        <v>2748</v>
      </c>
      <c r="B1123" t="s">
        <v>3604</v>
      </c>
      <c r="C1123" t="s">
        <v>2591</v>
      </c>
      <c r="D1123" s="3">
        <v>40822.614155092589</v>
      </c>
      <c r="E1123" s="8" t="s">
        <v>2749</v>
      </c>
      <c r="F1123" s="8" t="s">
        <v>2750</v>
      </c>
      <c r="G1123" s="8" t="s">
        <v>2567</v>
      </c>
      <c r="H1123" s="3">
        <v>40835.700381944444</v>
      </c>
      <c r="L1123">
        <f t="shared" si="87"/>
        <v>0</v>
      </c>
      <c r="Q1123" t="str">
        <f t="shared" si="88"/>
        <v/>
      </c>
      <c r="R1123" t="str">
        <f t="shared" si="89"/>
        <v/>
      </c>
      <c r="S1123" t="str">
        <f t="shared" si="90"/>
        <v/>
      </c>
    </row>
    <row r="1124" spans="1:19">
      <c r="A1124" t="s">
        <v>3537</v>
      </c>
      <c r="B1124" t="s">
        <v>2631</v>
      </c>
      <c r="C1124" t="s">
        <v>2567</v>
      </c>
      <c r="D1124" s="3">
        <v>40835.700532407405</v>
      </c>
      <c r="E1124" s="8" t="s">
        <v>3538</v>
      </c>
      <c r="F1124" s="8" t="s">
        <v>3539</v>
      </c>
      <c r="G1124" s="8" t="s">
        <v>2581</v>
      </c>
      <c r="H1124" s="3">
        <v>40836.524872685186</v>
      </c>
      <c r="L1124">
        <f t="shared" si="87"/>
        <v>0</v>
      </c>
      <c r="Q1124" t="str">
        <f t="shared" si="88"/>
        <v/>
      </c>
      <c r="R1124" t="str">
        <f t="shared" si="89"/>
        <v/>
      </c>
      <c r="S1124" t="str">
        <f t="shared" si="90"/>
        <v/>
      </c>
    </row>
    <row r="1125" spans="1:19">
      <c r="A1125" t="s">
        <v>2635</v>
      </c>
      <c r="B1125" t="s">
        <v>3587</v>
      </c>
      <c r="C1125" t="s">
        <v>2581</v>
      </c>
      <c r="D1125" s="3">
        <v>40826.703831018516</v>
      </c>
      <c r="E1125" s="8" t="s">
        <v>2636</v>
      </c>
      <c r="F1125" s="8" t="s">
        <v>2637</v>
      </c>
      <c r="G1125" s="8" t="s">
        <v>3679</v>
      </c>
      <c r="H1125" s="3">
        <v>40836.527731481481</v>
      </c>
      <c r="L1125">
        <f t="shared" si="87"/>
        <v>0</v>
      </c>
      <c r="Q1125" t="str">
        <f t="shared" si="88"/>
        <v/>
      </c>
      <c r="R1125" t="str">
        <f t="shared" si="89"/>
        <v/>
      </c>
      <c r="S1125" t="str">
        <f t="shared" si="90"/>
        <v/>
      </c>
    </row>
    <row r="1126" spans="1:19">
      <c r="A1126" t="s">
        <v>3451</v>
      </c>
      <c r="B1126" t="s">
        <v>3265</v>
      </c>
      <c r="C1126" t="s">
        <v>2591</v>
      </c>
      <c r="D1126" s="3">
        <v>40823.633634259262</v>
      </c>
      <c r="E1126" s="8" t="s">
        <v>3452</v>
      </c>
      <c r="F1126" s="8" t="s">
        <v>2637</v>
      </c>
      <c r="G1126" s="8" t="s">
        <v>2581</v>
      </c>
      <c r="H1126" s="3">
        <v>40836.527731481481</v>
      </c>
      <c r="L1126">
        <f t="shared" si="87"/>
        <v>0</v>
      </c>
      <c r="Q1126" t="str">
        <f t="shared" si="88"/>
        <v/>
      </c>
      <c r="R1126" t="str">
        <f t="shared" si="89"/>
        <v/>
      </c>
      <c r="S1126" t="str">
        <f t="shared" si="90"/>
        <v/>
      </c>
    </row>
    <row r="1127" spans="1:19">
      <c r="A1127" t="s">
        <v>2950</v>
      </c>
      <c r="B1127" t="s">
        <v>3608</v>
      </c>
      <c r="C1127" t="s">
        <v>2591</v>
      </c>
      <c r="D1127" s="3">
        <v>40834.514409722222</v>
      </c>
      <c r="E1127" s="8" t="s">
        <v>2951</v>
      </c>
      <c r="F1127" s="8" t="s">
        <v>2952</v>
      </c>
      <c r="G1127" s="8" t="s">
        <v>3685</v>
      </c>
      <c r="H1127" s="3">
        <v>40836.653657407405</v>
      </c>
      <c r="K1127">
        <v>1</v>
      </c>
      <c r="L1127">
        <f t="shared" si="87"/>
        <v>1</v>
      </c>
      <c r="Q1127" t="str">
        <f t="shared" si="88"/>
        <v/>
      </c>
      <c r="R1127" t="str">
        <f t="shared" si="89"/>
        <v/>
      </c>
      <c r="S1127" t="str">
        <f t="shared" si="90"/>
        <v>TC,e081a12,e03c989</v>
      </c>
    </row>
    <row r="1128" spans="1:19">
      <c r="A1128" t="s">
        <v>3572</v>
      </c>
      <c r="B1128" t="s">
        <v>3630</v>
      </c>
      <c r="C1128" t="s">
        <v>2581</v>
      </c>
      <c r="D1128" s="3">
        <v>40836.527731481481</v>
      </c>
      <c r="E1128" s="8" t="s">
        <v>2637</v>
      </c>
      <c r="F1128" s="8" t="s">
        <v>3573</v>
      </c>
      <c r="G1128" s="8" t="s">
        <v>2591</v>
      </c>
      <c r="H1128" s="3">
        <v>40837.455300925925</v>
      </c>
      <c r="L1128">
        <f t="shared" si="87"/>
        <v>0</v>
      </c>
      <c r="Q1128" t="str">
        <f t="shared" si="88"/>
        <v/>
      </c>
      <c r="R1128" t="str">
        <f t="shared" si="89"/>
        <v/>
      </c>
      <c r="S1128" t="str">
        <f t="shared" si="90"/>
        <v/>
      </c>
    </row>
    <row r="1129" spans="1:19">
      <c r="A1129" t="s">
        <v>3158</v>
      </c>
      <c r="B1129" t="s">
        <v>2603</v>
      </c>
      <c r="C1129" t="s">
        <v>2591</v>
      </c>
      <c r="D1129" s="3">
        <v>40836.654004629629</v>
      </c>
      <c r="E1129" s="8" t="s">
        <v>3159</v>
      </c>
      <c r="F1129" s="8" t="s">
        <v>3160</v>
      </c>
      <c r="G1129" s="8" t="s">
        <v>3685</v>
      </c>
      <c r="H1129" s="3">
        <v>40837.455497685187</v>
      </c>
      <c r="L1129">
        <f t="shared" si="87"/>
        <v>0</v>
      </c>
      <c r="Q1129" t="str">
        <f t="shared" si="88"/>
        <v/>
      </c>
      <c r="R1129" t="str">
        <f t="shared" si="89"/>
        <v/>
      </c>
      <c r="S1129" t="str">
        <f t="shared" si="90"/>
        <v/>
      </c>
    </row>
    <row r="1130" spans="1:19">
      <c r="A1130" t="s">
        <v>3262</v>
      </c>
      <c r="B1130" t="s">
        <v>3514</v>
      </c>
      <c r="C1130" t="s">
        <v>2581</v>
      </c>
      <c r="D1130" s="3">
        <v>40819.774421296293</v>
      </c>
      <c r="E1130" s="8" t="s">
        <v>3263</v>
      </c>
      <c r="F1130" s="8" t="s">
        <v>3264</v>
      </c>
      <c r="G1130" s="8" t="s">
        <v>3679</v>
      </c>
      <c r="H1130" s="3">
        <v>40841.408842592595</v>
      </c>
      <c r="L1130">
        <f t="shared" si="87"/>
        <v>0</v>
      </c>
      <c r="Q1130" t="str">
        <f t="shared" si="88"/>
        <v/>
      </c>
      <c r="R1130" t="str">
        <f t="shared" si="89"/>
        <v/>
      </c>
      <c r="S1130" t="str">
        <f t="shared" si="90"/>
        <v/>
      </c>
    </row>
    <row r="1131" spans="1:19">
      <c r="A1131" t="s">
        <v>3361</v>
      </c>
      <c r="B1131" s="1" t="s">
        <v>2843</v>
      </c>
      <c r="C1131" t="s">
        <v>2581</v>
      </c>
      <c r="D1131" s="3">
        <v>40841.41646990741</v>
      </c>
      <c r="E1131" s="8" t="s">
        <v>3362</v>
      </c>
      <c r="F1131" s="8" t="s">
        <v>3363</v>
      </c>
      <c r="G1131" s="8" t="s">
        <v>2567</v>
      </c>
      <c r="H1131" s="3">
        <v>40841.646643518521</v>
      </c>
      <c r="L1131">
        <f t="shared" si="87"/>
        <v>0</v>
      </c>
      <c r="Q1131" t="str">
        <f t="shared" si="88"/>
        <v/>
      </c>
      <c r="R1131" t="str">
        <f t="shared" si="89"/>
        <v/>
      </c>
      <c r="S1131" t="str">
        <f t="shared" si="90"/>
        <v/>
      </c>
    </row>
    <row r="1132" spans="1:19">
      <c r="A1132" t="s">
        <v>2793</v>
      </c>
      <c r="B1132" t="s">
        <v>2915</v>
      </c>
      <c r="C1132" t="s">
        <v>2591</v>
      </c>
      <c r="D1132" s="3">
        <v>40839.114560185182</v>
      </c>
      <c r="E1132" s="8" t="s">
        <v>2794</v>
      </c>
      <c r="F1132" s="8" t="s">
        <v>2795</v>
      </c>
      <c r="G1132" s="8" t="s">
        <v>2567</v>
      </c>
      <c r="H1132" s="3">
        <v>40842.736064814817</v>
      </c>
      <c r="L1132">
        <f t="shared" si="87"/>
        <v>0</v>
      </c>
      <c r="Q1132" t="str">
        <f t="shared" si="88"/>
        <v/>
      </c>
      <c r="R1132" t="str">
        <f t="shared" si="89"/>
        <v/>
      </c>
      <c r="S1132" t="str">
        <f t="shared" si="90"/>
        <v/>
      </c>
    </row>
    <row r="1133" spans="1:19">
      <c r="A1133" t="s">
        <v>2708</v>
      </c>
      <c r="B1133" t="s">
        <v>3209</v>
      </c>
      <c r="C1133" t="s">
        <v>2584</v>
      </c>
      <c r="D1133" s="3">
        <v>40858.779513888891</v>
      </c>
      <c r="E1133" s="8" t="s">
        <v>2709</v>
      </c>
      <c r="F1133" s="8" t="s">
        <v>2710</v>
      </c>
      <c r="G1133" s="8" t="s">
        <v>3686</v>
      </c>
      <c r="H1133" s="3">
        <v>40858.779513888891</v>
      </c>
      <c r="L1133">
        <f t="shared" si="87"/>
        <v>0</v>
      </c>
      <c r="Q1133" t="str">
        <f t="shared" si="88"/>
        <v/>
      </c>
      <c r="R1133" t="str">
        <f t="shared" si="89"/>
        <v/>
      </c>
      <c r="S1133" t="str">
        <f t="shared" si="90"/>
        <v/>
      </c>
    </row>
    <row r="1134" spans="1:19">
      <c r="A1134" t="s">
        <v>3269</v>
      </c>
      <c r="B1134" t="s">
        <v>2962</v>
      </c>
      <c r="C1134" t="s">
        <v>2584</v>
      </c>
      <c r="D1134" s="3">
        <v>40858.779513888891</v>
      </c>
      <c r="E1134" s="8" t="s">
        <v>2709</v>
      </c>
      <c r="F1134" s="8" t="s">
        <v>2710</v>
      </c>
      <c r="G1134" s="8" t="s">
        <v>3686</v>
      </c>
      <c r="H1134" s="3">
        <v>40858.779513888891</v>
      </c>
      <c r="K1134">
        <v>1</v>
      </c>
      <c r="L1134">
        <f t="shared" si="87"/>
        <v>1</v>
      </c>
      <c r="Q1134" t="str">
        <f t="shared" si="88"/>
        <v/>
      </c>
      <c r="R1134" t="str">
        <f t="shared" si="89"/>
        <v/>
      </c>
      <c r="S1134" t="str">
        <f t="shared" si="90"/>
        <v>TC,91da56d,0f8ab45</v>
      </c>
    </row>
    <row r="1135" spans="1:19">
      <c r="A1135" t="s">
        <v>3053</v>
      </c>
      <c r="B1135" t="s">
        <v>2606</v>
      </c>
      <c r="C1135" t="s">
        <v>2584</v>
      </c>
      <c r="D1135" s="3">
        <v>40861.744363425925</v>
      </c>
      <c r="E1135" s="8" t="s">
        <v>3054</v>
      </c>
      <c r="F1135" s="8" t="s">
        <v>3055</v>
      </c>
      <c r="G1135" s="8" t="s">
        <v>3686</v>
      </c>
      <c r="H1135" s="3">
        <v>40861.744363425925</v>
      </c>
      <c r="L1135">
        <f t="shared" si="87"/>
        <v>0</v>
      </c>
      <c r="Q1135" t="str">
        <f t="shared" si="88"/>
        <v/>
      </c>
      <c r="R1135" t="str">
        <f t="shared" si="89"/>
        <v/>
      </c>
      <c r="S1135" t="str">
        <f t="shared" si="90"/>
        <v/>
      </c>
    </row>
    <row r="1136" spans="1:19">
      <c r="A1136" t="s">
        <v>3227</v>
      </c>
      <c r="B1136" t="s">
        <v>3285</v>
      </c>
      <c r="C1136" t="s">
        <v>2584</v>
      </c>
      <c r="D1136" s="3">
        <v>40861.744363425925</v>
      </c>
      <c r="E1136" s="8" t="s">
        <v>3054</v>
      </c>
      <c r="F1136" s="8" t="s">
        <v>3055</v>
      </c>
      <c r="G1136" s="8" t="s">
        <v>3686</v>
      </c>
      <c r="H1136" s="3">
        <v>40861.744363425925</v>
      </c>
      <c r="L1136">
        <f t="shared" si="87"/>
        <v>0</v>
      </c>
      <c r="Q1136" t="str">
        <f t="shared" si="88"/>
        <v/>
      </c>
      <c r="R1136" t="str">
        <f t="shared" si="89"/>
        <v/>
      </c>
      <c r="S1136" t="str">
        <f t="shared" si="90"/>
        <v/>
      </c>
    </row>
    <row r="1137" spans="1:19">
      <c r="A1137" t="s">
        <v>2816</v>
      </c>
      <c r="B1137" t="s">
        <v>2670</v>
      </c>
      <c r="C1137" t="s">
        <v>2584</v>
      </c>
      <c r="D1137" s="3">
        <v>40861.750405092593</v>
      </c>
      <c r="E1137" s="8" t="s">
        <v>2817</v>
      </c>
      <c r="F1137" s="8" t="s">
        <v>2818</v>
      </c>
      <c r="G1137" s="8" t="s">
        <v>3686</v>
      </c>
      <c r="H1137" s="3">
        <v>40861.750405092593</v>
      </c>
      <c r="K1137">
        <v>1</v>
      </c>
      <c r="L1137">
        <f t="shared" si="87"/>
        <v>1</v>
      </c>
      <c r="Q1137" t="str">
        <f t="shared" si="88"/>
        <v/>
      </c>
      <c r="R1137" t="str">
        <f t="shared" si="89"/>
        <v/>
      </c>
      <c r="S1137" t="str">
        <f t="shared" si="90"/>
        <v>TC,6c1d6cc,02342be</v>
      </c>
    </row>
    <row r="1138" spans="1:19">
      <c r="A1138" t="s">
        <v>3256</v>
      </c>
      <c r="B1138" t="s">
        <v>2978</v>
      </c>
      <c r="C1138" t="s">
        <v>2584</v>
      </c>
      <c r="D1138" s="3">
        <v>40870.446215277778</v>
      </c>
      <c r="E1138" s="8" t="s">
        <v>3257</v>
      </c>
      <c r="F1138" s="8" t="s">
        <v>3258</v>
      </c>
      <c r="G1138" s="8" t="s">
        <v>3686</v>
      </c>
      <c r="H1138" s="3">
        <v>40870.446215277778</v>
      </c>
      <c r="L1138">
        <f t="shared" si="87"/>
        <v>0</v>
      </c>
      <c r="Q1138" t="str">
        <f t="shared" si="88"/>
        <v/>
      </c>
      <c r="R1138" t="str">
        <f t="shared" si="89"/>
        <v/>
      </c>
      <c r="S1138" t="str">
        <f t="shared" si="90"/>
        <v/>
      </c>
    </row>
    <row r="1139" spans="1:19">
      <c r="A1139" t="s">
        <v>3164</v>
      </c>
      <c r="B1139" t="s">
        <v>3124</v>
      </c>
      <c r="C1139" t="s">
        <v>3165</v>
      </c>
      <c r="D1139" s="3">
        <v>40802.67391203704</v>
      </c>
      <c r="E1139" s="8" t="s">
        <v>3166</v>
      </c>
      <c r="F1139" s="8" t="s">
        <v>3167</v>
      </c>
      <c r="G1139" s="8" t="s">
        <v>2584</v>
      </c>
      <c r="H1139" s="3">
        <v>40875.72928240741</v>
      </c>
      <c r="K1139">
        <v>1</v>
      </c>
      <c r="L1139">
        <f t="shared" si="87"/>
        <v>1</v>
      </c>
      <c r="Q1139" t="str">
        <f t="shared" si="88"/>
        <v/>
      </c>
      <c r="R1139" t="str">
        <f t="shared" si="89"/>
        <v/>
      </c>
      <c r="S1139" t="str">
        <f t="shared" si="90"/>
        <v>TC,d73af5d,2633ab4</v>
      </c>
    </row>
    <row r="1140" spans="1:19">
      <c r="A1140" t="s">
        <v>3156</v>
      </c>
      <c r="B1140" t="s">
        <v>3168</v>
      </c>
      <c r="C1140" t="s">
        <v>2567</v>
      </c>
      <c r="D1140" s="3">
        <v>40889.660752314812</v>
      </c>
      <c r="E1140" s="8" t="s">
        <v>2655</v>
      </c>
      <c r="F1140" s="8" t="s">
        <v>3157</v>
      </c>
      <c r="G1140" s="8" t="s">
        <v>2581</v>
      </c>
      <c r="H1140" s="3">
        <v>40892.491493055553</v>
      </c>
      <c r="L1140">
        <f t="shared" si="87"/>
        <v>0</v>
      </c>
      <c r="Q1140" t="str">
        <f t="shared" si="88"/>
        <v/>
      </c>
      <c r="R1140" t="str">
        <f t="shared" si="89"/>
        <v/>
      </c>
      <c r="S1140" t="str">
        <f t="shared" si="90"/>
        <v/>
      </c>
    </row>
    <row r="1141" spans="1:19">
      <c r="A1141" t="s">
        <v>2654</v>
      </c>
      <c r="B1141" t="s">
        <v>3283</v>
      </c>
      <c r="C1141" t="s">
        <v>2567</v>
      </c>
      <c r="D1141" s="3">
        <v>40889.660752314812</v>
      </c>
      <c r="E1141" s="8" t="s">
        <v>2655</v>
      </c>
      <c r="F1141" s="8" t="s">
        <v>2656</v>
      </c>
      <c r="G1141" s="8" t="s">
        <v>2657</v>
      </c>
      <c r="H1141" s="3">
        <v>40906.696736111109</v>
      </c>
      <c r="L1141">
        <f t="shared" si="87"/>
        <v>0</v>
      </c>
      <c r="Q1141" t="str">
        <f t="shared" si="88"/>
        <v/>
      </c>
      <c r="R1141" t="str">
        <f t="shared" si="89"/>
        <v/>
      </c>
      <c r="S1141" t="str">
        <f t="shared" si="90"/>
        <v/>
      </c>
    </row>
    <row r="1142" spans="1:19">
      <c r="A1142" t="s">
        <v>3137</v>
      </c>
      <c r="B1142" t="s">
        <v>3406</v>
      </c>
      <c r="C1142" t="s">
        <v>2567</v>
      </c>
      <c r="D1142" s="3">
        <v>40906.711921296293</v>
      </c>
      <c r="E1142" s="8" t="s">
        <v>3138</v>
      </c>
      <c r="F1142" s="8" t="s">
        <v>3139</v>
      </c>
      <c r="G1142" s="8" t="s">
        <v>2657</v>
      </c>
      <c r="H1142" s="3">
        <v>40906.762164351851</v>
      </c>
      <c r="L1142">
        <f t="shared" si="87"/>
        <v>0</v>
      </c>
      <c r="Q1142" t="str">
        <f t="shared" si="88"/>
        <v/>
      </c>
      <c r="R1142" t="str">
        <f t="shared" si="89"/>
        <v/>
      </c>
      <c r="S1142" t="str">
        <f t="shared" si="90"/>
        <v/>
      </c>
    </row>
    <row r="1143" spans="1:19">
      <c r="A1143" t="s">
        <v>2714</v>
      </c>
      <c r="B1143" t="s">
        <v>3437</v>
      </c>
      <c r="C1143" t="s">
        <v>2567</v>
      </c>
      <c r="D1143" s="3">
        <v>40906.855486111112</v>
      </c>
      <c r="E1143" s="8" t="s">
        <v>2715</v>
      </c>
      <c r="F1143" s="8" t="s">
        <v>2716</v>
      </c>
      <c r="G1143" s="8" t="s">
        <v>2657</v>
      </c>
      <c r="H1143" s="3">
        <v>40907.690752314818</v>
      </c>
      <c r="K1143">
        <v>1</v>
      </c>
      <c r="L1143">
        <f t="shared" si="87"/>
        <v>1</v>
      </c>
      <c r="Q1143" t="str">
        <f t="shared" si="88"/>
        <v/>
      </c>
      <c r="R1143" t="str">
        <f t="shared" si="89"/>
        <v/>
      </c>
      <c r="S1143" t="str">
        <f t="shared" si="90"/>
        <v>TC,a01e4de,fc1f066</v>
      </c>
    </row>
    <row r="1144" spans="1:19">
      <c r="A1144" t="s">
        <v>3168</v>
      </c>
      <c r="B1144" t="s">
        <v>2611</v>
      </c>
      <c r="C1144" t="s">
        <v>2657</v>
      </c>
      <c r="D1144" s="3">
        <v>40908.443402777775</v>
      </c>
      <c r="E1144" s="8" t="s">
        <v>3169</v>
      </c>
      <c r="F1144" s="8" t="s">
        <v>3170</v>
      </c>
      <c r="G1144" s="8" t="s">
        <v>3684</v>
      </c>
      <c r="H1144" s="3">
        <v>40908.451111111113</v>
      </c>
      <c r="I1144">
        <v>1</v>
      </c>
      <c r="K1144">
        <v>1</v>
      </c>
      <c r="L1144">
        <f t="shared" si="87"/>
        <v>2</v>
      </c>
      <c r="Q1144" t="str">
        <f t="shared" si="88"/>
        <v>MC,0bdf2ae,cd005df</v>
      </c>
      <c r="R1144" t="str">
        <f t="shared" si="89"/>
        <v/>
      </c>
      <c r="S1144" t="str">
        <f t="shared" si="90"/>
        <v>TC,0bdf2ae,cd005df</v>
      </c>
    </row>
    <row r="1145" spans="1:19">
      <c r="A1145" t="s">
        <v>3036</v>
      </c>
      <c r="B1145" t="s">
        <v>2759</v>
      </c>
      <c r="C1145" t="s">
        <v>2567</v>
      </c>
      <c r="D1145" s="3">
        <v>40906.855486111112</v>
      </c>
      <c r="E1145" s="8" t="s">
        <v>2715</v>
      </c>
      <c r="F1145" s="8" t="s">
        <v>3037</v>
      </c>
      <c r="G1145" s="8" t="s">
        <v>2657</v>
      </c>
      <c r="H1145" s="3">
        <v>40908.452916666669</v>
      </c>
      <c r="K1145">
        <v>1</v>
      </c>
      <c r="L1145">
        <f t="shared" si="87"/>
        <v>1</v>
      </c>
      <c r="Q1145" t="str">
        <f t="shared" si="88"/>
        <v/>
      </c>
      <c r="R1145" t="str">
        <f t="shared" si="89"/>
        <v/>
      </c>
      <c r="S1145" t="str">
        <f t="shared" si="90"/>
        <v>TC,a01e4de,390f9a5</v>
      </c>
    </row>
    <row r="1146" spans="1:19">
      <c r="A1146" t="s">
        <v>3290</v>
      </c>
      <c r="B1146" t="s">
        <v>2787</v>
      </c>
      <c r="C1146" t="s">
        <v>2567</v>
      </c>
      <c r="D1146" s="3">
        <v>40909.566192129627</v>
      </c>
      <c r="E1146" s="8" t="s">
        <v>3291</v>
      </c>
      <c r="F1146" s="8" t="s">
        <v>3292</v>
      </c>
      <c r="G1146" s="8" t="s">
        <v>3293</v>
      </c>
      <c r="H1146" s="3">
        <v>40913.009108796294</v>
      </c>
      <c r="L1146">
        <f t="shared" si="87"/>
        <v>0</v>
      </c>
      <c r="Q1146" t="str">
        <f t="shared" si="88"/>
        <v/>
      </c>
      <c r="R1146" t="str">
        <f t="shared" si="89"/>
        <v/>
      </c>
      <c r="S1146" t="str">
        <f t="shared" si="90"/>
        <v/>
      </c>
    </row>
    <row r="1147" spans="1:19">
      <c r="A1147" t="s">
        <v>2631</v>
      </c>
      <c r="B1147" t="s">
        <v>3031</v>
      </c>
      <c r="C1147" t="s">
        <v>2632</v>
      </c>
      <c r="D1147" s="3">
        <v>40830.613900462966</v>
      </c>
      <c r="E1147" s="8" t="s">
        <v>2633</v>
      </c>
      <c r="F1147" s="8" t="s">
        <v>2634</v>
      </c>
      <c r="G1147" s="8" t="s">
        <v>2567</v>
      </c>
      <c r="H1147" s="3">
        <v>40913.44427083333</v>
      </c>
      <c r="I1147">
        <v>1</v>
      </c>
      <c r="K1147">
        <v>1</v>
      </c>
      <c r="L1147">
        <f t="shared" si="87"/>
        <v>2</v>
      </c>
      <c r="Q1147" t="str">
        <f t="shared" si="88"/>
        <v>MC,fd5dbeb,aee112d</v>
      </c>
      <c r="R1147" t="str">
        <f t="shared" si="89"/>
        <v/>
      </c>
      <c r="S1147" t="str">
        <f t="shared" si="90"/>
        <v>TC,fd5dbeb,aee112d</v>
      </c>
    </row>
    <row r="1148" spans="1:19">
      <c r="A1148" t="s">
        <v>3071</v>
      </c>
      <c r="B1148" t="s">
        <v>2819</v>
      </c>
      <c r="C1148" t="s">
        <v>2581</v>
      </c>
      <c r="D1148" s="3">
        <v>40892.492037037038</v>
      </c>
      <c r="E1148" s="8" t="s">
        <v>3072</v>
      </c>
      <c r="F1148" s="8" t="s">
        <v>2634</v>
      </c>
      <c r="G1148" s="8" t="s">
        <v>2567</v>
      </c>
      <c r="H1148" s="3">
        <v>40913.44427083333</v>
      </c>
      <c r="L1148">
        <f t="shared" si="87"/>
        <v>0</v>
      </c>
      <c r="Q1148" t="str">
        <f t="shared" si="88"/>
        <v/>
      </c>
      <c r="R1148" t="str">
        <f t="shared" si="89"/>
        <v/>
      </c>
      <c r="S1148" t="str">
        <f t="shared" si="90"/>
        <v/>
      </c>
    </row>
    <row r="1149" spans="1:19">
      <c r="A1149" t="s">
        <v>3026</v>
      </c>
      <c r="B1149" t="s">
        <v>3062</v>
      </c>
      <c r="C1149" t="s">
        <v>2584</v>
      </c>
      <c r="D1149" s="3">
        <v>40921.643541666665</v>
      </c>
      <c r="E1149" s="8" t="s">
        <v>3027</v>
      </c>
      <c r="F1149" s="8" t="s">
        <v>3028</v>
      </c>
      <c r="G1149" s="8" t="s">
        <v>2567</v>
      </c>
      <c r="H1149" s="3">
        <v>40925.827337962961</v>
      </c>
      <c r="K1149">
        <v>1</v>
      </c>
      <c r="L1149">
        <f t="shared" si="87"/>
        <v>1</v>
      </c>
      <c r="Q1149" t="str">
        <f t="shared" si="88"/>
        <v/>
      </c>
      <c r="R1149" t="str">
        <f t="shared" si="89"/>
        <v/>
      </c>
      <c r="S1149" t="str">
        <f t="shared" si="90"/>
        <v>TC,38b330b,608ad06</v>
      </c>
    </row>
    <row r="1150" spans="1:19">
      <c r="A1150" t="s">
        <v>2829</v>
      </c>
      <c r="B1150" t="s">
        <v>3517</v>
      </c>
      <c r="C1150" t="s">
        <v>2567</v>
      </c>
      <c r="D1150" s="3">
        <v>40892.663599537038</v>
      </c>
      <c r="E1150" s="8" t="s">
        <v>2830</v>
      </c>
      <c r="F1150" s="8" t="s">
        <v>2831</v>
      </c>
      <c r="G1150" s="8" t="s">
        <v>2584</v>
      </c>
      <c r="H1150" s="3">
        <v>40931.414513888885</v>
      </c>
      <c r="L1150">
        <f t="shared" si="87"/>
        <v>0</v>
      </c>
      <c r="Q1150" t="str">
        <f t="shared" si="88"/>
        <v/>
      </c>
      <c r="R1150" t="str">
        <f t="shared" si="89"/>
        <v/>
      </c>
      <c r="S1150" t="str">
        <f t="shared" si="90"/>
        <v/>
      </c>
    </row>
    <row r="1151" spans="1:19">
      <c r="A1151" t="s">
        <v>3426</v>
      </c>
      <c r="B1151" t="s">
        <v>2700</v>
      </c>
      <c r="C1151" t="s">
        <v>2581</v>
      </c>
      <c r="D1151" s="3">
        <v>40921.485393518517</v>
      </c>
      <c r="E1151" s="8" t="s">
        <v>3427</v>
      </c>
      <c r="F1151" s="8" t="s">
        <v>3428</v>
      </c>
      <c r="G1151" s="8" t="s">
        <v>2567</v>
      </c>
      <c r="H1151" s="3">
        <v>40931.725914351853</v>
      </c>
      <c r="K1151">
        <v>1</v>
      </c>
      <c r="L1151">
        <f t="shared" si="87"/>
        <v>1</v>
      </c>
      <c r="Q1151" t="str">
        <f t="shared" si="88"/>
        <v/>
      </c>
      <c r="R1151" t="str">
        <f t="shared" si="89"/>
        <v/>
      </c>
      <c r="S1151" t="str">
        <f t="shared" si="90"/>
        <v>TC,700117f,e5e5a2e</v>
      </c>
    </row>
    <row r="1152" spans="1:19">
      <c r="A1152" t="s">
        <v>2723</v>
      </c>
      <c r="B1152" t="s">
        <v>3415</v>
      </c>
      <c r="C1152" t="s">
        <v>2581</v>
      </c>
      <c r="D1152" s="3">
        <v>40771.739166666666</v>
      </c>
      <c r="E1152" s="8" t="s">
        <v>2724</v>
      </c>
      <c r="F1152" s="8" t="s">
        <v>2725</v>
      </c>
      <c r="G1152" s="8" t="s">
        <v>3679</v>
      </c>
      <c r="H1152" s="3">
        <v>40933.460312499999</v>
      </c>
      <c r="I1152">
        <v>1</v>
      </c>
      <c r="J1152">
        <v>1</v>
      </c>
      <c r="L1152">
        <f t="shared" si="87"/>
        <v>2</v>
      </c>
      <c r="Q1152" t="str">
        <f t="shared" si="88"/>
        <v>MC,d0bb21a,9f69898</v>
      </c>
      <c r="R1152" t="str">
        <f t="shared" si="89"/>
        <v>BC,d0bb21a,9f69898</v>
      </c>
      <c r="S1152" t="str">
        <f t="shared" si="90"/>
        <v/>
      </c>
    </row>
    <row r="1153" spans="1:19">
      <c r="A1153" t="s">
        <v>3500</v>
      </c>
      <c r="B1153" t="s">
        <v>3557</v>
      </c>
      <c r="C1153" t="s">
        <v>2581</v>
      </c>
      <c r="D1153" s="3">
        <v>40933.460312499999</v>
      </c>
      <c r="E1153" s="8" t="s">
        <v>2725</v>
      </c>
      <c r="F1153" s="8" t="s">
        <v>3501</v>
      </c>
      <c r="G1153" s="8" t="s">
        <v>3679</v>
      </c>
      <c r="H1153" s="3">
        <v>40933.56354166667</v>
      </c>
      <c r="L1153">
        <f t="shared" si="87"/>
        <v>0</v>
      </c>
      <c r="Q1153" t="str">
        <f t="shared" si="88"/>
        <v/>
      </c>
      <c r="R1153" t="str">
        <f t="shared" si="89"/>
        <v/>
      </c>
      <c r="S1153" t="str">
        <f t="shared" si="90"/>
        <v/>
      </c>
    </row>
    <row r="1154" spans="1:19">
      <c r="A1154" t="s">
        <v>3531</v>
      </c>
      <c r="B1154" t="s">
        <v>2865</v>
      </c>
      <c r="C1154" t="s">
        <v>2581</v>
      </c>
      <c r="D1154" s="3">
        <v>40941.763564814813</v>
      </c>
      <c r="E1154" s="8" t="s">
        <v>3532</v>
      </c>
      <c r="F1154" s="8" t="s">
        <v>3533</v>
      </c>
      <c r="G1154" s="8" t="s">
        <v>3679</v>
      </c>
      <c r="H1154" s="3">
        <v>40942.632268518515</v>
      </c>
      <c r="L1154">
        <f t="shared" si="87"/>
        <v>0</v>
      </c>
      <c r="Q1154" t="str">
        <f t="shared" si="88"/>
        <v/>
      </c>
      <c r="R1154" t="str">
        <f t="shared" si="89"/>
        <v/>
      </c>
      <c r="S1154" t="str">
        <f t="shared" si="90"/>
        <v/>
      </c>
    </row>
    <row r="1155" spans="1:19">
      <c r="A1155" t="s">
        <v>2989</v>
      </c>
      <c r="B1155" t="s">
        <v>3033</v>
      </c>
      <c r="C1155" t="s">
        <v>2581</v>
      </c>
      <c r="D1155" s="3">
        <v>40945.434548611112</v>
      </c>
      <c r="E1155" s="8" t="s">
        <v>2990</v>
      </c>
      <c r="F1155" s="8" t="s">
        <v>2991</v>
      </c>
      <c r="G1155" s="8" t="s">
        <v>3679</v>
      </c>
      <c r="H1155" s="3">
        <v>40960.826990740738</v>
      </c>
      <c r="L1155">
        <f t="shared" si="87"/>
        <v>0</v>
      </c>
      <c r="Q1155" t="str">
        <f t="shared" si="88"/>
        <v/>
      </c>
      <c r="R1155" t="str">
        <f t="shared" si="89"/>
        <v/>
      </c>
      <c r="S1155" t="str">
        <f t="shared" si="90"/>
        <v/>
      </c>
    </row>
    <row r="1156" spans="1:19">
      <c r="A1156" t="s">
        <v>3005</v>
      </c>
      <c r="B1156" t="s">
        <v>3130</v>
      </c>
      <c r="C1156" t="s">
        <v>3006</v>
      </c>
      <c r="D1156" s="3">
        <v>40958.733749999999</v>
      </c>
      <c r="E1156" s="8" t="s">
        <v>3007</v>
      </c>
      <c r="F1156" s="8" t="s">
        <v>3008</v>
      </c>
      <c r="G1156" s="8" t="s">
        <v>2567</v>
      </c>
      <c r="H1156" s="3">
        <v>40967.823472222219</v>
      </c>
      <c r="L1156">
        <f t="shared" si="87"/>
        <v>0</v>
      </c>
      <c r="Q1156" t="str">
        <f t="shared" si="88"/>
        <v/>
      </c>
      <c r="R1156" t="str">
        <f t="shared" si="89"/>
        <v/>
      </c>
      <c r="S1156" t="str">
        <f t="shared" si="90"/>
        <v/>
      </c>
    </row>
    <row r="1157" spans="1:19">
      <c r="A1157" t="s">
        <v>2717</v>
      </c>
      <c r="B1157" t="s">
        <v>2723</v>
      </c>
      <c r="C1157" t="s">
        <v>2591</v>
      </c>
      <c r="D1157" s="3">
        <v>40983.528287037036</v>
      </c>
      <c r="E1157" s="8" t="s">
        <v>2718</v>
      </c>
      <c r="F1157" s="8" t="s">
        <v>2719</v>
      </c>
      <c r="G1157" s="8" t="s">
        <v>2581</v>
      </c>
      <c r="H1157" s="3">
        <v>40983.55746527778</v>
      </c>
      <c r="L1157">
        <f t="shared" si="87"/>
        <v>0</v>
      </c>
      <c r="Q1157" t="str">
        <f t="shared" si="88"/>
        <v/>
      </c>
      <c r="R1157" t="str">
        <f t="shared" si="89"/>
        <v/>
      </c>
      <c r="S1157" t="str">
        <f t="shared" si="90"/>
        <v/>
      </c>
    </row>
    <row r="1158" spans="1:19">
      <c r="A1158" t="s">
        <v>2891</v>
      </c>
      <c r="B1158" t="s">
        <v>3195</v>
      </c>
      <c r="C1158" t="s">
        <v>2584</v>
      </c>
      <c r="D1158" s="3">
        <v>40982.435636574075</v>
      </c>
      <c r="E1158" s="8" t="s">
        <v>2892</v>
      </c>
      <c r="F1158" s="8" t="s">
        <v>2719</v>
      </c>
      <c r="G1158" s="8" t="s">
        <v>2581</v>
      </c>
      <c r="H1158" s="3">
        <v>40983.55746527778</v>
      </c>
      <c r="K1158">
        <v>1</v>
      </c>
      <c r="L1158">
        <f t="shared" si="87"/>
        <v>1</v>
      </c>
      <c r="Q1158" t="str">
        <f t="shared" si="88"/>
        <v/>
      </c>
      <c r="R1158" t="str">
        <f t="shared" si="89"/>
        <v/>
      </c>
      <c r="S1158" t="str">
        <f t="shared" si="90"/>
        <v>TC,7c65ab7,ea2c4f0</v>
      </c>
    </row>
    <row r="1159" spans="1:19">
      <c r="A1159" t="s">
        <v>3012</v>
      </c>
      <c r="B1159" t="s">
        <v>2811</v>
      </c>
      <c r="C1159" t="s">
        <v>2584</v>
      </c>
      <c r="D1159" s="3">
        <v>40983.675879629627</v>
      </c>
      <c r="E1159" s="8" t="s">
        <v>3013</v>
      </c>
      <c r="F1159" s="8" t="s">
        <v>3014</v>
      </c>
      <c r="G1159" s="8" t="s">
        <v>2581</v>
      </c>
      <c r="H1159" s="3">
        <v>40990.798483796294</v>
      </c>
      <c r="J1159">
        <v>1</v>
      </c>
      <c r="L1159">
        <f t="shared" si="87"/>
        <v>1</v>
      </c>
      <c r="Q1159" t="str">
        <f t="shared" si="88"/>
        <v/>
      </c>
      <c r="R1159" t="str">
        <f t="shared" si="89"/>
        <v>BC,a871824,d2fae73</v>
      </c>
      <c r="S1159" t="str">
        <f t="shared" si="90"/>
        <v/>
      </c>
    </row>
    <row r="1160" spans="1:19">
      <c r="A1160" s="1" t="s">
        <v>2580</v>
      </c>
      <c r="B1160" t="s">
        <v>2918</v>
      </c>
      <c r="C1160" t="s">
        <v>2581</v>
      </c>
      <c r="D1160" s="3">
        <v>40968.764143518521</v>
      </c>
      <c r="E1160" s="8" t="s">
        <v>2582</v>
      </c>
      <c r="F1160" s="8" t="s">
        <v>2583</v>
      </c>
      <c r="G1160" s="8" t="s">
        <v>2584</v>
      </c>
      <c r="H1160" s="3">
        <v>40994.432222222225</v>
      </c>
      <c r="L1160">
        <f t="shared" si="87"/>
        <v>0</v>
      </c>
      <c r="Q1160" t="str">
        <f t="shared" si="88"/>
        <v/>
      </c>
      <c r="R1160" t="str">
        <f t="shared" si="89"/>
        <v/>
      </c>
      <c r="S1160" t="str">
        <f t="shared" si="90"/>
        <v/>
      </c>
    </row>
    <row r="1161" spans="1:19">
      <c r="A1161" t="s">
        <v>3343</v>
      </c>
      <c r="B1161" t="s">
        <v>3280</v>
      </c>
      <c r="C1161" t="s">
        <v>2584</v>
      </c>
      <c r="D1161" s="3">
        <v>40997.625069444446</v>
      </c>
      <c r="E1161" s="8" t="s">
        <v>3344</v>
      </c>
      <c r="F1161" s="8" t="s">
        <v>3673</v>
      </c>
      <c r="G1161" s="8" t="s">
        <v>2581</v>
      </c>
      <c r="H1161" s="3">
        <v>41001.748553240737</v>
      </c>
      <c r="L1161">
        <f t="shared" si="87"/>
        <v>0</v>
      </c>
      <c r="Q1161" t="str">
        <f t="shared" si="88"/>
        <v/>
      </c>
      <c r="R1161" t="str">
        <f t="shared" si="89"/>
        <v/>
      </c>
      <c r="S1161" t="str">
        <f t="shared" si="90"/>
        <v/>
      </c>
    </row>
    <row r="1162" spans="1:19">
      <c r="A1162" t="s">
        <v>3569</v>
      </c>
      <c r="B1162" t="s">
        <v>3502</v>
      </c>
      <c r="C1162" t="s">
        <v>2584</v>
      </c>
      <c r="D1162" s="3">
        <v>41005.463402777779</v>
      </c>
      <c r="E1162" s="8" t="s">
        <v>3570</v>
      </c>
      <c r="F1162" s="8" t="s">
        <v>3571</v>
      </c>
      <c r="G1162" s="8" t="s">
        <v>2591</v>
      </c>
      <c r="H1162" s="3">
        <v>41006.490972222222</v>
      </c>
      <c r="L1162">
        <f t="shared" si="87"/>
        <v>0</v>
      </c>
      <c r="Q1162" t="str">
        <f t="shared" si="88"/>
        <v/>
      </c>
      <c r="R1162" t="str">
        <f t="shared" si="89"/>
        <v/>
      </c>
      <c r="S1162" t="str">
        <f t="shared" si="90"/>
        <v/>
      </c>
    </row>
    <row r="1163" spans="1:19">
      <c r="A1163" t="s">
        <v>2590</v>
      </c>
      <c r="B1163" t="s">
        <v>3613</v>
      </c>
      <c r="C1163" t="s">
        <v>2591</v>
      </c>
      <c r="D1163" s="3">
        <v>41008.834247685183</v>
      </c>
      <c r="E1163" s="8" t="s">
        <v>2592</v>
      </c>
      <c r="F1163" s="8" t="s">
        <v>2593</v>
      </c>
      <c r="G1163" s="8" t="s">
        <v>2584</v>
      </c>
      <c r="H1163" s="3">
        <v>41010.692430555559</v>
      </c>
      <c r="L1163">
        <f t="shared" si="87"/>
        <v>0</v>
      </c>
      <c r="Q1163" t="str">
        <f t="shared" si="88"/>
        <v/>
      </c>
      <c r="R1163" t="str">
        <f t="shared" si="89"/>
        <v/>
      </c>
      <c r="S1163" t="str">
        <f t="shared" si="90"/>
        <v/>
      </c>
    </row>
    <row r="1164" spans="1:19">
      <c r="A1164" t="s">
        <v>3517</v>
      </c>
      <c r="B1164" t="s">
        <v>2614</v>
      </c>
      <c r="C1164" t="s">
        <v>2581</v>
      </c>
      <c r="D1164" s="3">
        <v>41031.473194444443</v>
      </c>
      <c r="E1164" s="8" t="s">
        <v>3518</v>
      </c>
      <c r="F1164" s="8" t="s">
        <v>3519</v>
      </c>
      <c r="G1164" s="8" t="s">
        <v>2591</v>
      </c>
      <c r="H1164" s="3">
        <v>41040.626296296294</v>
      </c>
      <c r="I1164">
        <v>1</v>
      </c>
      <c r="L1164">
        <f t="shared" si="87"/>
        <v>1</v>
      </c>
      <c r="Q1164" t="str">
        <f t="shared" si="88"/>
        <v>MC,24dbf61,c8ab434</v>
      </c>
      <c r="R1164" t="str">
        <f t="shared" si="89"/>
        <v/>
      </c>
      <c r="S1164" t="str">
        <f t="shared" si="90"/>
        <v/>
      </c>
    </row>
    <row r="1165" spans="1:19">
      <c r="A1165" t="s">
        <v>2956</v>
      </c>
      <c r="B1165" t="s">
        <v>3250</v>
      </c>
      <c r="C1165" t="s">
        <v>2581</v>
      </c>
      <c r="D1165" s="3">
        <v>41033.485567129632</v>
      </c>
      <c r="E1165" s="8" t="s">
        <v>2957</v>
      </c>
      <c r="F1165" s="8" t="s">
        <v>2958</v>
      </c>
      <c r="G1165" s="8" t="s">
        <v>3679</v>
      </c>
      <c r="H1165" s="3">
        <v>41043.605324074073</v>
      </c>
      <c r="L1165">
        <f t="shared" si="87"/>
        <v>0</v>
      </c>
      <c r="Q1165" t="str">
        <f t="shared" si="88"/>
        <v/>
      </c>
      <c r="R1165" t="str">
        <f t="shared" si="89"/>
        <v/>
      </c>
      <c r="S1165" t="str">
        <f t="shared" si="90"/>
        <v/>
      </c>
    </row>
    <row r="1166" spans="1:19">
      <c r="A1166" t="s">
        <v>3270</v>
      </c>
      <c r="B1166" t="s">
        <v>3391</v>
      </c>
      <c r="C1166" t="s">
        <v>2589</v>
      </c>
      <c r="D1166" s="3">
        <v>41052.788842592592</v>
      </c>
      <c r="E1166" s="8" t="s">
        <v>3271</v>
      </c>
      <c r="F1166" s="8" t="s">
        <v>3272</v>
      </c>
      <c r="G1166" s="8" t="s">
        <v>3273</v>
      </c>
      <c r="H1166" s="3">
        <v>41062.046377314815</v>
      </c>
      <c r="L1166">
        <f t="shared" si="87"/>
        <v>0</v>
      </c>
      <c r="Q1166" t="str">
        <f t="shared" si="88"/>
        <v/>
      </c>
      <c r="R1166" t="str">
        <f t="shared" si="89"/>
        <v/>
      </c>
      <c r="S1166" t="str">
        <f t="shared" si="90"/>
        <v/>
      </c>
    </row>
    <row r="1167" spans="1:19">
      <c r="A1167" t="s">
        <v>3152</v>
      </c>
      <c r="B1167" t="s">
        <v>3649</v>
      </c>
      <c r="C1167" t="s">
        <v>3153</v>
      </c>
      <c r="D1167" s="3">
        <v>41045.674930555557</v>
      </c>
      <c r="E1167" s="8" t="s">
        <v>3154</v>
      </c>
      <c r="F1167" s="8" t="s">
        <v>2587</v>
      </c>
      <c r="G1167" s="8" t="s">
        <v>2586</v>
      </c>
      <c r="H1167" s="3">
        <v>41066.571504629632</v>
      </c>
      <c r="L1167">
        <f t="shared" si="87"/>
        <v>0</v>
      </c>
      <c r="Q1167" t="str">
        <f t="shared" si="88"/>
        <v/>
      </c>
      <c r="R1167" t="str">
        <f t="shared" si="89"/>
        <v/>
      </c>
      <c r="S1167" t="str">
        <f t="shared" si="90"/>
        <v/>
      </c>
    </row>
    <row r="1168" spans="1:19">
      <c r="A1168" t="s">
        <v>3294</v>
      </c>
      <c r="B1168" t="s">
        <v>2676</v>
      </c>
      <c r="C1168" t="s">
        <v>2586</v>
      </c>
      <c r="D1168" s="3">
        <v>41066.571504629632</v>
      </c>
      <c r="E1168" s="8" t="s">
        <v>2587</v>
      </c>
      <c r="F1168" s="8" t="s">
        <v>3295</v>
      </c>
      <c r="G1168" s="8" t="s">
        <v>2589</v>
      </c>
      <c r="H1168" s="3">
        <v>41066.610243055555</v>
      </c>
      <c r="L1168">
        <f t="shared" si="87"/>
        <v>0</v>
      </c>
      <c r="Q1168" t="str">
        <f t="shared" si="88"/>
        <v/>
      </c>
      <c r="R1168" t="str">
        <f t="shared" si="89"/>
        <v/>
      </c>
      <c r="S1168" t="str">
        <f t="shared" si="90"/>
        <v/>
      </c>
    </row>
    <row r="1169" spans="1:19">
      <c r="A1169" t="s">
        <v>2585</v>
      </c>
      <c r="B1169" t="s">
        <v>2739</v>
      </c>
      <c r="C1169" t="s">
        <v>2586</v>
      </c>
      <c r="D1169" s="3">
        <v>41066.571504629632</v>
      </c>
      <c r="E1169" s="8" t="s">
        <v>2587</v>
      </c>
      <c r="F1169" s="8" t="s">
        <v>2588</v>
      </c>
      <c r="G1169" s="8" t="s">
        <v>2589</v>
      </c>
      <c r="H1169" s="3">
        <v>41067.676539351851</v>
      </c>
      <c r="L1169">
        <f t="shared" si="87"/>
        <v>0</v>
      </c>
      <c r="Q1169" t="str">
        <f t="shared" si="88"/>
        <v/>
      </c>
      <c r="R1169" t="str">
        <f t="shared" si="89"/>
        <v/>
      </c>
      <c r="S1169" t="str">
        <f t="shared" si="90"/>
        <v/>
      </c>
    </row>
    <row r="1170" spans="1:19">
      <c r="A1170" t="s">
        <v>2711</v>
      </c>
      <c r="B1170" t="s">
        <v>3024</v>
      </c>
      <c r="C1170" t="s">
        <v>2589</v>
      </c>
      <c r="D1170" s="3">
        <v>41066.624849537038</v>
      </c>
      <c r="E1170" s="8" t="s">
        <v>2712</v>
      </c>
      <c r="F1170" s="8" t="s">
        <v>2713</v>
      </c>
      <c r="G1170" s="8" t="s">
        <v>3686</v>
      </c>
      <c r="H1170" s="3">
        <v>41067.682858796295</v>
      </c>
      <c r="K1170">
        <v>1</v>
      </c>
      <c r="L1170">
        <f t="shared" si="87"/>
        <v>1</v>
      </c>
      <c r="Q1170" t="str">
        <f t="shared" si="88"/>
        <v/>
      </c>
      <c r="R1170" t="str">
        <f t="shared" si="89"/>
        <v/>
      </c>
      <c r="S1170" t="str">
        <f t="shared" si="90"/>
        <v>TC,c709be8,b3e7212</v>
      </c>
    </row>
    <row r="1171" spans="1:19">
      <c r="A1171" t="s">
        <v>3009</v>
      </c>
      <c r="B1171" t="s">
        <v>3511</v>
      </c>
      <c r="C1171" t="s">
        <v>2584</v>
      </c>
      <c r="D1171" s="3">
        <v>41066.560914351852</v>
      </c>
      <c r="E1171" s="8" t="s">
        <v>3010</v>
      </c>
      <c r="F1171" s="8" t="s">
        <v>3011</v>
      </c>
      <c r="G1171" s="8" t="s">
        <v>2589</v>
      </c>
      <c r="H1171" s="3">
        <v>41067.941574074073</v>
      </c>
      <c r="K1171">
        <v>1</v>
      </c>
      <c r="L1171">
        <f t="shared" si="87"/>
        <v>1</v>
      </c>
      <c r="Q1171" t="str">
        <f t="shared" si="88"/>
        <v/>
      </c>
      <c r="R1171" t="str">
        <f t="shared" si="89"/>
        <v/>
      </c>
      <c r="S1171" t="str">
        <f t="shared" si="90"/>
        <v>TC,20dfa29,8b0a7c2</v>
      </c>
    </row>
    <row r="1172" spans="1:19">
      <c r="A1172" t="s">
        <v>3173</v>
      </c>
      <c r="B1172" t="s">
        <v>3189</v>
      </c>
      <c r="C1172" t="s">
        <v>2589</v>
      </c>
      <c r="D1172" s="3">
        <v>41067.683622685188</v>
      </c>
      <c r="E1172" s="8" t="s">
        <v>3174</v>
      </c>
      <c r="F1172" s="8" t="s">
        <v>3175</v>
      </c>
      <c r="G1172" s="8" t="s">
        <v>3686</v>
      </c>
      <c r="H1172" s="3">
        <v>41067.941574074073</v>
      </c>
      <c r="L1172">
        <f t="shared" si="87"/>
        <v>0</v>
      </c>
      <c r="Q1172" t="str">
        <f t="shared" si="88"/>
        <v/>
      </c>
      <c r="R1172" t="str">
        <f t="shared" si="89"/>
        <v/>
      </c>
      <c r="S1172" t="str">
        <f t="shared" si="90"/>
        <v/>
      </c>
    </row>
    <row r="1173" spans="1:19">
      <c r="A1173" t="s">
        <v>3583</v>
      </c>
      <c r="B1173" t="s">
        <v>3543</v>
      </c>
      <c r="C1173" t="s">
        <v>3584</v>
      </c>
      <c r="D1173" s="3">
        <v>41072.627881944441</v>
      </c>
      <c r="E1173" s="8" t="s">
        <v>3585</v>
      </c>
      <c r="F1173" s="8" t="s">
        <v>3586</v>
      </c>
      <c r="G1173" s="8" t="s">
        <v>2589</v>
      </c>
      <c r="H1173" s="3">
        <v>41073.412326388891</v>
      </c>
      <c r="K1173">
        <v>1</v>
      </c>
      <c r="L1173">
        <f t="shared" si="87"/>
        <v>1</v>
      </c>
      <c r="Q1173" t="str">
        <f t="shared" si="88"/>
        <v/>
      </c>
      <c r="R1173" t="str">
        <f t="shared" si="89"/>
        <v/>
      </c>
      <c r="S1173" t="str">
        <f t="shared" si="90"/>
        <v>TC,fbae492,f23e641</v>
      </c>
    </row>
  </sheetData>
  <sortState ref="A794:S1173">
    <sortCondition ref="H794:H1173"/>
  </sortState>
  <conditionalFormatting sqref="G2:G74 G81:G101 G76:G79">
    <cfRule type="cellIs" dxfId="171" priority="123" operator="lessThan">
      <formula>0</formula>
    </cfRule>
  </conditionalFormatting>
  <conditionalFormatting sqref="A2:A103">
    <cfRule type="duplicateValues" dxfId="170" priority="135"/>
  </conditionalFormatting>
  <conditionalFormatting sqref="A2:A101">
    <cfRule type="duplicateValues" dxfId="169" priority="138"/>
  </conditionalFormatting>
  <conditionalFormatting sqref="A2:A101">
    <cfRule type="duplicateValues" dxfId="168" priority="144"/>
  </conditionalFormatting>
  <conditionalFormatting sqref="I2:K506">
    <cfRule type="cellIs" dxfId="167" priority="118" operator="equal">
      <formula>1</formula>
    </cfRule>
  </conditionalFormatting>
  <conditionalFormatting sqref="C75">
    <cfRule type="cellIs" dxfId="166" priority="117" operator="lessThan">
      <formula>0</formula>
    </cfRule>
  </conditionalFormatting>
  <conditionalFormatting sqref="G103">
    <cfRule type="cellIs" dxfId="165" priority="116" operator="lessThan">
      <formula>0</formula>
    </cfRule>
  </conditionalFormatting>
  <conditionalFormatting sqref="G114">
    <cfRule type="cellIs" dxfId="164" priority="115" operator="lessThan">
      <formula>0</formula>
    </cfRule>
  </conditionalFormatting>
  <conditionalFormatting sqref="G116">
    <cfRule type="cellIs" dxfId="163" priority="114" operator="lessThan">
      <formula>0</formula>
    </cfRule>
  </conditionalFormatting>
  <conditionalFormatting sqref="G119">
    <cfRule type="cellIs" dxfId="162" priority="113" operator="lessThan">
      <formula>0</formula>
    </cfRule>
  </conditionalFormatting>
  <conditionalFormatting sqref="G120">
    <cfRule type="cellIs" dxfId="161" priority="112" operator="lessThan">
      <formula>0</formula>
    </cfRule>
  </conditionalFormatting>
  <conditionalFormatting sqref="G122">
    <cfRule type="cellIs" dxfId="160" priority="111" operator="lessThan">
      <formula>0</formula>
    </cfRule>
  </conditionalFormatting>
  <conditionalFormatting sqref="G137">
    <cfRule type="cellIs" dxfId="159" priority="110" operator="lessThan">
      <formula>0</formula>
    </cfRule>
  </conditionalFormatting>
  <conditionalFormatting sqref="G139">
    <cfRule type="cellIs" dxfId="158" priority="109" operator="lessThan">
      <formula>0</formula>
    </cfRule>
  </conditionalFormatting>
  <conditionalFormatting sqref="G144">
    <cfRule type="cellIs" dxfId="157" priority="108" operator="lessThan">
      <formula>0</formula>
    </cfRule>
  </conditionalFormatting>
  <conditionalFormatting sqref="G156">
    <cfRule type="cellIs" dxfId="156" priority="107" operator="lessThan">
      <formula>0</formula>
    </cfRule>
  </conditionalFormatting>
  <conditionalFormatting sqref="G163">
    <cfRule type="cellIs" dxfId="155" priority="106" operator="lessThan">
      <formula>0</formula>
    </cfRule>
  </conditionalFormatting>
  <conditionalFormatting sqref="G166">
    <cfRule type="cellIs" dxfId="154" priority="105" operator="lessThan">
      <formula>0</formula>
    </cfRule>
  </conditionalFormatting>
  <conditionalFormatting sqref="G168">
    <cfRule type="cellIs" dxfId="153" priority="104" operator="lessThan">
      <formula>0</formula>
    </cfRule>
  </conditionalFormatting>
  <conditionalFormatting sqref="G173">
    <cfRule type="cellIs" dxfId="152" priority="103" operator="lessThan">
      <formula>0</formula>
    </cfRule>
  </conditionalFormatting>
  <conditionalFormatting sqref="G185">
    <cfRule type="cellIs" dxfId="151" priority="102" operator="lessThan">
      <formula>0</formula>
    </cfRule>
  </conditionalFormatting>
  <conditionalFormatting sqref="G190">
    <cfRule type="cellIs" dxfId="150" priority="101" operator="lessThan">
      <formula>0</formula>
    </cfRule>
  </conditionalFormatting>
  <conditionalFormatting sqref="G192">
    <cfRule type="cellIs" dxfId="149" priority="100" operator="lessThan">
      <formula>0</formula>
    </cfRule>
  </conditionalFormatting>
  <conditionalFormatting sqref="G197">
    <cfRule type="cellIs" dxfId="148" priority="99" operator="lessThan">
      <formula>0</formula>
    </cfRule>
  </conditionalFormatting>
  <conditionalFormatting sqref="G203">
    <cfRule type="cellIs" dxfId="147" priority="98" operator="lessThan">
      <formula>0</formula>
    </cfRule>
  </conditionalFormatting>
  <conditionalFormatting sqref="G204">
    <cfRule type="cellIs" dxfId="146" priority="97" operator="lessThan">
      <formula>0</formula>
    </cfRule>
  </conditionalFormatting>
  <conditionalFormatting sqref="G205">
    <cfRule type="cellIs" dxfId="145" priority="96" operator="lessThan">
      <formula>0</formula>
    </cfRule>
  </conditionalFormatting>
  <conditionalFormatting sqref="G210">
    <cfRule type="cellIs" dxfId="144" priority="95" operator="lessThan">
      <formula>0</formula>
    </cfRule>
  </conditionalFormatting>
  <conditionalFormatting sqref="G215">
    <cfRule type="cellIs" dxfId="143" priority="94" operator="lessThan">
      <formula>0</formula>
    </cfRule>
  </conditionalFormatting>
  <conditionalFormatting sqref="G218">
    <cfRule type="cellIs" dxfId="142" priority="93" operator="lessThan">
      <formula>0</formula>
    </cfRule>
  </conditionalFormatting>
  <conditionalFormatting sqref="G221">
    <cfRule type="cellIs" dxfId="141" priority="92" operator="lessThan">
      <formula>0</formula>
    </cfRule>
  </conditionalFormatting>
  <conditionalFormatting sqref="G226">
    <cfRule type="cellIs" dxfId="140" priority="91" operator="lessThan">
      <formula>0</formula>
    </cfRule>
  </conditionalFormatting>
  <conditionalFormatting sqref="G228">
    <cfRule type="cellIs" dxfId="139" priority="90" operator="lessThan">
      <formula>0</formula>
    </cfRule>
  </conditionalFormatting>
  <conditionalFormatting sqref="G236">
    <cfRule type="cellIs" dxfId="138" priority="89" operator="lessThan">
      <formula>0</formula>
    </cfRule>
  </conditionalFormatting>
  <conditionalFormatting sqref="G239">
    <cfRule type="cellIs" dxfId="137" priority="88" operator="lessThan">
      <formula>0</formula>
    </cfRule>
  </conditionalFormatting>
  <conditionalFormatting sqref="G241">
    <cfRule type="cellIs" dxfId="136" priority="87" operator="lessThan">
      <formula>0</formula>
    </cfRule>
  </conditionalFormatting>
  <conditionalFormatting sqref="G242">
    <cfRule type="cellIs" dxfId="135" priority="86" operator="lessThan">
      <formula>0</formula>
    </cfRule>
  </conditionalFormatting>
  <conditionalFormatting sqref="G243">
    <cfRule type="cellIs" dxfId="134" priority="85" operator="lessThan">
      <formula>0</formula>
    </cfRule>
  </conditionalFormatting>
  <conditionalFormatting sqref="G250">
    <cfRule type="cellIs" dxfId="133" priority="84" operator="lessThan">
      <formula>0</formula>
    </cfRule>
  </conditionalFormatting>
  <conditionalFormatting sqref="G263">
    <cfRule type="cellIs" dxfId="132" priority="83" operator="lessThan">
      <formula>0</formula>
    </cfRule>
  </conditionalFormatting>
  <conditionalFormatting sqref="G270">
    <cfRule type="cellIs" dxfId="131" priority="82" operator="lessThan">
      <formula>0</formula>
    </cfRule>
  </conditionalFormatting>
  <conditionalFormatting sqref="G275">
    <cfRule type="cellIs" dxfId="130" priority="81" operator="lessThan">
      <formula>0</formula>
    </cfRule>
  </conditionalFormatting>
  <conditionalFormatting sqref="G292">
    <cfRule type="cellIs" dxfId="129" priority="80" operator="lessThan">
      <formula>0</formula>
    </cfRule>
  </conditionalFormatting>
  <conditionalFormatting sqref="G293">
    <cfRule type="cellIs" dxfId="128" priority="79" operator="lessThan">
      <formula>0</formula>
    </cfRule>
  </conditionalFormatting>
  <conditionalFormatting sqref="G297">
    <cfRule type="cellIs" dxfId="127" priority="78" operator="lessThan">
      <formula>0</formula>
    </cfRule>
  </conditionalFormatting>
  <conditionalFormatting sqref="G298">
    <cfRule type="cellIs" dxfId="126" priority="77" operator="lessThan">
      <formula>0</formula>
    </cfRule>
  </conditionalFormatting>
  <conditionalFormatting sqref="G302">
    <cfRule type="cellIs" dxfId="125" priority="76" operator="lessThan">
      <formula>0</formula>
    </cfRule>
  </conditionalFormatting>
  <conditionalFormatting sqref="G303">
    <cfRule type="cellIs" dxfId="124" priority="75" operator="lessThan">
      <formula>0</formula>
    </cfRule>
  </conditionalFormatting>
  <conditionalFormatting sqref="G305">
    <cfRule type="cellIs" dxfId="123" priority="74" operator="lessThan">
      <formula>0</formula>
    </cfRule>
  </conditionalFormatting>
  <conditionalFormatting sqref="G324">
    <cfRule type="cellIs" dxfId="122" priority="73" operator="lessThan">
      <formula>0</formula>
    </cfRule>
  </conditionalFormatting>
  <conditionalFormatting sqref="G328">
    <cfRule type="cellIs" dxfId="121" priority="72" operator="lessThan">
      <formula>0</formula>
    </cfRule>
  </conditionalFormatting>
  <conditionalFormatting sqref="G329">
    <cfRule type="cellIs" dxfId="120" priority="71" operator="lessThan">
      <formula>0</formula>
    </cfRule>
  </conditionalFormatting>
  <conditionalFormatting sqref="G331">
    <cfRule type="cellIs" dxfId="119" priority="70" operator="lessThan">
      <formula>0</formula>
    </cfRule>
  </conditionalFormatting>
  <conditionalFormatting sqref="G332">
    <cfRule type="cellIs" dxfId="118" priority="69" operator="lessThan">
      <formula>0</formula>
    </cfRule>
  </conditionalFormatting>
  <conditionalFormatting sqref="G339">
    <cfRule type="cellIs" dxfId="117" priority="68" operator="lessThan">
      <formula>0</formula>
    </cfRule>
  </conditionalFormatting>
  <conditionalFormatting sqref="G341">
    <cfRule type="cellIs" dxfId="116" priority="67" operator="lessThan">
      <formula>0</formula>
    </cfRule>
  </conditionalFormatting>
  <conditionalFormatting sqref="G342">
    <cfRule type="cellIs" dxfId="115" priority="66" operator="lessThan">
      <formula>0</formula>
    </cfRule>
  </conditionalFormatting>
  <conditionalFormatting sqref="G350">
    <cfRule type="cellIs" dxfId="114" priority="65" operator="lessThan">
      <formula>0</formula>
    </cfRule>
  </conditionalFormatting>
  <conditionalFormatting sqref="G370">
    <cfRule type="cellIs" dxfId="113" priority="64" operator="lessThan">
      <formula>0</formula>
    </cfRule>
  </conditionalFormatting>
  <conditionalFormatting sqref="G372">
    <cfRule type="cellIs" dxfId="112" priority="63" operator="lessThan">
      <formula>0</formula>
    </cfRule>
  </conditionalFormatting>
  <conditionalFormatting sqref="G373">
    <cfRule type="cellIs" dxfId="111" priority="62" operator="lessThan">
      <formula>0</formula>
    </cfRule>
  </conditionalFormatting>
  <conditionalFormatting sqref="G379">
    <cfRule type="cellIs" dxfId="110" priority="61" operator="lessThan">
      <formula>0</formula>
    </cfRule>
  </conditionalFormatting>
  <conditionalFormatting sqref="G384">
    <cfRule type="cellIs" dxfId="109" priority="60" operator="lessThan">
      <formula>0</formula>
    </cfRule>
  </conditionalFormatting>
  <conditionalFormatting sqref="G386">
    <cfRule type="cellIs" dxfId="108" priority="59" operator="lessThan">
      <formula>0</formula>
    </cfRule>
  </conditionalFormatting>
  <conditionalFormatting sqref="G394">
    <cfRule type="cellIs" dxfId="107" priority="58" operator="lessThan">
      <formula>0</formula>
    </cfRule>
  </conditionalFormatting>
  <conditionalFormatting sqref="G396">
    <cfRule type="cellIs" dxfId="106" priority="57" operator="lessThan">
      <formula>0</formula>
    </cfRule>
  </conditionalFormatting>
  <conditionalFormatting sqref="G398">
    <cfRule type="cellIs" dxfId="105" priority="56" operator="lessThan">
      <formula>0</formula>
    </cfRule>
  </conditionalFormatting>
  <conditionalFormatting sqref="G401">
    <cfRule type="cellIs" dxfId="104" priority="55" operator="lessThan">
      <formula>0</formula>
    </cfRule>
  </conditionalFormatting>
  <conditionalFormatting sqref="G402">
    <cfRule type="cellIs" dxfId="103" priority="54" operator="lessThan">
      <formula>0</formula>
    </cfRule>
  </conditionalFormatting>
  <conditionalFormatting sqref="G406">
    <cfRule type="cellIs" dxfId="102" priority="53" operator="lessThan">
      <formula>0</formula>
    </cfRule>
  </conditionalFormatting>
  <conditionalFormatting sqref="G421">
    <cfRule type="cellIs" dxfId="101" priority="52" operator="lessThan">
      <formula>0</formula>
    </cfRule>
  </conditionalFormatting>
  <conditionalFormatting sqref="G422">
    <cfRule type="cellIs" dxfId="100" priority="51" operator="lessThan">
      <formula>0</formula>
    </cfRule>
  </conditionalFormatting>
  <conditionalFormatting sqref="G423">
    <cfRule type="cellIs" dxfId="99" priority="50" operator="lessThan">
      <formula>0</formula>
    </cfRule>
  </conditionalFormatting>
  <conditionalFormatting sqref="G426">
    <cfRule type="cellIs" dxfId="98" priority="49" operator="lessThan">
      <formula>0</formula>
    </cfRule>
  </conditionalFormatting>
  <conditionalFormatting sqref="G428">
    <cfRule type="cellIs" dxfId="97" priority="48" operator="lessThan">
      <formula>0</formula>
    </cfRule>
  </conditionalFormatting>
  <conditionalFormatting sqref="G439">
    <cfRule type="cellIs" dxfId="96" priority="47" operator="lessThan">
      <formula>0</formula>
    </cfRule>
  </conditionalFormatting>
  <conditionalFormatting sqref="G452">
    <cfRule type="cellIs" dxfId="95" priority="46" operator="lessThan">
      <formula>0</formula>
    </cfRule>
  </conditionalFormatting>
  <conditionalFormatting sqref="G453">
    <cfRule type="cellIs" dxfId="94" priority="45" operator="lessThan">
      <formula>0</formula>
    </cfRule>
  </conditionalFormatting>
  <conditionalFormatting sqref="G454">
    <cfRule type="cellIs" dxfId="93" priority="44" operator="lessThan">
      <formula>0</formula>
    </cfRule>
  </conditionalFormatting>
  <conditionalFormatting sqref="G460">
    <cfRule type="cellIs" dxfId="92" priority="43" operator="lessThan">
      <formula>0</formula>
    </cfRule>
  </conditionalFormatting>
  <conditionalFormatting sqref="G466">
    <cfRule type="cellIs" dxfId="91" priority="42" operator="lessThan">
      <formula>0</formula>
    </cfRule>
  </conditionalFormatting>
  <conditionalFormatting sqref="G499">
    <cfRule type="cellIs" dxfId="90" priority="41" operator="lessThan">
      <formula>0</formula>
    </cfRule>
  </conditionalFormatting>
  <conditionalFormatting sqref="G501">
    <cfRule type="cellIs" dxfId="89" priority="40" operator="lessThan">
      <formula>0</formula>
    </cfRule>
  </conditionalFormatting>
  <conditionalFormatting sqref="G505">
    <cfRule type="cellIs" dxfId="88" priority="39" operator="lessThan">
      <formula>0</formula>
    </cfRule>
  </conditionalFormatting>
  <conditionalFormatting sqref="I512:K599">
    <cfRule type="cellIs" dxfId="87" priority="38" operator="equal">
      <formula>1</formula>
    </cfRule>
  </conditionalFormatting>
  <conditionalFormatting sqref="A2:B506">
    <cfRule type="duplicateValues" dxfId="86" priority="37"/>
  </conditionalFormatting>
  <conditionalFormatting sqref="A512:B599">
    <cfRule type="duplicateValues" dxfId="85" priority="35"/>
  </conditionalFormatting>
  <conditionalFormatting sqref="H2:H506">
    <cfRule type="cellIs" dxfId="84" priority="20" operator="between">
      <formula>$W$17</formula>
      <formula>$X$17</formula>
    </cfRule>
    <cfRule type="cellIs" dxfId="83" priority="21" operator="between">
      <formula>$W$18</formula>
      <formula>$X$18</formula>
    </cfRule>
  </conditionalFormatting>
  <conditionalFormatting sqref="A605:B789">
    <cfRule type="duplicateValues" dxfId="82" priority="19"/>
  </conditionalFormatting>
  <conditionalFormatting sqref="J789:K789">
    <cfRule type="cellIs" dxfId="81" priority="12" operator="equal">
      <formula>0</formula>
    </cfRule>
  </conditionalFormatting>
  <conditionalFormatting sqref="K789">
    <cfRule type="cellIs" dxfId="80" priority="11" operator="equal">
      <formula>0</formula>
    </cfRule>
  </conditionalFormatting>
  <conditionalFormatting sqref="J680:K680">
    <cfRule type="cellIs" dxfId="79" priority="10" operator="equal">
      <formula>0</formula>
    </cfRule>
  </conditionalFormatting>
  <conditionalFormatting sqref="J696:K696 J703:K710 J697:J702 J712:K715 J711 J718:K720 J716:J717 J722:K722 J721 J724:K728 J723 J730:K734 J729 J745:K745 J735:J744 J760:K780 J746:J759 J781:J788">
    <cfRule type="containsText" dxfId="78" priority="9" operator="containsText" text="ext/IPC/SysV">
      <formula>NOT(ISERROR(SEARCH("ext/IPC/SysV",J696)))</formula>
    </cfRule>
  </conditionalFormatting>
  <conditionalFormatting sqref="J696:K696 J703:K710 J697:J702 J712:K715 J711 J718:K720 J716:J717 J722:K722 J721 J724:K728 J723 J730:K734 J729 J745:K745 J735:J744 J760:K780 J746:J759 J781:J788">
    <cfRule type="containsText" dxfId="77" priority="8" operator="containsText" text="SysV">
      <formula>NOT(ISERROR(SEARCH("SysV",J696)))</formula>
    </cfRule>
  </conditionalFormatting>
  <conditionalFormatting sqref="J679:K694 J696:K696 J695 J703:K710 J697:J702 J712:K715 J711 J718:K720 J716:J717 J722:K722 J721 J724:K728 J723 J730:K734 J729 J745:K745 J735:J744 J760:K780 J746:J759 J789:K789 J781:J788">
    <cfRule type="cellIs" dxfId="76" priority="7" operator="equal">
      <formula>0</formula>
    </cfRule>
  </conditionalFormatting>
  <conditionalFormatting sqref="A794:B1173">
    <cfRule type="duplicateValues" dxfId="75" priority="6"/>
  </conditionalFormatting>
  <conditionalFormatting sqref="J794:K1173">
    <cfRule type="cellIs" dxfId="74" priority="5" operator="equal">
      <formula>0</formula>
    </cfRule>
  </conditionalFormatting>
  <conditionalFormatting sqref="H605:H789">
    <cfRule type="cellIs" dxfId="73" priority="3" operator="between">
      <formula>$V$607</formula>
      <formula>$W$607</formula>
    </cfRule>
    <cfRule type="cellIs" dxfId="72" priority="4" operator="between">
      <formula>$V$606</formula>
      <formula>$W$606</formula>
    </cfRule>
  </conditionalFormatting>
  <conditionalFormatting sqref="H794:H1173">
    <cfRule type="cellIs" dxfId="71" priority="1" operator="between">
      <formula>$V$796</formula>
      <formula>$W$796</formula>
    </cfRule>
    <cfRule type="cellIs" dxfId="70" priority="2" operator="between">
      <formula>$V$795</formula>
      <formula>$W$795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379"/>
  <sheetViews>
    <sheetView workbookViewId="0">
      <selection activeCell="B13" sqref="B13:C179"/>
    </sheetView>
  </sheetViews>
  <sheetFormatPr baseColWidth="10" defaultRowHeight="15" x14ac:dyDescent="0"/>
  <cols>
    <col min="1" max="8" width="17.1640625" style="4" customWidth="1"/>
    <col min="9" max="9" width="10.83203125" style="4"/>
    <col min="10" max="10" width="16.1640625" bestFit="1" customWidth="1"/>
    <col min="12" max="12" width="17.1640625" bestFit="1" customWidth="1"/>
  </cols>
  <sheetData>
    <row r="2" spans="1:10">
      <c r="I2" s="4">
        <v>1</v>
      </c>
      <c r="J2" t="s">
        <v>1901</v>
      </c>
    </row>
    <row r="3" spans="1:10">
      <c r="I3" s="4">
        <v>2</v>
      </c>
      <c r="J3" t="s">
        <v>1902</v>
      </c>
    </row>
    <row r="4" spans="1:10">
      <c r="I4" s="4">
        <v>3</v>
      </c>
      <c r="J4" t="s">
        <v>1903</v>
      </c>
    </row>
    <row r="5" spans="1:10">
      <c r="I5" s="4">
        <v>4</v>
      </c>
      <c r="J5" t="s">
        <v>1904</v>
      </c>
    </row>
    <row r="6" spans="1:10">
      <c r="I6" s="4">
        <v>5</v>
      </c>
      <c r="J6" t="s">
        <v>1906</v>
      </c>
    </row>
    <row r="7" spans="1:10">
      <c r="I7" s="4">
        <v>6</v>
      </c>
      <c r="J7" t="s">
        <v>1905</v>
      </c>
    </row>
    <row r="8" spans="1:10">
      <c r="I8" s="4">
        <v>7</v>
      </c>
      <c r="J8" t="s">
        <v>1907</v>
      </c>
    </row>
    <row r="9" spans="1:10">
      <c r="I9" s="4">
        <v>8</v>
      </c>
      <c r="J9" t="s">
        <v>1908</v>
      </c>
    </row>
    <row r="10" spans="1:10">
      <c r="A10" s="49"/>
      <c r="B10" s="49"/>
      <c r="I10" s="4">
        <v>9</v>
      </c>
      <c r="J10" t="s">
        <v>1909</v>
      </c>
    </row>
    <row r="11" spans="1:10">
      <c r="E11"/>
      <c r="F11"/>
      <c r="I11" s="4">
        <v>10</v>
      </c>
      <c r="J11" t="s">
        <v>1910</v>
      </c>
    </row>
    <row r="12" spans="1:10">
      <c r="E12"/>
      <c r="F12"/>
    </row>
    <row r="13" spans="1:10">
      <c r="A13" s="51" t="s">
        <v>2738</v>
      </c>
      <c r="B13" s="50">
        <v>40183.393055555556</v>
      </c>
      <c r="C13" s="58" t="s">
        <v>3631</v>
      </c>
      <c r="D13" s="66">
        <v>1</v>
      </c>
    </row>
    <row r="14" spans="1:10">
      <c r="A14" s="58" t="s">
        <v>2570</v>
      </c>
      <c r="B14" s="50">
        <v>40183.422222222223</v>
      </c>
      <c r="C14" s="58" t="s">
        <v>3632</v>
      </c>
      <c r="D14" s="4">
        <v>2</v>
      </c>
    </row>
    <row r="15" spans="1:10">
      <c r="A15" s="51" t="s">
        <v>2567</v>
      </c>
      <c r="B15" s="50">
        <v>40182.720138888886</v>
      </c>
      <c r="C15" s="58" t="s">
        <v>3131</v>
      </c>
      <c r="D15" s="66">
        <v>3</v>
      </c>
    </row>
    <row r="16" spans="1:10">
      <c r="A16" s="58" t="s">
        <v>2570</v>
      </c>
      <c r="B16" s="50">
        <v>40183.456944444442</v>
      </c>
      <c r="C16" s="58" t="s">
        <v>3132</v>
      </c>
      <c r="D16" s="4">
        <v>4</v>
      </c>
    </row>
    <row r="17" spans="1:4">
      <c r="A17" s="51" t="s">
        <v>2567</v>
      </c>
      <c r="B17" s="50">
        <v>40183.463194444441</v>
      </c>
      <c r="C17" s="58" t="s">
        <v>3374</v>
      </c>
      <c r="D17" s="66">
        <v>5</v>
      </c>
    </row>
    <row r="18" spans="1:4">
      <c r="A18" s="58" t="s">
        <v>2570</v>
      </c>
      <c r="B18" s="50">
        <v>40183.51458333333</v>
      </c>
      <c r="C18" s="58" t="s">
        <v>3375</v>
      </c>
      <c r="D18" s="4">
        <v>6</v>
      </c>
    </row>
    <row r="19" spans="1:4">
      <c r="A19" s="51" t="s">
        <v>2653</v>
      </c>
      <c r="B19" s="50">
        <v>40179.454861111109</v>
      </c>
      <c r="C19" s="58" t="s">
        <v>3467</v>
      </c>
      <c r="D19" s="66">
        <v>7</v>
      </c>
    </row>
    <row r="20" spans="1:4">
      <c r="A20" s="58" t="s">
        <v>2570</v>
      </c>
      <c r="B20" s="50">
        <v>40183.524305555555</v>
      </c>
      <c r="C20" s="58" t="s">
        <v>3468</v>
      </c>
      <c r="D20" s="4">
        <v>8</v>
      </c>
    </row>
    <row r="21" spans="1:4">
      <c r="A21" s="51" t="s">
        <v>2567</v>
      </c>
      <c r="B21" s="50">
        <v>40183.552083333336</v>
      </c>
      <c r="C21" s="58" t="s">
        <v>3335</v>
      </c>
      <c r="D21" s="66">
        <v>9</v>
      </c>
    </row>
    <row r="22" spans="1:4">
      <c r="A22" s="58" t="s">
        <v>2570</v>
      </c>
      <c r="B22" s="50">
        <v>40183.574305555558</v>
      </c>
      <c r="C22" s="58" t="s">
        <v>3336</v>
      </c>
      <c r="D22" s="4">
        <v>10</v>
      </c>
    </row>
    <row r="23" spans="1:4">
      <c r="A23" s="51" t="s">
        <v>2567</v>
      </c>
      <c r="B23" s="50">
        <v>40183.571527777778</v>
      </c>
      <c r="C23" s="58" t="s">
        <v>2841</v>
      </c>
      <c r="D23" s="66">
        <v>11</v>
      </c>
    </row>
    <row r="24" spans="1:4">
      <c r="A24" s="58" t="s">
        <v>2570</v>
      </c>
      <c r="B24" s="50">
        <v>40183.604166666664</v>
      </c>
      <c r="C24" s="58" t="s">
        <v>2842</v>
      </c>
      <c r="D24" s="4">
        <v>12</v>
      </c>
    </row>
    <row r="25" spans="1:4">
      <c r="A25" s="51" t="s">
        <v>2567</v>
      </c>
      <c r="B25" s="50">
        <v>40183.602083333331</v>
      </c>
      <c r="C25" s="58" t="s">
        <v>3418</v>
      </c>
      <c r="D25" s="66">
        <v>13</v>
      </c>
    </row>
    <row r="26" spans="1:4">
      <c r="A26" s="58" t="s">
        <v>2570</v>
      </c>
      <c r="B26" s="50">
        <v>40183.637499999997</v>
      </c>
      <c r="C26" s="58" t="s">
        <v>3419</v>
      </c>
      <c r="D26" s="4">
        <v>14</v>
      </c>
    </row>
    <row r="27" spans="1:4">
      <c r="A27" s="51" t="s">
        <v>2570</v>
      </c>
      <c r="B27" s="50">
        <v>40183.59375</v>
      </c>
      <c r="C27" s="58" t="s">
        <v>3183</v>
      </c>
      <c r="D27" s="66">
        <v>15</v>
      </c>
    </row>
    <row r="28" spans="1:4">
      <c r="A28" s="58" t="s">
        <v>2653</v>
      </c>
      <c r="B28" s="50">
        <v>40183.640277777777</v>
      </c>
      <c r="C28" s="58" t="s">
        <v>2916</v>
      </c>
      <c r="D28" s="4">
        <v>16</v>
      </c>
    </row>
    <row r="29" spans="1:4">
      <c r="A29" s="51" t="s">
        <v>2567</v>
      </c>
      <c r="B29" s="50">
        <v>40183.658333333333</v>
      </c>
      <c r="C29" s="58" t="s">
        <v>3581</v>
      </c>
      <c r="D29" s="66">
        <v>17</v>
      </c>
    </row>
    <row r="30" spans="1:4">
      <c r="A30" s="58" t="s">
        <v>2570</v>
      </c>
      <c r="B30" s="50">
        <v>40183.664583333331</v>
      </c>
      <c r="C30" s="58" t="s">
        <v>3582</v>
      </c>
      <c r="D30" s="4">
        <v>18</v>
      </c>
    </row>
    <row r="31" spans="1:4">
      <c r="A31" s="51" t="s">
        <v>2570</v>
      </c>
      <c r="B31" s="50">
        <v>40183.773611111108</v>
      </c>
      <c r="C31" s="58" t="s">
        <v>2935</v>
      </c>
      <c r="D31" s="66">
        <v>19</v>
      </c>
    </row>
    <row r="32" spans="1:4">
      <c r="A32" s="58" t="s">
        <v>2567</v>
      </c>
      <c r="B32" s="50">
        <v>40183.787499999999</v>
      </c>
      <c r="C32" s="58" t="s">
        <v>2936</v>
      </c>
      <c r="D32" s="4">
        <v>20</v>
      </c>
    </row>
    <row r="33" spans="1:4">
      <c r="A33" s="51" t="s">
        <v>2567</v>
      </c>
      <c r="B33" s="50">
        <v>40184.427777777775</v>
      </c>
      <c r="C33" s="58" t="s">
        <v>3222</v>
      </c>
      <c r="D33" s="66">
        <v>21</v>
      </c>
    </row>
    <row r="34" spans="1:4">
      <c r="A34" s="58" t="s">
        <v>2570</v>
      </c>
      <c r="B34" s="50">
        <v>40184.459027777775</v>
      </c>
      <c r="C34" s="58" t="s">
        <v>3223</v>
      </c>
      <c r="D34" s="4">
        <v>22</v>
      </c>
    </row>
    <row r="35" spans="1:4">
      <c r="A35" s="51" t="s">
        <v>2570</v>
      </c>
      <c r="B35" s="50">
        <v>40184.681944444441</v>
      </c>
      <c r="C35" s="58" t="s">
        <v>2706</v>
      </c>
      <c r="D35" s="66">
        <v>23</v>
      </c>
    </row>
    <row r="36" spans="1:4">
      <c r="A36" s="58" t="s">
        <v>2567</v>
      </c>
      <c r="B36" s="50">
        <v>40184.757638888892</v>
      </c>
      <c r="C36" s="58" t="s">
        <v>2707</v>
      </c>
      <c r="D36" s="4">
        <v>24</v>
      </c>
    </row>
    <row r="37" spans="1:4">
      <c r="A37" s="51" t="s">
        <v>2567</v>
      </c>
      <c r="B37" s="50">
        <v>40185.484027777777</v>
      </c>
      <c r="C37" s="58" t="s">
        <v>3315</v>
      </c>
      <c r="D37" s="66">
        <v>25</v>
      </c>
    </row>
    <row r="38" spans="1:4">
      <c r="A38" s="58" t="s">
        <v>3677</v>
      </c>
      <c r="B38" s="50">
        <v>40185.501388888886</v>
      </c>
      <c r="C38" s="58" t="s">
        <v>3316</v>
      </c>
      <c r="D38" s="4">
        <v>26</v>
      </c>
    </row>
    <row r="39" spans="1:4">
      <c r="A39" s="58" t="s">
        <v>2570</v>
      </c>
      <c r="B39" s="50">
        <v>40185.65</v>
      </c>
      <c r="C39" s="58" t="s">
        <v>2917</v>
      </c>
      <c r="D39" s="66">
        <v>27</v>
      </c>
    </row>
    <row r="40" spans="1:4">
      <c r="A40" s="51" t="s">
        <v>2621</v>
      </c>
      <c r="B40" s="50">
        <v>40185.377083333333</v>
      </c>
      <c r="C40" s="58" t="s">
        <v>2622</v>
      </c>
      <c r="D40" s="4">
        <v>28</v>
      </c>
    </row>
    <row r="41" spans="1:4">
      <c r="A41" s="58" t="s">
        <v>2570</v>
      </c>
      <c r="B41" s="50">
        <v>40185.662499999999</v>
      </c>
      <c r="C41" s="58" t="s">
        <v>2623</v>
      </c>
      <c r="D41" s="66">
        <v>29</v>
      </c>
    </row>
    <row r="42" spans="1:4">
      <c r="A42" s="51" t="s">
        <v>2565</v>
      </c>
      <c r="B42" s="50">
        <v>40185.92083333333</v>
      </c>
      <c r="C42" s="58" t="s">
        <v>3470</v>
      </c>
      <c r="D42" s="4">
        <v>30</v>
      </c>
    </row>
    <row r="43" spans="1:4">
      <c r="A43" s="58" t="s">
        <v>2570</v>
      </c>
      <c r="B43" s="50">
        <v>40186.433333333334</v>
      </c>
      <c r="C43" s="58" t="s">
        <v>3471</v>
      </c>
      <c r="D43" s="66">
        <v>31</v>
      </c>
    </row>
    <row r="44" spans="1:4">
      <c r="A44" s="51" t="s">
        <v>2567</v>
      </c>
      <c r="B44" s="50">
        <v>40185.803472222222</v>
      </c>
      <c r="C44" s="58" t="s">
        <v>2683</v>
      </c>
      <c r="D44" s="4">
        <v>32</v>
      </c>
    </row>
    <row r="45" spans="1:4">
      <c r="A45" s="58" t="s">
        <v>2570</v>
      </c>
      <c r="B45" s="50">
        <v>40186.452777777777</v>
      </c>
      <c r="C45" s="58" t="s">
        <v>2684</v>
      </c>
      <c r="D45" s="66">
        <v>33</v>
      </c>
    </row>
    <row r="46" spans="1:4">
      <c r="A46" s="51" t="s">
        <v>2570</v>
      </c>
      <c r="B46" s="50">
        <v>40186.452777777777</v>
      </c>
      <c r="C46" s="58" t="s">
        <v>3094</v>
      </c>
      <c r="D46" s="4">
        <v>34</v>
      </c>
    </row>
    <row r="47" spans="1:4">
      <c r="A47" s="58" t="s">
        <v>2653</v>
      </c>
      <c r="B47" s="50">
        <v>40186.492361111108</v>
      </c>
      <c r="C47" s="58" t="s">
        <v>3095</v>
      </c>
      <c r="D47" s="66">
        <v>35</v>
      </c>
    </row>
    <row r="48" spans="1:4">
      <c r="A48" s="51" t="s">
        <v>2653</v>
      </c>
      <c r="B48" s="50">
        <v>40186.5</v>
      </c>
      <c r="C48" s="58" t="s">
        <v>3473</v>
      </c>
      <c r="D48" s="4">
        <v>36</v>
      </c>
    </row>
    <row r="49" spans="1:4">
      <c r="A49" s="58" t="s">
        <v>2570</v>
      </c>
      <c r="B49" s="50">
        <v>40186.713888888888</v>
      </c>
      <c r="C49" s="58" t="s">
        <v>3474</v>
      </c>
      <c r="D49" s="66">
        <v>37</v>
      </c>
    </row>
    <row r="50" spans="1:4">
      <c r="A50" s="51" t="s">
        <v>2567</v>
      </c>
      <c r="B50" s="50">
        <v>40186.76666666667</v>
      </c>
      <c r="C50" s="58" t="s">
        <v>2568</v>
      </c>
      <c r="D50" s="4">
        <v>38</v>
      </c>
    </row>
    <row r="51" spans="1:4">
      <c r="A51" s="58" t="s">
        <v>2570</v>
      </c>
      <c r="B51" s="50">
        <v>40189.713888888888</v>
      </c>
      <c r="C51" s="58" t="s">
        <v>2569</v>
      </c>
      <c r="D51" s="66">
        <v>39</v>
      </c>
    </row>
    <row r="52" spans="1:4">
      <c r="A52" s="51" t="s">
        <v>2570</v>
      </c>
      <c r="B52" s="50">
        <v>40189.714583333334</v>
      </c>
      <c r="C52" s="58" t="s">
        <v>2625</v>
      </c>
      <c r="D52" s="4">
        <v>40</v>
      </c>
    </row>
    <row r="53" spans="1:4">
      <c r="A53" s="58" t="s">
        <v>2567</v>
      </c>
      <c r="B53" s="50">
        <v>40189.763888888891</v>
      </c>
      <c r="C53" s="58" t="s">
        <v>2626</v>
      </c>
      <c r="D53" s="66">
        <v>41</v>
      </c>
    </row>
    <row r="54" spans="1:4">
      <c r="A54" s="51" t="s">
        <v>2567</v>
      </c>
      <c r="B54" s="50">
        <v>40191.154861111114</v>
      </c>
      <c r="C54" s="58" t="s">
        <v>3421</v>
      </c>
      <c r="D54" s="4">
        <v>42</v>
      </c>
    </row>
    <row r="55" spans="1:4">
      <c r="A55" s="58" t="s">
        <v>2570</v>
      </c>
      <c r="B55" s="50">
        <v>40191.65902777778</v>
      </c>
      <c r="C55" s="58" t="s">
        <v>2948</v>
      </c>
      <c r="D55" s="66">
        <v>43</v>
      </c>
    </row>
    <row r="56" spans="1:4">
      <c r="A56" s="58" t="s">
        <v>2738</v>
      </c>
      <c r="B56" s="50">
        <v>40191.99722222222</v>
      </c>
      <c r="C56" s="58" t="s">
        <v>2949</v>
      </c>
      <c r="D56" s="4">
        <v>44</v>
      </c>
    </row>
    <row r="57" spans="1:4">
      <c r="A57" s="58" t="s">
        <v>2738</v>
      </c>
      <c r="B57" s="50">
        <v>40192.00277777778</v>
      </c>
      <c r="C57" s="58" t="s">
        <v>3422</v>
      </c>
      <c r="D57" s="66">
        <v>45</v>
      </c>
    </row>
    <row r="58" spans="1:4">
      <c r="A58" s="51" t="s">
        <v>2653</v>
      </c>
      <c r="B58" s="50">
        <v>40192.436111111114</v>
      </c>
      <c r="C58" s="58" t="s">
        <v>3122</v>
      </c>
      <c r="D58" s="4">
        <v>46</v>
      </c>
    </row>
    <row r="59" spans="1:4">
      <c r="A59" s="58" t="s">
        <v>2565</v>
      </c>
      <c r="B59" s="50">
        <v>40194.652777777781</v>
      </c>
      <c r="C59" s="58" t="s">
        <v>3123</v>
      </c>
      <c r="D59" s="66">
        <v>47</v>
      </c>
    </row>
    <row r="60" spans="1:4">
      <c r="A60" s="51" t="s">
        <v>2567</v>
      </c>
      <c r="B60" s="50">
        <v>40192.006249999999</v>
      </c>
      <c r="C60" s="58" t="s">
        <v>2768</v>
      </c>
      <c r="D60" s="4">
        <v>48</v>
      </c>
    </row>
    <row r="61" spans="1:4">
      <c r="A61" s="58" t="s">
        <v>3677</v>
      </c>
      <c r="B61" s="50">
        <v>40194.745833333334</v>
      </c>
      <c r="C61" s="58" t="s">
        <v>2769</v>
      </c>
      <c r="D61" s="66">
        <v>49</v>
      </c>
    </row>
    <row r="62" spans="1:4">
      <c r="A62" s="51" t="s">
        <v>2567</v>
      </c>
      <c r="B62" s="50">
        <v>40194.855555555558</v>
      </c>
      <c r="C62" s="58" t="s">
        <v>3193</v>
      </c>
      <c r="D62" s="4">
        <v>50</v>
      </c>
    </row>
    <row r="63" spans="1:4">
      <c r="A63" s="58" t="s">
        <v>2738</v>
      </c>
      <c r="B63" s="50">
        <v>40195.931944444441</v>
      </c>
      <c r="C63" s="58" t="s">
        <v>3194</v>
      </c>
      <c r="D63" s="66">
        <v>51</v>
      </c>
    </row>
    <row r="64" spans="1:4">
      <c r="A64" s="51" t="s">
        <v>2567</v>
      </c>
      <c r="B64" s="50">
        <v>40195.943055555559</v>
      </c>
      <c r="C64" s="58" t="s">
        <v>3551</v>
      </c>
      <c r="D64" s="4">
        <v>52</v>
      </c>
    </row>
    <row r="65" spans="1:4">
      <c r="A65" s="58" t="s">
        <v>2570</v>
      </c>
      <c r="B65" s="50">
        <v>40197.443055555559</v>
      </c>
      <c r="C65" s="58" t="s">
        <v>3552</v>
      </c>
      <c r="D65" s="66">
        <v>53</v>
      </c>
    </row>
    <row r="66" spans="1:4">
      <c r="A66" s="51" t="s">
        <v>2567</v>
      </c>
      <c r="B66" s="50">
        <v>40197.446527777778</v>
      </c>
      <c r="C66" s="58" t="s">
        <v>3107</v>
      </c>
      <c r="D66" s="4">
        <v>54</v>
      </c>
    </row>
    <row r="67" spans="1:4">
      <c r="A67" s="58" t="s">
        <v>3677</v>
      </c>
      <c r="B67" s="50">
        <v>40197.446527777778</v>
      </c>
      <c r="C67" s="58" t="s">
        <v>3108</v>
      </c>
      <c r="D67" s="66">
        <v>55</v>
      </c>
    </row>
    <row r="68" spans="1:4">
      <c r="A68" s="51" t="s">
        <v>2653</v>
      </c>
      <c r="B68" s="50">
        <v>40196.527777777781</v>
      </c>
      <c r="C68" s="58" t="s">
        <v>3284</v>
      </c>
      <c r="D68" s="4">
        <v>56</v>
      </c>
    </row>
    <row r="69" spans="1:4">
      <c r="A69" s="58" t="s">
        <v>2567</v>
      </c>
      <c r="B69" s="50">
        <v>40197.446527777778</v>
      </c>
      <c r="C69" s="58" t="s">
        <v>3108</v>
      </c>
      <c r="D69" s="66">
        <v>57</v>
      </c>
    </row>
    <row r="70" spans="1:4">
      <c r="A70" s="51" t="s">
        <v>2567</v>
      </c>
      <c r="B70" s="50">
        <v>40197.811111111114</v>
      </c>
      <c r="C70" s="58" t="s">
        <v>2814</v>
      </c>
      <c r="D70" s="4">
        <v>58</v>
      </c>
    </row>
    <row r="71" spans="1:4">
      <c r="A71" s="58" t="s">
        <v>3677</v>
      </c>
      <c r="B71" s="50">
        <v>40198.720138888886</v>
      </c>
      <c r="C71" s="58" t="s">
        <v>2815</v>
      </c>
      <c r="D71" s="66">
        <v>59</v>
      </c>
    </row>
    <row r="72" spans="1:4">
      <c r="A72" s="51" t="s">
        <v>2567</v>
      </c>
      <c r="B72" s="50">
        <v>40199.5</v>
      </c>
      <c r="C72" s="58" t="s">
        <v>3034</v>
      </c>
      <c r="D72" s="4">
        <v>60</v>
      </c>
    </row>
    <row r="73" spans="1:4">
      <c r="A73" s="58" t="s">
        <v>2570</v>
      </c>
      <c r="B73" s="50">
        <v>40199.505555555559</v>
      </c>
      <c r="C73" s="58" t="s">
        <v>3035</v>
      </c>
      <c r="D73" s="66">
        <v>61</v>
      </c>
    </row>
    <row r="74" spans="1:4">
      <c r="A74" s="51" t="s">
        <v>2738</v>
      </c>
      <c r="B74" s="50">
        <v>40199.94027777778</v>
      </c>
      <c r="C74" s="58" t="s">
        <v>3641</v>
      </c>
      <c r="D74" s="4">
        <v>62</v>
      </c>
    </row>
    <row r="75" spans="1:4">
      <c r="A75" s="58" t="s">
        <v>2567</v>
      </c>
      <c r="B75" s="50">
        <v>40199.976388888892</v>
      </c>
      <c r="C75" s="58" t="s">
        <v>3642</v>
      </c>
      <c r="D75" s="66">
        <v>63</v>
      </c>
    </row>
    <row r="76" spans="1:4">
      <c r="A76" s="51" t="s">
        <v>2567</v>
      </c>
      <c r="B76" s="50">
        <v>40199.978472222225</v>
      </c>
      <c r="C76" s="58" t="s">
        <v>3389</v>
      </c>
      <c r="D76" s="4">
        <v>64</v>
      </c>
    </row>
    <row r="77" spans="1:4">
      <c r="A77" s="58" t="s">
        <v>2570</v>
      </c>
      <c r="B77" s="50">
        <v>40200.459722222222</v>
      </c>
      <c r="C77" s="58" t="s">
        <v>3390</v>
      </c>
      <c r="D77" s="66">
        <v>65</v>
      </c>
    </row>
    <row r="78" spans="1:4">
      <c r="A78" s="51" t="s">
        <v>2567</v>
      </c>
      <c r="B78" s="50">
        <v>40200.461111111108</v>
      </c>
      <c r="C78" s="58" t="s">
        <v>2929</v>
      </c>
      <c r="D78" s="4">
        <v>66</v>
      </c>
    </row>
    <row r="79" spans="1:4">
      <c r="A79" s="58" t="s">
        <v>2570</v>
      </c>
      <c r="B79" s="50">
        <v>40200.466666666667</v>
      </c>
      <c r="C79" s="58" t="s">
        <v>2930</v>
      </c>
      <c r="D79" s="66">
        <v>67</v>
      </c>
    </row>
    <row r="80" spans="1:4">
      <c r="A80" s="51" t="s">
        <v>2630</v>
      </c>
      <c r="B80" s="50">
        <v>40192.353472222225</v>
      </c>
      <c r="C80" s="58" t="s">
        <v>3225</v>
      </c>
      <c r="D80" s="4">
        <v>68</v>
      </c>
    </row>
    <row r="81" spans="1:4">
      <c r="A81" s="58" t="s">
        <v>2567</v>
      </c>
      <c r="B81" s="50">
        <v>40200.652083333334</v>
      </c>
      <c r="C81" s="58" t="s">
        <v>3226</v>
      </c>
      <c r="D81" s="66">
        <v>69</v>
      </c>
    </row>
    <row r="82" spans="1:4">
      <c r="A82" s="51" t="s">
        <v>2565</v>
      </c>
      <c r="B82" s="50">
        <v>40205.401388888888</v>
      </c>
      <c r="C82" s="58" t="s">
        <v>2743</v>
      </c>
      <c r="D82" s="4">
        <v>70</v>
      </c>
    </row>
    <row r="83" spans="1:4">
      <c r="A83" s="58" t="s">
        <v>2567</v>
      </c>
      <c r="B83" s="50">
        <v>40205.76666666667</v>
      </c>
      <c r="C83" s="58" t="s">
        <v>2744</v>
      </c>
      <c r="D83" s="66">
        <v>71</v>
      </c>
    </row>
    <row r="84" spans="1:4">
      <c r="A84" s="51" t="s">
        <v>2567</v>
      </c>
      <c r="B84" s="50">
        <v>40205.80972222222</v>
      </c>
      <c r="C84" s="58" t="s">
        <v>3435</v>
      </c>
      <c r="D84" s="4">
        <v>72</v>
      </c>
    </row>
    <row r="85" spans="1:4">
      <c r="A85" s="58" t="s">
        <v>2565</v>
      </c>
      <c r="B85" s="50">
        <v>40206.845138888886</v>
      </c>
      <c r="C85" s="58" t="s">
        <v>3436</v>
      </c>
      <c r="D85" s="66">
        <v>73</v>
      </c>
    </row>
    <row r="86" spans="1:4">
      <c r="A86" s="51" t="s">
        <v>2565</v>
      </c>
      <c r="B86" s="50">
        <v>40206.845833333333</v>
      </c>
      <c r="C86" s="58" t="s">
        <v>3097</v>
      </c>
      <c r="D86" s="4">
        <v>74</v>
      </c>
    </row>
    <row r="87" spans="1:4">
      <c r="A87" s="58" t="s">
        <v>2600</v>
      </c>
      <c r="B87" s="50">
        <v>40207.818749999999</v>
      </c>
      <c r="C87" s="58" t="s">
        <v>3098</v>
      </c>
      <c r="D87" s="66">
        <v>75</v>
      </c>
    </row>
    <row r="88" spans="1:4">
      <c r="A88" s="51" t="s">
        <v>2567</v>
      </c>
      <c r="B88" s="50">
        <v>40208.435416666667</v>
      </c>
      <c r="C88" s="58" t="s">
        <v>3639</v>
      </c>
      <c r="D88" s="4">
        <v>76</v>
      </c>
    </row>
    <row r="89" spans="1:4">
      <c r="A89" s="58" t="s">
        <v>3677</v>
      </c>
      <c r="B89" s="50">
        <v>40210.053472222222</v>
      </c>
      <c r="C89" s="58" t="s">
        <v>3079</v>
      </c>
      <c r="D89" s="66">
        <v>77</v>
      </c>
    </row>
    <row r="90" spans="1:4">
      <c r="A90" s="51" t="s">
        <v>2567</v>
      </c>
      <c r="B90" s="50">
        <v>40210.051388888889</v>
      </c>
      <c r="C90" s="58" t="s">
        <v>3318</v>
      </c>
      <c r="D90" s="4">
        <v>78</v>
      </c>
    </row>
    <row r="91" spans="1:4">
      <c r="A91" s="58" t="s">
        <v>2600</v>
      </c>
      <c r="B91" s="50">
        <v>40210.376388888886</v>
      </c>
      <c r="C91" s="58" t="s">
        <v>3319</v>
      </c>
      <c r="D91" s="66">
        <v>79</v>
      </c>
    </row>
    <row r="92" spans="1:4">
      <c r="A92" s="51" t="s">
        <v>2567</v>
      </c>
      <c r="B92" s="50">
        <v>40210.053472222222</v>
      </c>
      <c r="C92" s="58" t="s">
        <v>3079</v>
      </c>
      <c r="D92" s="4">
        <v>80</v>
      </c>
    </row>
    <row r="93" spans="1:4">
      <c r="A93" s="58" t="s">
        <v>3677</v>
      </c>
      <c r="B93" s="50">
        <v>40210.582638888889</v>
      </c>
      <c r="C93" s="58" t="s">
        <v>3080</v>
      </c>
      <c r="D93" s="66">
        <v>81</v>
      </c>
    </row>
    <row r="94" spans="1:4">
      <c r="A94" s="51" t="s">
        <v>2567</v>
      </c>
      <c r="B94" s="50">
        <v>40210.428472222222</v>
      </c>
      <c r="C94" s="58" t="s">
        <v>3476</v>
      </c>
      <c r="D94" s="4">
        <v>82</v>
      </c>
    </row>
    <row r="95" spans="1:4">
      <c r="A95" s="51" t="s">
        <v>2567</v>
      </c>
      <c r="B95" s="50">
        <v>40210.621527777781</v>
      </c>
      <c r="C95" s="58" t="s">
        <v>3341</v>
      </c>
      <c r="D95" s="66">
        <v>83</v>
      </c>
    </row>
    <row r="96" spans="1:4">
      <c r="A96" s="58" t="s">
        <v>2600</v>
      </c>
      <c r="B96" s="50">
        <v>40211.259722222225</v>
      </c>
      <c r="C96" s="58" t="s">
        <v>3342</v>
      </c>
      <c r="D96" s="4">
        <v>84</v>
      </c>
    </row>
    <row r="97" spans="1:10">
      <c r="A97" s="51" t="s">
        <v>2600</v>
      </c>
      <c r="B97" s="50">
        <v>40207.819444444445</v>
      </c>
      <c r="C97" s="58" t="s">
        <v>2897</v>
      </c>
      <c r="D97" s="66">
        <v>85</v>
      </c>
    </row>
    <row r="98" spans="1:10">
      <c r="A98" s="58" t="s">
        <v>2567</v>
      </c>
      <c r="B98" s="50">
        <v>40211.519444444442</v>
      </c>
      <c r="C98" s="58" t="s">
        <v>3202</v>
      </c>
      <c r="D98" s="4">
        <v>86</v>
      </c>
    </row>
    <row r="99" spans="1:10">
      <c r="A99" s="58" t="s">
        <v>3681</v>
      </c>
      <c r="B99" s="50">
        <v>40211.873611111114</v>
      </c>
      <c r="C99" s="58" t="s">
        <v>2898</v>
      </c>
      <c r="D99" s="66">
        <v>87</v>
      </c>
      <c r="J99" s="2"/>
    </row>
    <row r="100" spans="1:10">
      <c r="A100" s="51" t="s">
        <v>2600</v>
      </c>
      <c r="B100" s="50">
        <v>40212.302083333336</v>
      </c>
      <c r="C100" s="58" t="s">
        <v>3480</v>
      </c>
      <c r="D100" s="4">
        <v>88</v>
      </c>
      <c r="J100" s="2"/>
    </row>
    <row r="101" spans="1:10">
      <c r="A101" s="58" t="s">
        <v>3681</v>
      </c>
      <c r="B101" s="50">
        <v>40212.32916666667</v>
      </c>
      <c r="C101" s="58" t="s">
        <v>3481</v>
      </c>
      <c r="D101" s="66">
        <v>89</v>
      </c>
      <c r="J101" s="2"/>
    </row>
    <row r="102" spans="1:10">
      <c r="A102" s="51" t="s">
        <v>2600</v>
      </c>
      <c r="B102" s="50">
        <v>40212.362500000003</v>
      </c>
      <c r="C102" s="58" t="s">
        <v>3483</v>
      </c>
      <c r="D102" s="4">
        <v>90</v>
      </c>
      <c r="J102" s="4"/>
    </row>
    <row r="103" spans="1:10">
      <c r="A103" s="58" t="s">
        <v>3681</v>
      </c>
      <c r="B103" s="50">
        <v>40212.400000000001</v>
      </c>
      <c r="C103" s="58" t="s">
        <v>3484</v>
      </c>
      <c r="D103" s="66">
        <v>91</v>
      </c>
      <c r="J103" s="2"/>
    </row>
    <row r="104" spans="1:10">
      <c r="A104" s="51" t="s">
        <v>297</v>
      </c>
      <c r="B104" s="50">
        <v>40211.502083333333</v>
      </c>
      <c r="C104" s="58" t="s">
        <v>3637</v>
      </c>
      <c r="D104" s="4">
        <v>92</v>
      </c>
      <c r="J104" s="2"/>
    </row>
    <row r="105" spans="1:10">
      <c r="A105" s="58" t="s">
        <v>2600</v>
      </c>
      <c r="B105" s="50">
        <v>40212.400000000001</v>
      </c>
      <c r="C105" s="58" t="s">
        <v>3484</v>
      </c>
      <c r="D105" s="66">
        <v>93</v>
      </c>
      <c r="J105" s="2"/>
    </row>
    <row r="106" spans="1:10">
      <c r="A106" s="51" t="s">
        <v>2600</v>
      </c>
      <c r="B106" s="50">
        <v>40211.873611111114</v>
      </c>
      <c r="C106" s="58" t="s">
        <v>3045</v>
      </c>
      <c r="D106" s="4">
        <v>94</v>
      </c>
      <c r="J106" s="2"/>
    </row>
    <row r="107" spans="1:10">
      <c r="A107" s="58" t="s">
        <v>3681</v>
      </c>
      <c r="B107" s="50">
        <v>40212.824305555558</v>
      </c>
      <c r="C107" s="58" t="s">
        <v>3046</v>
      </c>
      <c r="D107" s="66">
        <v>95</v>
      </c>
      <c r="J107" s="2"/>
    </row>
    <row r="108" spans="1:10">
      <c r="A108" s="51" t="s">
        <v>2600</v>
      </c>
      <c r="B108" s="50">
        <v>40216.820138888892</v>
      </c>
      <c r="C108" s="58" t="s">
        <v>3278</v>
      </c>
      <c r="D108" s="4">
        <v>96</v>
      </c>
      <c r="J108" s="2"/>
    </row>
    <row r="109" spans="1:10">
      <c r="A109" s="58" t="s">
        <v>2567</v>
      </c>
      <c r="B109" s="50">
        <v>40217.643750000003</v>
      </c>
      <c r="C109" s="58" t="s">
        <v>3279</v>
      </c>
      <c r="D109" s="66">
        <v>97</v>
      </c>
      <c r="J109" s="4"/>
    </row>
    <row r="110" spans="1:10">
      <c r="A110" s="51" t="s">
        <v>2567</v>
      </c>
      <c r="B110" s="50">
        <v>40214.55972222222</v>
      </c>
      <c r="C110" s="58" t="s">
        <v>3503</v>
      </c>
      <c r="D110" s="4">
        <v>98</v>
      </c>
      <c r="J110" s="2"/>
    </row>
    <row r="111" spans="1:10">
      <c r="A111" s="58" t="s">
        <v>3677</v>
      </c>
      <c r="B111" s="50">
        <v>40217.644444444442</v>
      </c>
      <c r="C111" s="58" t="s">
        <v>3504</v>
      </c>
      <c r="D111" s="66">
        <v>99</v>
      </c>
      <c r="J111" s="2"/>
    </row>
    <row r="112" spans="1:10">
      <c r="A112" s="51" t="s">
        <v>297</v>
      </c>
      <c r="B112" s="50">
        <v>40214.477777777778</v>
      </c>
      <c r="C112" s="58" t="s">
        <v>3172</v>
      </c>
      <c r="D112" s="4">
        <v>100</v>
      </c>
      <c r="J112" s="2"/>
    </row>
    <row r="113" spans="1:10">
      <c r="A113" s="58" t="s">
        <v>2567</v>
      </c>
      <c r="B113" s="50">
        <v>40217.756944444445</v>
      </c>
      <c r="C113" s="58" t="s">
        <v>3076</v>
      </c>
      <c r="D113" s="66">
        <v>101</v>
      </c>
      <c r="J113" s="2"/>
    </row>
    <row r="114" spans="1:10">
      <c r="A114" s="58" t="s">
        <v>2653</v>
      </c>
      <c r="B114" s="50">
        <v>40218.115277777775</v>
      </c>
      <c r="C114" s="58" t="s">
        <v>3077</v>
      </c>
      <c r="D114" s="4">
        <v>102</v>
      </c>
      <c r="J114" s="2"/>
    </row>
    <row r="115" spans="1:10">
      <c r="A115" s="51" t="s">
        <v>2567</v>
      </c>
      <c r="B115" s="50">
        <v>40217.793055555558</v>
      </c>
      <c r="C115" s="58" t="s">
        <v>3196</v>
      </c>
      <c r="D115" s="66">
        <v>103</v>
      </c>
      <c r="J115" s="2"/>
    </row>
    <row r="116" spans="1:10">
      <c r="A116" s="58" t="s">
        <v>2653</v>
      </c>
      <c r="B116" s="50">
        <v>40218.500694444447</v>
      </c>
      <c r="C116" s="58" t="s">
        <v>3197</v>
      </c>
      <c r="D116" s="4">
        <v>104</v>
      </c>
      <c r="J116" s="2"/>
    </row>
    <row r="117" spans="1:10">
      <c r="A117" s="51" t="s">
        <v>2653</v>
      </c>
      <c r="B117" s="50">
        <v>40218.515972222223</v>
      </c>
      <c r="C117" s="58" t="s">
        <v>2766</v>
      </c>
      <c r="D117" s="66">
        <v>105</v>
      </c>
      <c r="J117" s="2"/>
    </row>
    <row r="118" spans="1:10">
      <c r="A118" s="58" t="s">
        <v>2567</v>
      </c>
      <c r="B118" s="50">
        <v>40219.627083333333</v>
      </c>
      <c r="C118" s="58" t="s">
        <v>3662</v>
      </c>
      <c r="D118" s="4">
        <v>106</v>
      </c>
      <c r="J118" s="2"/>
    </row>
    <row r="119" spans="1:10">
      <c r="A119" s="51" t="s">
        <v>2653</v>
      </c>
      <c r="B119" s="50">
        <v>40221.597222222219</v>
      </c>
      <c r="C119" s="58" t="s">
        <v>2863</v>
      </c>
      <c r="D119" s="66">
        <v>107</v>
      </c>
      <c r="J119" s="4"/>
    </row>
    <row r="120" spans="1:10">
      <c r="A120" s="58" t="s">
        <v>3685</v>
      </c>
      <c r="B120" s="50">
        <v>40221.620138888888</v>
      </c>
      <c r="C120" s="58" t="s">
        <v>2864</v>
      </c>
      <c r="D120" s="4">
        <v>108</v>
      </c>
      <c r="J120" s="4"/>
    </row>
    <row r="121" spans="1:10">
      <c r="A121" s="51" t="s">
        <v>2567</v>
      </c>
      <c r="B121" s="50">
        <v>40224.030555555553</v>
      </c>
      <c r="C121" s="58" t="s">
        <v>3048</v>
      </c>
      <c r="D121" s="66">
        <v>109</v>
      </c>
      <c r="J121" s="2"/>
    </row>
    <row r="122" spans="1:10">
      <c r="A122" s="58" t="s">
        <v>2653</v>
      </c>
      <c r="B122" s="50">
        <v>40224.417361111111</v>
      </c>
      <c r="C122" s="58" t="s">
        <v>3049</v>
      </c>
      <c r="D122" s="4">
        <v>110</v>
      </c>
      <c r="J122" s="2"/>
    </row>
    <row r="123" spans="1:10">
      <c r="A123" s="51" t="s">
        <v>2567</v>
      </c>
      <c r="B123" s="50">
        <v>40224.48541666667</v>
      </c>
      <c r="C123" s="58" t="s">
        <v>2945</v>
      </c>
      <c r="D123" s="66">
        <v>111</v>
      </c>
      <c r="J123" s="4"/>
    </row>
    <row r="124" spans="1:10">
      <c r="A124" s="58" t="s">
        <v>3677</v>
      </c>
      <c r="B124" s="50">
        <v>40224.48541666667</v>
      </c>
      <c r="C124" s="58" t="s">
        <v>2946</v>
      </c>
      <c r="D124" s="4">
        <v>112</v>
      </c>
      <c r="J124" s="4"/>
    </row>
    <row r="125" spans="1:10">
      <c r="A125" s="51" t="s">
        <v>2653</v>
      </c>
      <c r="B125" s="50">
        <v>40224.417361111111</v>
      </c>
      <c r="C125" s="58" t="s">
        <v>3236</v>
      </c>
      <c r="D125" s="66">
        <v>113</v>
      </c>
      <c r="J125" s="2"/>
    </row>
    <row r="126" spans="1:10">
      <c r="A126" s="58" t="s">
        <v>3685</v>
      </c>
      <c r="B126" s="50">
        <v>40224.488194444442</v>
      </c>
      <c r="C126" s="58" t="s">
        <v>3670</v>
      </c>
      <c r="D126" s="4">
        <v>114</v>
      </c>
      <c r="J126" s="2"/>
    </row>
    <row r="127" spans="1:10">
      <c r="A127" s="51" t="s">
        <v>2567</v>
      </c>
      <c r="B127" s="50">
        <v>40226.634027777778</v>
      </c>
      <c r="C127" s="58" t="s">
        <v>3489</v>
      </c>
      <c r="D127" s="66">
        <v>115</v>
      </c>
      <c r="J127" s="4"/>
    </row>
    <row r="128" spans="1:10">
      <c r="A128" s="58" t="s">
        <v>3677</v>
      </c>
      <c r="B128" s="50">
        <v>40226.634027777778</v>
      </c>
      <c r="C128" s="58" t="s">
        <v>3490</v>
      </c>
      <c r="D128" s="4">
        <v>116</v>
      </c>
      <c r="J128" s="2"/>
    </row>
    <row r="129" spans="1:10">
      <c r="A129" s="51" t="s">
        <v>2567</v>
      </c>
      <c r="B129" s="50">
        <v>40226.814583333333</v>
      </c>
      <c r="C129" s="58" t="s">
        <v>3321</v>
      </c>
      <c r="D129" s="66">
        <v>117</v>
      </c>
      <c r="J129" s="2"/>
    </row>
    <row r="130" spans="1:10">
      <c r="A130" s="58" t="s">
        <v>3677</v>
      </c>
      <c r="B130" s="50">
        <v>40227.770138888889</v>
      </c>
      <c r="C130" s="58" t="s">
        <v>3322</v>
      </c>
      <c r="D130" s="4">
        <v>118</v>
      </c>
      <c r="E130" s="49"/>
      <c r="J130" s="2"/>
    </row>
    <row r="131" spans="1:10">
      <c r="A131" s="51" t="s">
        <v>2653</v>
      </c>
      <c r="B131" s="50">
        <v>40237.802083333336</v>
      </c>
      <c r="C131" s="58" t="s">
        <v>3521</v>
      </c>
      <c r="D131" s="66">
        <v>119</v>
      </c>
      <c r="E131" s="49"/>
      <c r="J131" s="2"/>
    </row>
    <row r="132" spans="1:10">
      <c r="A132" s="58" t="s">
        <v>3685</v>
      </c>
      <c r="B132" s="50">
        <v>40237.821527777778</v>
      </c>
      <c r="C132" s="58" t="s">
        <v>3522</v>
      </c>
      <c r="D132" s="4">
        <v>120</v>
      </c>
      <c r="E132" s="49"/>
      <c r="J132" s="2"/>
    </row>
    <row r="133" spans="1:10">
      <c r="A133" s="51" t="s">
        <v>2820</v>
      </c>
      <c r="B133" s="50">
        <v>40218.991666666669</v>
      </c>
      <c r="C133" s="58" t="s">
        <v>2821</v>
      </c>
      <c r="D133" s="66">
        <v>121</v>
      </c>
      <c r="E133" s="49"/>
      <c r="J133" s="2"/>
    </row>
    <row r="134" spans="1:10">
      <c r="A134" s="58" t="s">
        <v>2653</v>
      </c>
      <c r="B134" s="50">
        <v>40237.870138888888</v>
      </c>
      <c r="C134" s="58" t="s">
        <v>2822</v>
      </c>
      <c r="D134" s="4">
        <v>122</v>
      </c>
      <c r="E134" s="49"/>
      <c r="J134" s="4"/>
    </row>
    <row r="135" spans="1:10">
      <c r="A135" s="51" t="s">
        <v>3185</v>
      </c>
      <c r="B135" s="50">
        <v>40240.936111111114</v>
      </c>
      <c r="C135" s="58" t="s">
        <v>3186</v>
      </c>
      <c r="D135" s="66">
        <v>123</v>
      </c>
      <c r="E135" s="49"/>
      <c r="J135" s="2"/>
    </row>
    <row r="136" spans="1:10">
      <c r="A136" s="58" t="s">
        <v>2600</v>
      </c>
      <c r="B136" s="50">
        <v>40243.373611111114</v>
      </c>
      <c r="C136" s="58" t="s">
        <v>3187</v>
      </c>
      <c r="D136" s="4">
        <v>124</v>
      </c>
      <c r="E136" s="49"/>
      <c r="J136" s="2"/>
    </row>
    <row r="137" spans="1:10">
      <c r="A137" s="51" t="s">
        <v>2600</v>
      </c>
      <c r="B137" s="50">
        <v>40244.393055555556</v>
      </c>
      <c r="C137" s="58" t="s">
        <v>3644</v>
      </c>
      <c r="D137" s="66">
        <v>125</v>
      </c>
      <c r="E137" s="49"/>
      <c r="J137" s="2"/>
    </row>
    <row r="138" spans="1:10">
      <c r="A138" s="58" t="s">
        <v>2567</v>
      </c>
      <c r="B138" s="50">
        <v>40245.568749999999</v>
      </c>
      <c r="C138" s="58" t="s">
        <v>3645</v>
      </c>
      <c r="D138" s="4">
        <v>126</v>
      </c>
      <c r="E138" s="49"/>
      <c r="J138" s="2"/>
    </row>
    <row r="139" spans="1:10">
      <c r="A139" s="51" t="s">
        <v>2600</v>
      </c>
      <c r="B139" s="50">
        <v>40243.48333333333</v>
      </c>
      <c r="C139" s="58" t="s">
        <v>2903</v>
      </c>
      <c r="D139" s="66">
        <v>127</v>
      </c>
      <c r="E139" s="49"/>
      <c r="J139" s="4"/>
    </row>
    <row r="140" spans="1:10">
      <c r="A140" s="58" t="s">
        <v>2567</v>
      </c>
      <c r="B140" s="50">
        <v>40245.569444444445</v>
      </c>
      <c r="C140" s="58" t="s">
        <v>2904</v>
      </c>
      <c r="D140" s="4">
        <v>128</v>
      </c>
      <c r="E140" s="49"/>
      <c r="J140" s="4"/>
    </row>
    <row r="141" spans="1:10">
      <c r="A141" s="51" t="s">
        <v>2567</v>
      </c>
      <c r="B141" s="50">
        <v>40245.569444444445</v>
      </c>
      <c r="C141" s="58" t="s">
        <v>2628</v>
      </c>
      <c r="D141" s="66">
        <v>129</v>
      </c>
      <c r="E141" s="49"/>
      <c r="J141" s="2"/>
    </row>
    <row r="142" spans="1:10">
      <c r="A142" s="58" t="s">
        <v>2630</v>
      </c>
      <c r="B142" s="50">
        <v>40245.615972222222</v>
      </c>
      <c r="C142" s="58" t="s">
        <v>2629</v>
      </c>
      <c r="D142" s="4">
        <v>130</v>
      </c>
      <c r="E142" s="49"/>
      <c r="J142" s="2"/>
    </row>
    <row r="143" spans="1:10">
      <c r="A143" s="51" t="s">
        <v>2567</v>
      </c>
      <c r="B143" s="50">
        <v>40249.849305555559</v>
      </c>
      <c r="C143" s="58" t="s">
        <v>3063</v>
      </c>
      <c r="D143" s="66">
        <v>131</v>
      </c>
      <c r="E143" s="49"/>
      <c r="J143" s="2"/>
    </row>
    <row r="144" spans="1:10">
      <c r="A144" s="58" t="s">
        <v>3677</v>
      </c>
      <c r="B144" s="50">
        <v>40249.949305555558</v>
      </c>
      <c r="C144" s="58" t="s">
        <v>3064</v>
      </c>
      <c r="D144" s="4">
        <v>132</v>
      </c>
      <c r="E144" s="49"/>
      <c r="J144" s="2"/>
    </row>
    <row r="145" spans="1:10">
      <c r="A145" s="51" t="s">
        <v>2653</v>
      </c>
      <c r="B145" s="50">
        <v>40252.729861111111</v>
      </c>
      <c r="C145" s="58" t="s">
        <v>2900</v>
      </c>
      <c r="D145" s="66">
        <v>133</v>
      </c>
      <c r="E145" s="49"/>
      <c r="J145" s="4"/>
    </row>
    <row r="146" spans="1:10">
      <c r="A146" s="58" t="s">
        <v>2567</v>
      </c>
      <c r="B146" s="50">
        <v>40252.753472222219</v>
      </c>
      <c r="C146" s="58" t="s">
        <v>2901</v>
      </c>
      <c r="D146" s="4">
        <v>134</v>
      </c>
      <c r="E146" s="49"/>
      <c r="J146" s="2"/>
    </row>
    <row r="147" spans="1:10">
      <c r="A147" s="51" t="s">
        <v>2567</v>
      </c>
      <c r="B147" s="50">
        <v>40253.412499999999</v>
      </c>
      <c r="C147" s="58" t="s">
        <v>2782</v>
      </c>
      <c r="D147" s="66">
        <v>135</v>
      </c>
      <c r="E147" s="49"/>
      <c r="J147" s="2"/>
    </row>
    <row r="148" spans="1:10">
      <c r="A148" s="58" t="s">
        <v>2653</v>
      </c>
      <c r="B148" s="50">
        <v>40253.456250000003</v>
      </c>
      <c r="C148" s="58" t="s">
        <v>2783</v>
      </c>
      <c r="D148" s="4">
        <v>136</v>
      </c>
      <c r="E148" s="49"/>
      <c r="J148" s="2"/>
    </row>
    <row r="149" spans="1:10">
      <c r="A149" s="51" t="s">
        <v>2993</v>
      </c>
      <c r="B149" s="50">
        <v>40256.65625</v>
      </c>
      <c r="C149" s="58" t="s">
        <v>2994</v>
      </c>
      <c r="D149" s="66">
        <v>137</v>
      </c>
      <c r="E149" s="49"/>
      <c r="J149" s="4"/>
    </row>
    <row r="150" spans="1:10">
      <c r="A150" s="58" t="s">
        <v>3680</v>
      </c>
      <c r="B150" s="50">
        <v>40256.65625</v>
      </c>
      <c r="C150" s="58" t="s">
        <v>2995</v>
      </c>
      <c r="D150" s="4">
        <v>138</v>
      </c>
      <c r="E150" s="49"/>
      <c r="J150" s="4"/>
    </row>
    <row r="151" spans="1:10">
      <c r="A151" s="51" t="s">
        <v>3492</v>
      </c>
      <c r="B151" s="50">
        <v>40277.727083333331</v>
      </c>
      <c r="C151" s="58" t="s">
        <v>3493</v>
      </c>
      <c r="D151" s="66">
        <v>139</v>
      </c>
      <c r="E151" s="49"/>
      <c r="J151" s="4"/>
    </row>
    <row r="152" spans="1:10">
      <c r="A152" s="58" t="s">
        <v>2567</v>
      </c>
      <c r="B152" s="50">
        <v>40280.786805555559</v>
      </c>
      <c r="C152" s="58" t="s">
        <v>3494</v>
      </c>
      <c r="D152" s="4">
        <v>140</v>
      </c>
      <c r="E152" s="49"/>
      <c r="J152" s="2"/>
    </row>
    <row r="153" spans="1:10">
      <c r="A153" s="51" t="s">
        <v>2567</v>
      </c>
      <c r="B153" s="50">
        <v>40281.743055555555</v>
      </c>
      <c r="C153" s="58" t="s">
        <v>2662</v>
      </c>
      <c r="D153" s="66">
        <v>141</v>
      </c>
      <c r="E153" s="49"/>
      <c r="J153" s="2"/>
    </row>
    <row r="154" spans="1:10">
      <c r="A154" s="58" t="s">
        <v>2653</v>
      </c>
      <c r="B154" s="50">
        <v>40282.393055555556</v>
      </c>
      <c r="C154" s="58" t="s">
        <v>2663</v>
      </c>
      <c r="D154" s="4">
        <v>142</v>
      </c>
      <c r="E154" s="49"/>
      <c r="J154" s="2"/>
    </row>
    <row r="155" spans="1:10">
      <c r="A155" s="51" t="s">
        <v>2653</v>
      </c>
      <c r="B155" s="50">
        <v>40276.734722222223</v>
      </c>
      <c r="C155" s="58" t="s">
        <v>2740</v>
      </c>
      <c r="D155" s="66">
        <v>143</v>
      </c>
      <c r="E155" s="49"/>
      <c r="J155" s="2"/>
    </row>
    <row r="156" spans="1:10">
      <c r="A156" s="58" t="s">
        <v>3685</v>
      </c>
      <c r="B156" s="50">
        <v>40282.401388888888</v>
      </c>
      <c r="C156" s="58" t="s">
        <v>2741</v>
      </c>
      <c r="D156" s="4">
        <v>144</v>
      </c>
      <c r="E156" s="49"/>
      <c r="J156" s="2"/>
    </row>
    <row r="157" spans="1:10">
      <c r="A157" s="51" t="s">
        <v>2572</v>
      </c>
      <c r="B157" s="50">
        <v>40288.430555555555</v>
      </c>
      <c r="C157" s="58" t="s">
        <v>2651</v>
      </c>
      <c r="D157" s="66">
        <v>145</v>
      </c>
      <c r="E157" s="49"/>
      <c r="J157" s="2"/>
    </row>
    <row r="158" spans="1:10">
      <c r="A158" s="58" t="s">
        <v>2653</v>
      </c>
      <c r="B158" s="50">
        <v>40290.477777777778</v>
      </c>
      <c r="C158" s="58" t="s">
        <v>2652</v>
      </c>
      <c r="D158" s="4">
        <v>146</v>
      </c>
      <c r="E158" s="49"/>
      <c r="J158" s="2"/>
    </row>
    <row r="159" spans="1:10">
      <c r="A159" s="51" t="s">
        <v>2567</v>
      </c>
      <c r="B159" s="50">
        <v>40288.670138888891</v>
      </c>
      <c r="C159" s="58" t="s">
        <v>2791</v>
      </c>
      <c r="D159" s="66">
        <v>147</v>
      </c>
      <c r="E159" s="49"/>
      <c r="J159" s="2"/>
    </row>
    <row r="160" spans="1:10">
      <c r="A160" s="58" t="s">
        <v>2572</v>
      </c>
      <c r="B160" s="50">
        <v>40291.015972222223</v>
      </c>
      <c r="C160" s="58" t="s">
        <v>2792</v>
      </c>
      <c r="D160" s="4">
        <v>148</v>
      </c>
      <c r="E160" s="49"/>
      <c r="J160" s="4"/>
    </row>
    <row r="161" spans="1:10">
      <c r="A161" s="51" t="s">
        <v>2572</v>
      </c>
      <c r="B161" s="50">
        <v>40295.461805555555</v>
      </c>
      <c r="C161" s="58" t="s">
        <v>3213</v>
      </c>
      <c r="D161" s="66">
        <v>149</v>
      </c>
      <c r="E161" s="49"/>
      <c r="J161" s="4"/>
    </row>
    <row r="162" spans="1:10">
      <c r="A162" s="58" t="s">
        <v>2653</v>
      </c>
      <c r="B162" s="50">
        <v>40301.755555555559</v>
      </c>
      <c r="C162" s="58" t="s">
        <v>3214</v>
      </c>
      <c r="D162" s="4">
        <v>150</v>
      </c>
      <c r="E162" s="49"/>
      <c r="J162" s="4"/>
    </row>
    <row r="163" spans="1:10">
      <c r="A163" s="51" t="s">
        <v>2653</v>
      </c>
      <c r="B163" s="50">
        <v>40305.457638888889</v>
      </c>
      <c r="C163" s="58" t="s">
        <v>2919</v>
      </c>
      <c r="D163" s="66">
        <v>151</v>
      </c>
      <c r="E163" s="49"/>
      <c r="J163" s="2"/>
    </row>
    <row r="164" spans="1:10">
      <c r="A164" s="58" t="s">
        <v>3685</v>
      </c>
      <c r="B164" s="50">
        <v>40305.588194444441</v>
      </c>
      <c r="C164" s="58" t="s">
        <v>2920</v>
      </c>
      <c r="D164" s="4">
        <v>152</v>
      </c>
      <c r="E164" s="49"/>
      <c r="J164" s="2"/>
    </row>
    <row r="165" spans="1:10">
      <c r="A165" s="51" t="s">
        <v>2567</v>
      </c>
      <c r="B165" s="50">
        <v>40316.560416666667</v>
      </c>
      <c r="C165" s="58" t="s">
        <v>3535</v>
      </c>
      <c r="D165" s="66">
        <v>153</v>
      </c>
      <c r="E165" s="49"/>
      <c r="J165" s="4"/>
    </row>
    <row r="166" spans="1:10">
      <c r="A166" s="58" t="s">
        <v>2572</v>
      </c>
      <c r="B166" s="50">
        <v>40318.893750000003</v>
      </c>
      <c r="C166" s="58" t="s">
        <v>3536</v>
      </c>
      <c r="D166" s="4">
        <v>154</v>
      </c>
      <c r="E166" s="49"/>
      <c r="J166" s="2"/>
    </row>
    <row r="167" spans="1:10">
      <c r="A167" s="51" t="s">
        <v>2567</v>
      </c>
      <c r="B167" s="50">
        <v>40322.532638888886</v>
      </c>
      <c r="C167" s="58" t="s">
        <v>3659</v>
      </c>
      <c r="D167" s="66">
        <v>155</v>
      </c>
      <c r="E167" s="49"/>
      <c r="J167" s="4"/>
    </row>
    <row r="168" spans="1:10">
      <c r="A168" s="58" t="s">
        <v>3677</v>
      </c>
      <c r="B168" s="50">
        <v>40322.975694444445</v>
      </c>
      <c r="C168" s="58" t="s">
        <v>3660</v>
      </c>
      <c r="D168" s="4">
        <v>156</v>
      </c>
      <c r="E168" s="49"/>
      <c r="J168" s="4"/>
    </row>
    <row r="169" spans="1:10">
      <c r="A169" s="51" t="s">
        <v>2925</v>
      </c>
      <c r="B169" s="50">
        <v>40322.84097222222</v>
      </c>
      <c r="C169" s="58" t="s">
        <v>2926</v>
      </c>
      <c r="D169" s="66">
        <v>157</v>
      </c>
      <c r="E169" s="49"/>
      <c r="J169" s="2"/>
    </row>
    <row r="170" spans="1:10">
      <c r="A170" s="58" t="s">
        <v>2567</v>
      </c>
      <c r="B170" s="50">
        <v>40323.879166666666</v>
      </c>
      <c r="C170" s="58" t="s">
        <v>2927</v>
      </c>
      <c r="D170" s="4">
        <v>158</v>
      </c>
      <c r="E170" s="49"/>
      <c r="J170" s="2"/>
    </row>
    <row r="171" spans="1:10">
      <c r="A171" s="51" t="s">
        <v>2572</v>
      </c>
      <c r="B171" s="50">
        <v>40340.494444444441</v>
      </c>
      <c r="C171" s="58" t="s">
        <v>2659</v>
      </c>
      <c r="D171" s="66">
        <v>159</v>
      </c>
      <c r="E171" s="49"/>
      <c r="J171" s="2"/>
    </row>
    <row r="172" spans="1:10">
      <c r="A172" s="58" t="s">
        <v>3676</v>
      </c>
      <c r="B172" s="50">
        <v>40340.670138888891</v>
      </c>
      <c r="C172" s="58" t="s">
        <v>2660</v>
      </c>
      <c r="D172" s="4">
        <v>160</v>
      </c>
      <c r="E172" s="49"/>
      <c r="J172" s="2"/>
    </row>
    <row r="173" spans="1:10">
      <c r="A173" s="51" t="s">
        <v>2572</v>
      </c>
      <c r="B173" s="50">
        <v>40340.724999999999</v>
      </c>
      <c r="C173" s="58" t="s">
        <v>2860</v>
      </c>
      <c r="D173" s="66">
        <v>161</v>
      </c>
      <c r="E173" s="49"/>
      <c r="J173" s="4"/>
    </row>
    <row r="174" spans="1:10">
      <c r="A174" s="58" t="s">
        <v>2565</v>
      </c>
      <c r="B174" s="50">
        <v>40340.939583333333</v>
      </c>
      <c r="C174" s="58" t="s">
        <v>2861</v>
      </c>
      <c r="D174" s="4">
        <v>162</v>
      </c>
      <c r="E174" s="49"/>
      <c r="J174" s="2"/>
    </row>
    <row r="175" spans="1:10">
      <c r="A175" s="51" t="s">
        <v>2567</v>
      </c>
      <c r="B175" s="50">
        <v>40345.738888888889</v>
      </c>
      <c r="C175" s="58" t="s">
        <v>3275</v>
      </c>
      <c r="D175" s="66">
        <v>163</v>
      </c>
      <c r="E175" s="49"/>
      <c r="J175" s="2"/>
    </row>
    <row r="176" spans="1:10">
      <c r="A176" s="58" t="s">
        <v>3677</v>
      </c>
      <c r="B176" s="50">
        <v>40345.768750000003</v>
      </c>
      <c r="C176" s="58" t="s">
        <v>3276</v>
      </c>
      <c r="D176" s="4">
        <v>164</v>
      </c>
      <c r="E176" s="49"/>
      <c r="J176" s="2"/>
    </row>
    <row r="177" spans="1:10">
      <c r="A177" s="51" t="s">
        <v>2653</v>
      </c>
      <c r="B177" s="50">
        <v>40308.313888888886</v>
      </c>
      <c r="C177" s="58" t="s">
        <v>3605</v>
      </c>
      <c r="D177" s="66">
        <v>165</v>
      </c>
      <c r="E177" s="49"/>
      <c r="J177" s="2"/>
    </row>
    <row r="178" spans="1:10">
      <c r="A178" s="58" t="s">
        <v>2572</v>
      </c>
      <c r="B178" s="50">
        <v>40353.539583333331</v>
      </c>
      <c r="C178" s="58" t="s">
        <v>3022</v>
      </c>
      <c r="D178" s="4">
        <v>166</v>
      </c>
      <c r="E178" s="49"/>
      <c r="J178" s="4"/>
    </row>
    <row r="179" spans="1:10">
      <c r="A179" s="58" t="s">
        <v>2567</v>
      </c>
      <c r="B179" s="50">
        <v>40354.893055555556</v>
      </c>
      <c r="C179" s="58" t="s">
        <v>3023</v>
      </c>
      <c r="D179" s="66">
        <v>167</v>
      </c>
      <c r="E179" s="49"/>
      <c r="J179" s="2"/>
    </row>
    <row r="180" spans="1:10">
      <c r="A180"/>
      <c r="B180"/>
      <c r="C180"/>
      <c r="D180" s="4">
        <v>168</v>
      </c>
      <c r="E180" s="49"/>
      <c r="J180" s="2"/>
    </row>
    <row r="181" spans="1:10">
      <c r="A181"/>
      <c r="B181"/>
      <c r="C181"/>
      <c r="D181" s="66">
        <v>169</v>
      </c>
      <c r="E181" s="49"/>
      <c r="J181" s="2"/>
    </row>
    <row r="182" spans="1:10">
      <c r="A182"/>
      <c r="B182"/>
      <c r="C182"/>
      <c r="D182" s="4">
        <v>170</v>
      </c>
      <c r="E182" s="49"/>
      <c r="J182" s="2"/>
    </row>
    <row r="183" spans="1:10">
      <c r="A183"/>
      <c r="B183"/>
      <c r="C183"/>
      <c r="D183" s="66">
        <v>171</v>
      </c>
      <c r="E183" s="49"/>
      <c r="J183" s="4"/>
    </row>
    <row r="184" spans="1:10">
      <c r="A184"/>
      <c r="B184"/>
      <c r="C184"/>
      <c r="D184" s="4">
        <v>172</v>
      </c>
      <c r="E184" s="49"/>
      <c r="J184" s="4"/>
    </row>
    <row r="185" spans="1:10">
      <c r="A185"/>
      <c r="B185"/>
      <c r="C185"/>
      <c r="D185" s="66">
        <v>173</v>
      </c>
      <c r="E185" s="49"/>
      <c r="J185" s="2"/>
    </row>
    <row r="186" spans="1:10">
      <c r="A186"/>
      <c r="B186"/>
      <c r="C186"/>
      <c r="D186" s="4">
        <v>174</v>
      </c>
      <c r="E186" s="49"/>
      <c r="J186" s="2"/>
    </row>
    <row r="187" spans="1:10">
      <c r="A187"/>
      <c r="B187"/>
      <c r="C187"/>
      <c r="D187" s="66">
        <v>175</v>
      </c>
      <c r="E187" s="49"/>
      <c r="J187" s="2"/>
    </row>
    <row r="188" spans="1:10">
      <c r="A188"/>
      <c r="B188"/>
      <c r="C188"/>
      <c r="D188" s="4">
        <v>176</v>
      </c>
      <c r="E188" s="49"/>
      <c r="J188" s="2"/>
    </row>
    <row r="189" spans="1:10">
      <c r="A189" s="49"/>
      <c r="B189" s="49"/>
      <c r="C189" s="49"/>
      <c r="D189" s="49"/>
      <c r="E189" s="49"/>
      <c r="J189" s="4"/>
    </row>
    <row r="190" spans="1:10">
      <c r="A190" s="49"/>
      <c r="B190" s="49"/>
      <c r="C190" s="49"/>
      <c r="D190" s="49"/>
      <c r="E190" s="49"/>
      <c r="J190" s="4"/>
    </row>
    <row r="191" spans="1:10">
      <c r="A191" s="49"/>
      <c r="B191" s="49"/>
      <c r="C191" s="49"/>
      <c r="D191" s="49"/>
      <c r="E191" s="49"/>
      <c r="J191" s="2"/>
    </row>
    <row r="192" spans="1:10">
      <c r="A192" s="49"/>
      <c r="B192" s="49"/>
      <c r="C192" s="49"/>
      <c r="D192" s="49"/>
      <c r="E192" s="49"/>
      <c r="J192" s="2"/>
    </row>
    <row r="193" spans="1:10">
      <c r="A193" s="49"/>
      <c r="B193" s="49"/>
      <c r="C193" s="49"/>
      <c r="D193" s="49"/>
      <c r="E193" s="49"/>
      <c r="J193" s="4"/>
    </row>
    <row r="194" spans="1:10">
      <c r="A194" s="49"/>
      <c r="B194" s="49"/>
      <c r="C194" s="49"/>
      <c r="D194" s="49"/>
      <c r="E194" s="49"/>
      <c r="J194" s="4"/>
    </row>
    <row r="195" spans="1:10">
      <c r="A195" s="49"/>
      <c r="B195" s="49"/>
      <c r="C195" s="49"/>
      <c r="D195" s="49"/>
      <c r="E195" s="49"/>
      <c r="J195" s="2"/>
    </row>
    <row r="196" spans="1:10">
      <c r="A196" s="49"/>
      <c r="B196" s="49"/>
      <c r="C196" s="49"/>
      <c r="D196" s="49"/>
      <c r="E196" s="49"/>
      <c r="J196" s="2"/>
    </row>
    <row r="197" spans="1:10">
      <c r="A197" s="49"/>
      <c r="B197" s="49"/>
      <c r="C197" s="49"/>
      <c r="D197" s="49"/>
      <c r="E197" s="49"/>
    </row>
    <row r="198" spans="1:10">
      <c r="A198" s="49"/>
      <c r="B198" s="49"/>
      <c r="C198" s="49"/>
      <c r="D198" s="49"/>
      <c r="E198" s="49"/>
    </row>
    <row r="199" spans="1:10">
      <c r="A199" s="49"/>
      <c r="B199" s="49"/>
      <c r="C199" s="49"/>
      <c r="D199" s="49"/>
      <c r="E199" s="49"/>
    </row>
    <row r="200" spans="1:10">
      <c r="A200" s="49"/>
      <c r="B200" s="49"/>
      <c r="C200" s="49"/>
      <c r="D200" s="49"/>
      <c r="E200" s="49"/>
    </row>
    <row r="201" spans="1:10">
      <c r="A201" s="49"/>
      <c r="B201" s="49"/>
      <c r="C201" s="49"/>
      <c r="D201" s="49"/>
      <c r="E201" s="49"/>
    </row>
    <row r="202" spans="1:10">
      <c r="A202" s="49"/>
      <c r="B202" s="49"/>
      <c r="C202" s="49"/>
      <c r="D202" s="49"/>
      <c r="E202" s="49"/>
    </row>
    <row r="203" spans="1:10">
      <c r="A203" s="49"/>
      <c r="B203" s="49"/>
      <c r="C203" s="49"/>
      <c r="D203" s="49"/>
      <c r="E203" s="49"/>
    </row>
    <row r="204" spans="1:10">
      <c r="A204" s="49"/>
      <c r="B204" s="49"/>
      <c r="C204" s="49"/>
      <c r="D204" s="49"/>
      <c r="E204" s="49"/>
    </row>
    <row r="205" spans="1:10">
      <c r="A205" s="49"/>
      <c r="B205" s="49"/>
      <c r="C205" s="49"/>
      <c r="D205" s="49"/>
      <c r="E205" s="49"/>
    </row>
    <row r="206" spans="1:10">
      <c r="A206" s="49"/>
      <c r="B206" s="49"/>
      <c r="C206" s="49"/>
      <c r="D206" s="49"/>
      <c r="E206" s="49"/>
    </row>
    <row r="207" spans="1:10">
      <c r="A207" s="49"/>
      <c r="B207" s="49"/>
      <c r="C207" s="49"/>
      <c r="D207" s="49"/>
      <c r="E207" s="49"/>
    </row>
    <row r="208" spans="1:10">
      <c r="A208" s="49"/>
      <c r="B208" s="49"/>
      <c r="C208" s="49"/>
      <c r="D208" s="49"/>
      <c r="E208" s="49"/>
    </row>
    <row r="209" spans="1:5">
      <c r="A209" s="49"/>
      <c r="B209" s="49"/>
      <c r="C209" s="49"/>
      <c r="D209" s="49"/>
      <c r="E209" s="49"/>
    </row>
    <row r="210" spans="1:5">
      <c r="A210" s="49"/>
      <c r="B210" s="49"/>
      <c r="C210" s="49"/>
      <c r="D210" s="49"/>
      <c r="E210" s="49"/>
    </row>
    <row r="211" spans="1:5">
      <c r="A211" s="49"/>
      <c r="B211" s="49"/>
      <c r="C211" s="49"/>
      <c r="D211" s="49"/>
      <c r="E211" s="49"/>
    </row>
    <row r="212" spans="1:5">
      <c r="A212" s="49"/>
      <c r="B212" s="49"/>
      <c r="C212" s="49"/>
      <c r="D212" s="49"/>
      <c r="E212" s="49"/>
    </row>
    <row r="213" spans="1:5">
      <c r="A213" s="49"/>
      <c r="B213" s="49"/>
      <c r="C213" s="49"/>
      <c r="D213" s="49"/>
      <c r="E213" s="49"/>
    </row>
    <row r="214" spans="1:5">
      <c r="A214" s="49"/>
      <c r="B214" s="49"/>
      <c r="C214" s="49"/>
      <c r="D214" s="49"/>
      <c r="E214" s="49"/>
    </row>
    <row r="215" spans="1:5">
      <c r="A215" s="49"/>
      <c r="B215" s="49"/>
      <c r="C215" s="49"/>
      <c r="D215" s="49"/>
      <c r="E215" s="49"/>
    </row>
    <row r="216" spans="1:5">
      <c r="A216" s="49"/>
      <c r="B216" s="49"/>
      <c r="C216" s="49"/>
      <c r="D216" s="49"/>
      <c r="E216" s="49"/>
    </row>
    <row r="217" spans="1:5">
      <c r="A217" s="49"/>
      <c r="B217" s="49"/>
      <c r="C217" s="49"/>
      <c r="D217" s="49"/>
      <c r="E217" s="49"/>
    </row>
    <row r="218" spans="1:5">
      <c r="A218" s="49"/>
      <c r="B218" s="49"/>
      <c r="C218" s="49"/>
      <c r="D218" s="49"/>
      <c r="E218" s="49"/>
    </row>
    <row r="219" spans="1:5">
      <c r="A219" s="49"/>
      <c r="B219" s="49"/>
      <c r="C219" s="49"/>
      <c r="D219" s="49"/>
      <c r="E219" s="49"/>
    </row>
    <row r="220" spans="1:5">
      <c r="A220" s="49"/>
      <c r="B220" s="49"/>
      <c r="C220" s="49"/>
      <c r="D220" s="49"/>
      <c r="E220" s="49"/>
    </row>
    <row r="221" spans="1:5">
      <c r="A221" s="49"/>
      <c r="B221" s="49"/>
      <c r="C221" s="49"/>
      <c r="D221" s="49"/>
      <c r="E221" s="49"/>
    </row>
    <row r="222" spans="1:5">
      <c r="A222" s="49"/>
      <c r="B222" s="49"/>
      <c r="C222" s="49"/>
      <c r="D222" s="49"/>
      <c r="E222" s="49"/>
    </row>
    <row r="223" spans="1:5">
      <c r="A223" s="49"/>
      <c r="B223" s="49"/>
      <c r="C223" s="49"/>
      <c r="D223" s="49"/>
      <c r="E223" s="49"/>
    </row>
    <row r="224" spans="1:5">
      <c r="A224" s="49"/>
      <c r="B224" s="49"/>
      <c r="C224" s="49"/>
      <c r="D224" s="49"/>
      <c r="E224" s="49"/>
    </row>
    <row r="225" spans="1:5">
      <c r="A225" s="49"/>
      <c r="B225" s="49"/>
      <c r="C225" s="49"/>
      <c r="D225" s="49"/>
      <c r="E225" s="49"/>
    </row>
    <row r="226" spans="1:5">
      <c r="A226" s="49"/>
      <c r="B226" s="49"/>
      <c r="C226" s="49"/>
      <c r="D226" s="49"/>
      <c r="E226" s="49"/>
    </row>
    <row r="227" spans="1:5">
      <c r="A227" s="49"/>
      <c r="B227" s="49"/>
      <c r="C227" s="49"/>
      <c r="D227" s="49"/>
      <c r="E227" s="49"/>
    </row>
    <row r="228" spans="1:5">
      <c r="A228" s="49"/>
      <c r="B228" s="49"/>
      <c r="C228" s="49"/>
      <c r="D228" s="49"/>
      <c r="E228" s="49"/>
    </row>
    <row r="229" spans="1:5">
      <c r="A229" s="49"/>
      <c r="B229" s="49"/>
      <c r="C229" s="49"/>
      <c r="D229" s="49"/>
      <c r="E229" s="49"/>
    </row>
    <row r="230" spans="1:5">
      <c r="A230" s="49"/>
      <c r="B230" s="49"/>
      <c r="C230" s="49"/>
      <c r="D230" s="49"/>
      <c r="E230" s="49"/>
    </row>
    <row r="231" spans="1:5">
      <c r="A231" s="49"/>
      <c r="B231" s="49"/>
      <c r="C231" s="49"/>
      <c r="D231" s="49"/>
      <c r="E231" s="49"/>
    </row>
    <row r="232" spans="1:5">
      <c r="A232" s="49"/>
      <c r="B232" s="49"/>
      <c r="C232" s="49"/>
      <c r="D232" s="49"/>
      <c r="E232" s="49"/>
    </row>
    <row r="233" spans="1:5">
      <c r="A233" s="49"/>
      <c r="B233" s="49"/>
      <c r="C233" s="49"/>
      <c r="D233" s="49"/>
      <c r="E233" s="49"/>
    </row>
    <row r="234" spans="1:5">
      <c r="A234" s="49"/>
      <c r="B234" s="49"/>
      <c r="C234" s="49"/>
      <c r="D234" s="49"/>
      <c r="E234" s="49"/>
    </row>
    <row r="235" spans="1:5">
      <c r="A235" s="49"/>
      <c r="B235" s="49"/>
      <c r="C235" s="49"/>
      <c r="D235" s="49"/>
      <c r="E235" s="49"/>
    </row>
    <row r="236" spans="1:5">
      <c r="A236" s="49"/>
      <c r="B236" s="49"/>
      <c r="C236" s="49"/>
      <c r="D236" s="49"/>
      <c r="E236" s="49"/>
    </row>
    <row r="237" spans="1:5">
      <c r="A237" s="49"/>
      <c r="B237" s="49"/>
      <c r="C237" s="49"/>
      <c r="D237" s="49"/>
      <c r="E237" s="49"/>
    </row>
    <row r="238" spans="1:5">
      <c r="A238" s="49"/>
      <c r="B238" s="49"/>
      <c r="C238" s="49"/>
      <c r="D238" s="49"/>
      <c r="E238" s="49"/>
    </row>
    <row r="239" spans="1:5">
      <c r="A239" s="49"/>
      <c r="B239" s="49"/>
      <c r="C239" s="49"/>
      <c r="D239" s="49"/>
      <c r="E239" s="49"/>
    </row>
    <row r="240" spans="1:5">
      <c r="A240" s="49"/>
      <c r="B240" s="49"/>
      <c r="C240" s="49"/>
      <c r="D240" s="49"/>
      <c r="E240" s="49"/>
    </row>
    <row r="241" spans="1:5">
      <c r="A241" s="49"/>
      <c r="B241" s="49"/>
      <c r="C241" s="49"/>
      <c r="D241" s="49"/>
      <c r="E241" s="49"/>
    </row>
    <row r="242" spans="1:5">
      <c r="A242" s="49"/>
      <c r="B242" s="49"/>
      <c r="C242" s="49"/>
      <c r="D242" s="49"/>
      <c r="E242" s="49"/>
    </row>
    <row r="243" spans="1:5">
      <c r="A243" s="49"/>
      <c r="B243" s="49"/>
      <c r="C243" s="49"/>
      <c r="D243" s="49"/>
      <c r="E243" s="49"/>
    </row>
    <row r="244" spans="1:5">
      <c r="A244" s="49"/>
      <c r="B244" s="49"/>
      <c r="C244" s="49"/>
      <c r="D244" s="49"/>
      <c r="E244" s="49"/>
    </row>
    <row r="245" spans="1:5">
      <c r="A245" s="49"/>
      <c r="B245" s="49"/>
      <c r="C245" s="49"/>
      <c r="D245" s="49"/>
      <c r="E245" s="49"/>
    </row>
    <row r="246" spans="1:5">
      <c r="A246" s="49"/>
      <c r="B246" s="49"/>
      <c r="C246" s="49"/>
      <c r="D246" s="49"/>
      <c r="E246" s="49"/>
    </row>
    <row r="247" spans="1:5">
      <c r="A247" s="49"/>
      <c r="B247" s="49"/>
      <c r="C247" s="49"/>
      <c r="D247" s="49"/>
      <c r="E247" s="49"/>
    </row>
    <row r="248" spans="1:5">
      <c r="A248" s="49"/>
      <c r="B248" s="49"/>
      <c r="C248" s="49"/>
      <c r="D248" s="49"/>
      <c r="E248" s="49"/>
    </row>
    <row r="249" spans="1:5">
      <c r="A249" s="49"/>
      <c r="B249" s="49"/>
      <c r="C249" s="49"/>
      <c r="D249" s="49"/>
      <c r="E249" s="49"/>
    </row>
    <row r="250" spans="1:5">
      <c r="A250" s="49"/>
      <c r="B250" s="49"/>
      <c r="C250" s="49"/>
      <c r="D250" s="49"/>
      <c r="E250" s="49"/>
    </row>
    <row r="251" spans="1:5">
      <c r="A251" s="49"/>
      <c r="B251" s="49"/>
      <c r="C251" s="49"/>
      <c r="D251" s="49"/>
      <c r="E251" s="49"/>
    </row>
    <row r="252" spans="1:5">
      <c r="A252" s="49"/>
      <c r="B252" s="49"/>
      <c r="C252" s="49"/>
      <c r="D252" s="49"/>
      <c r="E252" s="49"/>
    </row>
    <row r="253" spans="1:5">
      <c r="A253" s="49"/>
      <c r="B253" s="49"/>
      <c r="C253" s="49"/>
      <c r="D253" s="49"/>
      <c r="E253" s="49"/>
    </row>
    <row r="254" spans="1:5">
      <c r="A254" s="49"/>
      <c r="B254" s="49"/>
      <c r="C254" s="49"/>
      <c r="D254" s="49"/>
      <c r="E254" s="49"/>
    </row>
    <row r="255" spans="1:5">
      <c r="A255" s="49"/>
      <c r="B255" s="49"/>
      <c r="C255" s="49"/>
      <c r="D255" s="49"/>
      <c r="E255" s="49"/>
    </row>
    <row r="256" spans="1:5">
      <c r="A256" s="49"/>
      <c r="B256" s="49"/>
      <c r="C256" s="49"/>
      <c r="D256" s="49"/>
      <c r="E256" s="49"/>
    </row>
    <row r="257" spans="1:5">
      <c r="A257" s="49"/>
      <c r="B257" s="49"/>
      <c r="C257" s="49"/>
      <c r="D257" s="49"/>
      <c r="E257" s="49"/>
    </row>
    <row r="258" spans="1:5">
      <c r="A258" s="49"/>
      <c r="B258" s="49"/>
      <c r="C258" s="49"/>
      <c r="D258" s="49"/>
      <c r="E258" s="49"/>
    </row>
    <row r="259" spans="1:5">
      <c r="A259" s="49"/>
      <c r="B259" s="49"/>
      <c r="C259" s="49"/>
      <c r="D259" s="49"/>
      <c r="E259" s="49"/>
    </row>
    <row r="260" spans="1:5">
      <c r="A260" s="49"/>
      <c r="B260" s="49"/>
      <c r="C260" s="49"/>
      <c r="D260" s="49"/>
      <c r="E260" s="49"/>
    </row>
    <row r="261" spans="1:5">
      <c r="A261" s="49"/>
      <c r="B261" s="49"/>
      <c r="C261" s="49"/>
      <c r="D261" s="49"/>
      <c r="E261" s="49"/>
    </row>
    <row r="262" spans="1:5">
      <c r="A262" s="49"/>
      <c r="B262" s="49"/>
      <c r="C262" s="49"/>
      <c r="D262" s="49"/>
      <c r="E262" s="49"/>
    </row>
    <row r="263" spans="1:5">
      <c r="A263" s="49"/>
      <c r="B263" s="49"/>
      <c r="C263" s="49"/>
      <c r="D263" s="49"/>
      <c r="E263" s="49"/>
    </row>
    <row r="264" spans="1:5">
      <c r="A264" s="49"/>
      <c r="B264" s="49"/>
      <c r="C264" s="49"/>
      <c r="D264" s="49"/>
      <c r="E264" s="49"/>
    </row>
    <row r="265" spans="1:5">
      <c r="A265" s="49"/>
      <c r="B265" s="49"/>
      <c r="C265" s="49"/>
      <c r="D265" s="49"/>
      <c r="E265" s="49"/>
    </row>
    <row r="266" spans="1:5">
      <c r="A266" s="49"/>
      <c r="B266" s="49"/>
      <c r="C266" s="49"/>
      <c r="D266" s="49"/>
      <c r="E266" s="49"/>
    </row>
    <row r="267" spans="1:5">
      <c r="A267" s="49"/>
      <c r="B267" s="49"/>
      <c r="C267" s="49"/>
      <c r="D267" s="49"/>
      <c r="E267" s="49"/>
    </row>
    <row r="268" spans="1:5">
      <c r="A268" s="49"/>
      <c r="B268" s="49"/>
      <c r="C268" s="49"/>
      <c r="D268" s="49"/>
      <c r="E268" s="49"/>
    </row>
    <row r="269" spans="1:5">
      <c r="A269" s="49"/>
      <c r="B269" s="49"/>
      <c r="C269" s="49"/>
      <c r="D269" s="49"/>
      <c r="E269" s="49"/>
    </row>
    <row r="270" spans="1:5">
      <c r="A270" s="49"/>
      <c r="B270" s="49"/>
      <c r="C270" s="49"/>
      <c r="D270" s="49"/>
      <c r="E270" s="49"/>
    </row>
    <row r="271" spans="1:5">
      <c r="A271" s="49"/>
      <c r="B271" s="49"/>
      <c r="C271" s="49"/>
      <c r="D271" s="49"/>
      <c r="E271" s="49"/>
    </row>
    <row r="272" spans="1:5">
      <c r="A272" s="49"/>
      <c r="B272" s="49"/>
      <c r="C272" s="49"/>
      <c r="D272" s="49"/>
      <c r="E272" s="49"/>
    </row>
    <row r="273" spans="1:5">
      <c r="A273" s="49"/>
      <c r="B273" s="49"/>
      <c r="C273" s="49"/>
      <c r="D273" s="49"/>
      <c r="E273" s="49"/>
    </row>
    <row r="274" spans="1:5">
      <c r="A274" s="49"/>
      <c r="B274" s="49"/>
      <c r="C274" s="49"/>
      <c r="D274" s="49"/>
      <c r="E274" s="49"/>
    </row>
    <row r="275" spans="1:5">
      <c r="A275" s="61"/>
      <c r="B275" s="61"/>
      <c r="C275" s="61"/>
      <c r="D275" s="61"/>
      <c r="E275" s="49"/>
    </row>
    <row r="276" spans="1:5">
      <c r="A276" s="49"/>
      <c r="B276" s="49"/>
      <c r="C276" s="49"/>
      <c r="D276" s="49"/>
      <c r="E276" s="49"/>
    </row>
    <row r="277" spans="1:5">
      <c r="A277" s="49"/>
      <c r="B277" s="49"/>
      <c r="C277" s="49"/>
      <c r="D277" s="49"/>
      <c r="E277" s="49"/>
    </row>
    <row r="278" spans="1:5">
      <c r="A278" s="49"/>
      <c r="B278" s="49"/>
      <c r="C278" s="49"/>
      <c r="D278" s="49"/>
      <c r="E278" s="49"/>
    </row>
    <row r="279" spans="1:5">
      <c r="A279" s="49"/>
      <c r="B279" s="49"/>
      <c r="C279" s="49"/>
      <c r="D279" s="49"/>
      <c r="E279" s="49"/>
    </row>
    <row r="280" spans="1:5">
      <c r="A280" s="49"/>
      <c r="B280" s="49"/>
      <c r="C280" s="49"/>
      <c r="D280" s="49"/>
      <c r="E280" s="49"/>
    </row>
    <row r="281" spans="1:5">
      <c r="A281" s="49"/>
      <c r="B281" s="49"/>
      <c r="C281" s="49"/>
      <c r="D281" s="49"/>
      <c r="E281" s="49"/>
    </row>
    <row r="282" spans="1:5">
      <c r="A282" s="49"/>
      <c r="B282" s="49"/>
      <c r="C282" s="49"/>
      <c r="D282" s="49"/>
      <c r="E282" s="49"/>
    </row>
    <row r="283" spans="1:5">
      <c r="A283" s="49"/>
      <c r="B283" s="49"/>
      <c r="C283" s="49"/>
      <c r="D283" s="49"/>
      <c r="E283" s="49"/>
    </row>
    <row r="284" spans="1:5">
      <c r="A284" s="49"/>
      <c r="B284" s="49"/>
      <c r="C284" s="49"/>
      <c r="D284" s="49"/>
      <c r="E284" s="49"/>
    </row>
    <row r="285" spans="1:5">
      <c r="A285" s="49"/>
      <c r="B285" s="49"/>
      <c r="C285" s="49"/>
      <c r="D285" s="49"/>
      <c r="E285" s="49"/>
    </row>
    <row r="286" spans="1:5">
      <c r="A286" s="49"/>
      <c r="B286" s="49"/>
      <c r="C286" s="49"/>
      <c r="D286" s="49"/>
      <c r="E286" s="49"/>
    </row>
    <row r="287" spans="1:5">
      <c r="A287" s="49"/>
      <c r="B287" s="49"/>
      <c r="C287" s="49"/>
      <c r="D287" s="49"/>
      <c r="E287" s="49"/>
    </row>
    <row r="288" spans="1:5">
      <c r="A288" s="49"/>
      <c r="B288" s="49"/>
      <c r="C288" s="49"/>
      <c r="D288" s="49"/>
      <c r="E288" s="49"/>
    </row>
    <row r="289" spans="1:5">
      <c r="A289" s="49"/>
      <c r="B289" s="49"/>
      <c r="C289" s="49"/>
      <c r="D289" s="49"/>
      <c r="E289" s="49"/>
    </row>
    <row r="290" spans="1:5">
      <c r="A290" s="49"/>
      <c r="B290" s="49"/>
      <c r="C290" s="49"/>
      <c r="D290" s="49"/>
      <c r="E290" s="49"/>
    </row>
    <row r="291" spans="1:5">
      <c r="A291" s="49"/>
      <c r="B291" s="49"/>
      <c r="C291" s="49"/>
      <c r="D291" s="49"/>
      <c r="E291" s="49"/>
    </row>
    <row r="292" spans="1:5">
      <c r="A292" s="49"/>
      <c r="B292" s="49"/>
      <c r="C292" s="49"/>
      <c r="D292" s="49"/>
      <c r="E292" s="49"/>
    </row>
    <row r="293" spans="1:5">
      <c r="A293" s="49"/>
      <c r="B293" s="49"/>
      <c r="C293" s="49"/>
      <c r="D293" s="49"/>
      <c r="E293" s="49"/>
    </row>
    <row r="294" spans="1:5">
      <c r="A294" s="49"/>
      <c r="B294" s="49"/>
      <c r="C294" s="49"/>
      <c r="D294" s="49"/>
      <c r="E294" s="49"/>
    </row>
    <row r="295" spans="1:5">
      <c r="A295" s="49"/>
      <c r="B295" s="49"/>
      <c r="C295" s="49"/>
      <c r="D295" s="49"/>
      <c r="E295" s="49"/>
    </row>
    <row r="296" spans="1:5">
      <c r="A296" s="49"/>
      <c r="B296" s="49"/>
      <c r="C296" s="49"/>
      <c r="D296" s="49"/>
      <c r="E296" s="49"/>
    </row>
    <row r="297" spans="1:5">
      <c r="A297" s="49"/>
      <c r="B297" s="49"/>
      <c r="C297" s="49"/>
      <c r="D297" s="49"/>
      <c r="E297" s="49"/>
    </row>
    <row r="298" spans="1:5">
      <c r="A298" s="49"/>
      <c r="B298" s="49"/>
      <c r="C298" s="49"/>
      <c r="D298" s="49"/>
      <c r="E298" s="49"/>
    </row>
    <row r="299" spans="1:5">
      <c r="A299" s="49"/>
      <c r="B299" s="49"/>
      <c r="C299" s="49"/>
      <c r="D299" s="49"/>
      <c r="E299" s="49"/>
    </row>
    <row r="300" spans="1:5">
      <c r="A300" s="49"/>
      <c r="B300" s="49"/>
      <c r="C300" s="49"/>
      <c r="D300" s="49"/>
      <c r="E300" s="49"/>
    </row>
    <row r="301" spans="1:5">
      <c r="A301" s="49"/>
      <c r="B301" s="49"/>
      <c r="C301" s="49"/>
      <c r="D301" s="49"/>
      <c r="E301" s="49"/>
    </row>
    <row r="302" spans="1:5">
      <c r="A302" s="49"/>
      <c r="B302" s="49"/>
      <c r="C302" s="49"/>
      <c r="D302" s="49"/>
      <c r="E302" s="49"/>
    </row>
    <row r="303" spans="1:5">
      <c r="A303" s="49"/>
      <c r="B303" s="49"/>
      <c r="C303" s="49"/>
      <c r="D303" s="49"/>
      <c r="E303" s="49"/>
    </row>
    <row r="304" spans="1:5">
      <c r="A304" s="49"/>
      <c r="B304" s="49"/>
      <c r="C304" s="49"/>
      <c r="D304" s="49"/>
      <c r="E304" s="49"/>
    </row>
    <row r="305" spans="1:5">
      <c r="A305" s="49"/>
      <c r="B305" s="49"/>
      <c r="C305" s="49"/>
      <c r="D305" s="49"/>
      <c r="E305" s="49"/>
    </row>
    <row r="306" spans="1:5">
      <c r="A306" s="49"/>
      <c r="B306" s="49"/>
      <c r="C306" s="49"/>
      <c r="D306" s="49"/>
      <c r="E306" s="49"/>
    </row>
    <row r="307" spans="1:5">
      <c r="A307" s="49"/>
      <c r="B307" s="49"/>
      <c r="C307" s="49"/>
      <c r="D307" s="49"/>
      <c r="E307" s="49"/>
    </row>
    <row r="308" spans="1:5">
      <c r="A308" s="49"/>
      <c r="B308" s="49"/>
      <c r="C308" s="49"/>
      <c r="D308" s="49"/>
      <c r="E308" s="49"/>
    </row>
    <row r="309" spans="1:5">
      <c r="A309" s="49"/>
      <c r="B309" s="49"/>
      <c r="C309" s="49"/>
      <c r="D309" s="49"/>
      <c r="E309" s="49"/>
    </row>
    <row r="310" spans="1:5">
      <c r="A310" s="49"/>
      <c r="B310" s="49"/>
      <c r="C310" s="49"/>
      <c r="D310" s="49"/>
      <c r="E310" s="49"/>
    </row>
    <row r="311" spans="1:5">
      <c r="A311" s="49"/>
      <c r="B311" s="49"/>
      <c r="C311" s="49"/>
      <c r="D311" s="49"/>
      <c r="E311" s="49"/>
    </row>
    <row r="312" spans="1:5">
      <c r="A312" s="49"/>
      <c r="B312" s="49"/>
      <c r="C312" s="49"/>
      <c r="D312" s="49"/>
      <c r="E312" s="49"/>
    </row>
    <row r="313" spans="1:5">
      <c r="A313" s="49"/>
      <c r="B313" s="49"/>
      <c r="C313" s="49"/>
      <c r="D313" s="49"/>
      <c r="E313" s="49"/>
    </row>
    <row r="314" spans="1:5">
      <c r="A314" s="49"/>
      <c r="B314" s="49"/>
      <c r="C314" s="49"/>
      <c r="D314" s="49"/>
      <c r="E314" s="49"/>
    </row>
    <row r="315" spans="1:5">
      <c r="A315" s="49"/>
      <c r="B315" s="49"/>
      <c r="C315" s="49"/>
      <c r="D315" s="49"/>
      <c r="E315" s="49"/>
    </row>
    <row r="316" spans="1:5">
      <c r="A316" s="49"/>
      <c r="B316" s="49"/>
      <c r="C316" s="49"/>
      <c r="D316" s="49"/>
      <c r="E316" s="49"/>
    </row>
    <row r="317" spans="1:5">
      <c r="A317" s="49"/>
      <c r="B317" s="49"/>
      <c r="C317" s="49"/>
      <c r="D317" s="49"/>
      <c r="E317" s="49"/>
    </row>
    <row r="318" spans="1:5">
      <c r="A318" s="49"/>
      <c r="B318" s="49"/>
      <c r="C318" s="49"/>
      <c r="D318" s="49"/>
      <c r="E318" s="49"/>
    </row>
    <row r="319" spans="1:5">
      <c r="A319" s="49"/>
      <c r="B319" s="49"/>
      <c r="C319" s="49"/>
      <c r="D319" s="49"/>
      <c r="E319" s="49"/>
    </row>
    <row r="320" spans="1:5">
      <c r="A320" s="49"/>
      <c r="B320" s="49"/>
      <c r="C320" s="49"/>
      <c r="D320" s="49"/>
      <c r="E320" s="49"/>
    </row>
    <row r="321" spans="1:5">
      <c r="A321" s="49"/>
      <c r="B321" s="49"/>
      <c r="C321" s="49"/>
      <c r="D321" s="49"/>
      <c r="E321" s="49"/>
    </row>
    <row r="322" spans="1:5">
      <c r="A322" s="49"/>
      <c r="B322" s="49"/>
      <c r="C322" s="49"/>
      <c r="D322" s="49"/>
      <c r="E322" s="49"/>
    </row>
    <row r="323" spans="1:5">
      <c r="A323" s="49"/>
      <c r="B323" s="49"/>
      <c r="C323" s="49"/>
      <c r="D323" s="49"/>
      <c r="E323" s="49"/>
    </row>
    <row r="324" spans="1:5">
      <c r="A324" s="49"/>
      <c r="B324" s="49"/>
      <c r="C324" s="49"/>
      <c r="D324" s="49"/>
      <c r="E324" s="49"/>
    </row>
    <row r="325" spans="1:5">
      <c r="A325" s="49"/>
      <c r="B325" s="49"/>
      <c r="C325" s="49"/>
      <c r="D325" s="49"/>
      <c r="E325" s="49"/>
    </row>
    <row r="326" spans="1:5">
      <c r="A326" s="49"/>
      <c r="B326" s="49"/>
      <c r="C326" s="49"/>
      <c r="D326" s="49"/>
      <c r="E326" s="49"/>
    </row>
    <row r="327" spans="1:5">
      <c r="A327" s="49"/>
      <c r="B327" s="49"/>
      <c r="C327" s="49"/>
      <c r="D327" s="49"/>
      <c r="E327" s="49"/>
    </row>
    <row r="328" spans="1:5">
      <c r="A328" s="49"/>
      <c r="B328" s="49"/>
      <c r="C328" s="49"/>
      <c r="D328" s="49"/>
      <c r="E328" s="49"/>
    </row>
    <row r="329" spans="1:5">
      <c r="A329" s="49"/>
      <c r="B329" s="49"/>
      <c r="C329" s="49"/>
      <c r="D329" s="49"/>
      <c r="E329" s="49"/>
    </row>
    <row r="330" spans="1:5">
      <c r="A330" s="49"/>
      <c r="B330" s="49"/>
      <c r="C330" s="49"/>
      <c r="D330" s="49"/>
      <c r="E330" s="49"/>
    </row>
    <row r="331" spans="1:5">
      <c r="A331" s="49"/>
      <c r="B331" s="49"/>
      <c r="C331" s="49"/>
      <c r="D331" s="49"/>
      <c r="E331" s="49"/>
    </row>
    <row r="332" spans="1:5">
      <c r="A332" s="49"/>
      <c r="B332" s="49"/>
      <c r="C332" s="49"/>
      <c r="D332" s="49"/>
      <c r="E332" s="49"/>
    </row>
    <row r="333" spans="1:5">
      <c r="A333" s="49"/>
      <c r="B333" s="49"/>
      <c r="C333" s="49"/>
      <c r="D333" s="49"/>
      <c r="E333" s="49"/>
    </row>
    <row r="334" spans="1:5">
      <c r="A334" s="49"/>
      <c r="B334" s="49"/>
      <c r="C334" s="49"/>
      <c r="D334" s="49"/>
      <c r="E334" s="49"/>
    </row>
    <row r="335" spans="1:5">
      <c r="A335" s="49"/>
      <c r="B335" s="49"/>
      <c r="C335" s="49"/>
      <c r="D335" s="49"/>
      <c r="E335" s="49"/>
    </row>
    <row r="336" spans="1:5">
      <c r="A336" s="49"/>
      <c r="B336" s="49"/>
      <c r="C336" s="49"/>
      <c r="D336" s="49"/>
      <c r="E336" s="49"/>
    </row>
    <row r="337" spans="1:5">
      <c r="A337" s="49"/>
      <c r="B337" s="49"/>
      <c r="C337" s="49"/>
      <c r="D337" s="49"/>
      <c r="E337" s="49"/>
    </row>
    <row r="338" spans="1:5">
      <c r="A338" s="49"/>
      <c r="B338" s="49"/>
      <c r="C338" s="49"/>
      <c r="D338" s="49"/>
      <c r="E338" s="49"/>
    </row>
    <row r="339" spans="1:5">
      <c r="A339" s="49"/>
      <c r="B339" s="49"/>
      <c r="C339" s="49"/>
      <c r="D339" s="49"/>
      <c r="E339" s="49"/>
    </row>
    <row r="340" spans="1:5">
      <c r="A340" s="49"/>
      <c r="B340" s="49"/>
      <c r="C340" s="49"/>
      <c r="D340" s="49"/>
      <c r="E340" s="49"/>
    </row>
    <row r="341" spans="1:5">
      <c r="A341" s="49"/>
      <c r="B341" s="49"/>
      <c r="C341" s="49"/>
      <c r="D341" s="49"/>
      <c r="E341" s="49"/>
    </row>
    <row r="342" spans="1:5">
      <c r="A342" s="49"/>
      <c r="B342" s="49"/>
      <c r="C342" s="49"/>
      <c r="D342" s="49"/>
      <c r="E342" s="49"/>
    </row>
    <row r="343" spans="1:5">
      <c r="A343" s="49"/>
      <c r="B343" s="49"/>
      <c r="C343" s="49"/>
      <c r="D343" s="49"/>
      <c r="E343" s="49"/>
    </row>
    <row r="344" spans="1:5">
      <c r="A344" s="49"/>
      <c r="B344" s="49"/>
      <c r="C344" s="49"/>
      <c r="D344" s="49"/>
      <c r="E344" s="49"/>
    </row>
    <row r="345" spans="1:5">
      <c r="A345" s="49"/>
      <c r="B345" s="49"/>
      <c r="C345" s="49"/>
      <c r="D345" s="49"/>
      <c r="E345" s="49"/>
    </row>
    <row r="346" spans="1:5">
      <c r="A346" s="49"/>
      <c r="B346" s="49"/>
      <c r="C346" s="49"/>
      <c r="D346" s="49"/>
      <c r="E346" s="49"/>
    </row>
    <row r="347" spans="1:5">
      <c r="A347" s="49"/>
      <c r="B347" s="49"/>
      <c r="C347" s="49"/>
      <c r="D347" s="49"/>
      <c r="E347" s="49"/>
    </row>
    <row r="348" spans="1:5">
      <c r="A348" s="49"/>
      <c r="B348" s="49"/>
      <c r="C348" s="49"/>
      <c r="D348" s="49"/>
      <c r="E348" s="49"/>
    </row>
    <row r="349" spans="1:5">
      <c r="A349" s="49"/>
      <c r="B349" s="49"/>
      <c r="C349" s="49"/>
      <c r="D349" s="49"/>
      <c r="E349" s="49"/>
    </row>
    <row r="350" spans="1:5">
      <c r="A350" s="49"/>
      <c r="B350" s="49"/>
      <c r="C350" s="49"/>
      <c r="D350" s="49"/>
      <c r="E350" s="49"/>
    </row>
    <row r="351" spans="1:5">
      <c r="A351" s="49"/>
      <c r="B351" s="49"/>
      <c r="C351" s="49"/>
      <c r="D351" s="49"/>
      <c r="E351" s="49"/>
    </row>
    <row r="352" spans="1:5">
      <c r="A352" s="49"/>
      <c r="B352" s="49"/>
      <c r="C352" s="49"/>
      <c r="D352" s="49"/>
      <c r="E352" s="49"/>
    </row>
    <row r="353" spans="1:5">
      <c r="A353" s="49"/>
      <c r="B353" s="49"/>
      <c r="C353" s="49"/>
      <c r="D353" s="49"/>
      <c r="E353" s="49"/>
    </row>
    <row r="354" spans="1:5">
      <c r="A354" s="49"/>
      <c r="B354" s="49"/>
      <c r="C354" s="49"/>
      <c r="D354" s="49"/>
      <c r="E354" s="49"/>
    </row>
    <row r="355" spans="1:5">
      <c r="A355" s="49"/>
      <c r="B355" s="49"/>
      <c r="C355" s="49"/>
      <c r="D355" s="49"/>
      <c r="E355" s="49"/>
    </row>
    <row r="356" spans="1:5">
      <c r="A356" s="49"/>
      <c r="B356" s="49"/>
      <c r="C356" s="49"/>
      <c r="D356" s="49"/>
      <c r="E356" s="49"/>
    </row>
    <row r="357" spans="1:5">
      <c r="A357" s="49"/>
      <c r="B357" s="49"/>
      <c r="C357" s="49"/>
      <c r="D357" s="49"/>
      <c r="E357" s="49"/>
    </row>
    <row r="358" spans="1:5">
      <c r="A358" s="49"/>
      <c r="B358" s="49"/>
      <c r="C358" s="49"/>
      <c r="D358" s="49"/>
      <c r="E358" s="49"/>
    </row>
    <row r="359" spans="1:5">
      <c r="A359" s="49"/>
      <c r="B359" s="49"/>
      <c r="C359" s="49"/>
      <c r="D359" s="49"/>
      <c r="E359" s="49"/>
    </row>
    <row r="360" spans="1:5">
      <c r="A360" s="49"/>
      <c r="B360" s="49"/>
      <c r="C360" s="49"/>
      <c r="D360" s="49"/>
      <c r="E360" s="49"/>
    </row>
    <row r="361" spans="1:5">
      <c r="A361" s="49"/>
      <c r="B361" s="49"/>
      <c r="C361" s="49"/>
      <c r="D361" s="49"/>
      <c r="E361" s="49"/>
    </row>
    <row r="362" spans="1:5">
      <c r="A362" s="49"/>
      <c r="B362" s="49"/>
      <c r="C362" s="49"/>
      <c r="D362" s="49"/>
      <c r="E362" s="49"/>
    </row>
    <row r="363" spans="1:5">
      <c r="A363" s="49"/>
      <c r="B363" s="49"/>
      <c r="C363" s="49"/>
      <c r="D363" s="49"/>
      <c r="E363" s="49"/>
    </row>
    <row r="364" spans="1:5">
      <c r="A364" s="49"/>
      <c r="B364" s="49"/>
      <c r="C364" s="49"/>
      <c r="D364" s="49"/>
      <c r="E364" s="49"/>
    </row>
    <row r="365" spans="1:5">
      <c r="A365" s="49"/>
      <c r="B365" s="49"/>
      <c r="C365" s="49"/>
      <c r="D365" s="49"/>
      <c r="E365" s="49"/>
    </row>
    <row r="366" spans="1:5">
      <c r="A366" s="49"/>
      <c r="B366" s="49"/>
      <c r="C366" s="49"/>
      <c r="D366" s="49"/>
      <c r="E366" s="49"/>
    </row>
    <row r="367" spans="1:5">
      <c r="A367" s="49"/>
      <c r="B367" s="49"/>
      <c r="C367" s="49"/>
      <c r="D367" s="49"/>
      <c r="E367" s="49"/>
    </row>
    <row r="368" spans="1:5">
      <c r="A368" s="49"/>
      <c r="B368" s="49"/>
      <c r="C368" s="49"/>
      <c r="D368" s="49"/>
      <c r="E368" s="49"/>
    </row>
    <row r="369" spans="1:5">
      <c r="A369" s="49"/>
      <c r="B369" s="49"/>
      <c r="C369" s="49"/>
      <c r="D369" s="49"/>
      <c r="E369" s="49"/>
    </row>
    <row r="370" spans="1:5">
      <c r="A370" s="49"/>
      <c r="B370" s="49"/>
      <c r="C370" s="49"/>
      <c r="D370" s="49"/>
      <c r="E370" s="49"/>
    </row>
    <row r="371" spans="1:5">
      <c r="A371" s="49"/>
      <c r="B371" s="49"/>
      <c r="C371" s="49"/>
      <c r="D371" s="49"/>
      <c r="E371" s="49"/>
    </row>
    <row r="372" spans="1:5">
      <c r="A372" s="49"/>
      <c r="B372" s="49"/>
      <c r="C372" s="49"/>
      <c r="D372" s="49"/>
      <c r="E372" s="49"/>
    </row>
    <row r="373" spans="1:5">
      <c r="A373" s="49"/>
      <c r="B373" s="49"/>
      <c r="C373" s="49"/>
      <c r="D373" s="49"/>
      <c r="E373" s="49"/>
    </row>
    <row r="374" spans="1:5">
      <c r="A374" s="49"/>
      <c r="B374" s="49"/>
      <c r="C374" s="49"/>
      <c r="D374" s="49"/>
      <c r="E374" s="49"/>
    </row>
    <row r="375" spans="1:5">
      <c r="A375" s="49"/>
      <c r="B375" s="49"/>
      <c r="C375" s="49"/>
      <c r="D375" s="49"/>
      <c r="E375" s="49"/>
    </row>
    <row r="376" spans="1:5">
      <c r="A376" s="49"/>
      <c r="B376" s="49"/>
      <c r="C376" s="49"/>
      <c r="D376" s="49"/>
      <c r="E376" s="49"/>
    </row>
    <row r="377" spans="1:5">
      <c r="A377" s="49"/>
      <c r="B377" s="49"/>
      <c r="C377" s="49"/>
      <c r="D377" s="49"/>
      <c r="E377" s="49"/>
    </row>
    <row r="378" spans="1:5">
      <c r="A378" s="49"/>
      <c r="B378" s="49"/>
      <c r="C378" s="49"/>
      <c r="D378" s="49"/>
      <c r="E378" s="49"/>
    </row>
    <row r="379" spans="1:5">
      <c r="A379" s="49"/>
      <c r="B379" s="49"/>
      <c r="C379" s="49"/>
      <c r="D379" s="49"/>
      <c r="E379" s="49"/>
    </row>
  </sheetData>
  <sortState ref="A13:D188">
    <sortCondition ref="D13:D188"/>
  </sortState>
  <conditionalFormatting sqref="A10:B10">
    <cfRule type="duplicateValues" dxfId="69" priority="278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C1:X396"/>
  <sheetViews>
    <sheetView zoomScale="80" zoomScaleNormal="80" zoomScalePageLayoutView="80" workbookViewId="0">
      <selection activeCell="M2" sqref="M2:M168"/>
    </sheetView>
  </sheetViews>
  <sheetFormatPr baseColWidth="10" defaultColWidth="11" defaultRowHeight="15" x14ac:dyDescent="0"/>
  <cols>
    <col min="3" max="3" width="16.1640625" bestFit="1" customWidth="1"/>
    <col min="5" max="5" width="7.5" customWidth="1"/>
    <col min="6" max="6" width="11" style="12"/>
    <col min="7" max="7" width="18.1640625" style="4" bestFit="1" customWidth="1"/>
    <col min="8" max="8" width="8.6640625" style="4" customWidth="1"/>
    <col min="9" max="9" width="18.5" style="9" bestFit="1" customWidth="1"/>
    <col min="10" max="10" width="11" style="8"/>
    <col min="11" max="11" width="8.5" style="4" bestFit="1" customWidth="1"/>
    <col min="12" max="12" width="4.5" style="4" customWidth="1"/>
    <col min="13" max="13" width="13.33203125" style="4" customWidth="1"/>
    <col min="14" max="14" width="18.1640625" bestFit="1" customWidth="1"/>
    <col min="19" max="19" width="16.5" style="2" customWidth="1"/>
    <col min="20" max="20" width="17.5" bestFit="1" customWidth="1"/>
    <col min="21" max="22" width="5.6640625" customWidth="1"/>
    <col min="23" max="23" width="16.1640625" bestFit="1" customWidth="1"/>
  </cols>
  <sheetData>
    <row r="1" spans="3:21" s="18" customFormat="1" ht="20">
      <c r="G1" s="19" t="s">
        <v>329</v>
      </c>
      <c r="H1" s="19" t="s">
        <v>334</v>
      </c>
      <c r="I1" s="20" t="s">
        <v>333</v>
      </c>
      <c r="J1" s="21" t="s">
        <v>332</v>
      </c>
      <c r="K1" s="19" t="s">
        <v>331</v>
      </c>
      <c r="L1" s="19" t="s">
        <v>1867</v>
      </c>
      <c r="M1" s="19" t="s">
        <v>1863</v>
      </c>
      <c r="N1" s="18" t="s">
        <v>329</v>
      </c>
      <c r="O1" s="18" t="s">
        <v>330</v>
      </c>
      <c r="S1" s="22"/>
    </row>
    <row r="2" spans="3:21">
      <c r="C2" s="3"/>
      <c r="F2" s="12">
        <v>26</v>
      </c>
      <c r="G2" s="58" t="s">
        <v>3677</v>
      </c>
      <c r="H2" s="7">
        <f t="shared" ref="H2:H33" si="0">LOOKUP(G2,$N$2:$N$21,$O$2:$O$21)</f>
        <v>1</v>
      </c>
      <c r="I2" s="50">
        <v>40185.501388888886</v>
      </c>
      <c r="J2" s="58" t="s">
        <v>3316</v>
      </c>
      <c r="K2" s="4">
        <f t="shared" ref="K2:K33" si="1">IF(Q2&gt;Q1,1,K1+1)</f>
        <v>1</v>
      </c>
      <c r="L2" s="4">
        <v>2</v>
      </c>
      <c r="M2" s="4">
        <v>1</v>
      </c>
      <c r="N2" s="58" t="s">
        <v>3677</v>
      </c>
      <c r="O2">
        <v>1</v>
      </c>
      <c r="Q2">
        <v>1</v>
      </c>
      <c r="S2" s="8"/>
      <c r="T2" s="10"/>
    </row>
    <row r="3" spans="3:21">
      <c r="C3" s="3"/>
      <c r="F3" s="12">
        <v>49</v>
      </c>
      <c r="G3" s="58" t="s">
        <v>3677</v>
      </c>
      <c r="H3" s="7">
        <f t="shared" si="0"/>
        <v>1</v>
      </c>
      <c r="I3" s="50">
        <v>40194.745833333334</v>
      </c>
      <c r="J3" s="58" t="s">
        <v>2769</v>
      </c>
      <c r="K3" s="4">
        <f t="shared" si="1"/>
        <v>2</v>
      </c>
      <c r="L3" s="4">
        <v>2</v>
      </c>
      <c r="M3" s="4">
        <v>2</v>
      </c>
      <c r="N3" s="51" t="s">
        <v>2567</v>
      </c>
      <c r="O3">
        <v>2</v>
      </c>
      <c r="Q3">
        <v>1</v>
      </c>
      <c r="S3" s="8"/>
      <c r="T3" s="10"/>
    </row>
    <row r="4" spans="3:21">
      <c r="C4" s="3"/>
      <c r="F4" s="12">
        <v>55</v>
      </c>
      <c r="G4" s="58" t="s">
        <v>3677</v>
      </c>
      <c r="H4" s="7">
        <f t="shared" si="0"/>
        <v>1</v>
      </c>
      <c r="I4" s="50">
        <v>40197.446527777778</v>
      </c>
      <c r="J4" s="58" t="s">
        <v>3108</v>
      </c>
      <c r="K4" s="4">
        <f t="shared" si="1"/>
        <v>3</v>
      </c>
      <c r="L4" s="4">
        <v>2</v>
      </c>
      <c r="M4" s="4">
        <v>3</v>
      </c>
      <c r="N4" s="51" t="s">
        <v>2820</v>
      </c>
      <c r="O4">
        <v>3</v>
      </c>
      <c r="Q4">
        <v>1</v>
      </c>
      <c r="S4" s="8"/>
      <c r="T4" s="10"/>
    </row>
    <row r="5" spans="3:21">
      <c r="C5" s="3"/>
      <c r="F5" s="12">
        <v>59</v>
      </c>
      <c r="G5" s="58" t="s">
        <v>3677</v>
      </c>
      <c r="H5" s="7">
        <f t="shared" si="0"/>
        <v>1</v>
      </c>
      <c r="I5" s="50">
        <v>40198.720138888886</v>
      </c>
      <c r="J5" s="58" t="s">
        <v>2815</v>
      </c>
      <c r="K5" s="4">
        <f t="shared" si="1"/>
        <v>4</v>
      </c>
      <c r="L5" s="4">
        <v>3</v>
      </c>
      <c r="M5" s="4">
        <v>4</v>
      </c>
      <c r="N5" s="51" t="s">
        <v>2738</v>
      </c>
      <c r="O5">
        <v>4</v>
      </c>
      <c r="Q5">
        <v>1</v>
      </c>
      <c r="S5" s="8"/>
      <c r="T5" s="10"/>
    </row>
    <row r="6" spans="3:21">
      <c r="C6" s="3"/>
      <c r="F6" s="12">
        <v>77</v>
      </c>
      <c r="G6" s="58" t="s">
        <v>3677</v>
      </c>
      <c r="H6" s="7">
        <f t="shared" si="0"/>
        <v>1</v>
      </c>
      <c r="I6" s="50">
        <v>40210.053472222222</v>
      </c>
      <c r="J6" s="58" t="s">
        <v>3079</v>
      </c>
      <c r="K6" s="4">
        <f t="shared" si="1"/>
        <v>5</v>
      </c>
      <c r="L6" s="4">
        <v>2</v>
      </c>
      <c r="M6" s="4">
        <v>5</v>
      </c>
      <c r="N6" s="51" t="s">
        <v>2925</v>
      </c>
      <c r="O6">
        <v>5</v>
      </c>
      <c r="Q6">
        <v>1</v>
      </c>
      <c r="S6" s="8"/>
      <c r="T6" s="10"/>
    </row>
    <row r="7" spans="3:21">
      <c r="C7" s="3"/>
      <c r="F7" s="12">
        <v>81</v>
      </c>
      <c r="G7" s="58" t="s">
        <v>3677</v>
      </c>
      <c r="H7" s="7">
        <f t="shared" si="0"/>
        <v>1</v>
      </c>
      <c r="I7" s="50">
        <v>40210.582638888889</v>
      </c>
      <c r="J7" s="58" t="s">
        <v>3080</v>
      </c>
      <c r="K7" s="4">
        <f t="shared" si="1"/>
        <v>6</v>
      </c>
      <c r="L7" s="4">
        <v>3</v>
      </c>
      <c r="M7" s="4">
        <v>6</v>
      </c>
      <c r="N7" s="58" t="s">
        <v>2570</v>
      </c>
      <c r="O7">
        <v>6</v>
      </c>
      <c r="Q7">
        <v>1</v>
      </c>
      <c r="S7" s="8"/>
      <c r="T7" s="10"/>
    </row>
    <row r="8" spans="3:21">
      <c r="C8" s="3"/>
      <c r="F8" s="12">
        <v>99</v>
      </c>
      <c r="G8" s="58" t="s">
        <v>3677</v>
      </c>
      <c r="H8" s="7">
        <f t="shared" si="0"/>
        <v>1</v>
      </c>
      <c r="I8" s="50">
        <v>40217.644444444442</v>
      </c>
      <c r="J8" s="58" t="s">
        <v>3504</v>
      </c>
      <c r="K8" s="4">
        <f t="shared" si="1"/>
        <v>7</v>
      </c>
      <c r="L8" s="4">
        <v>2</v>
      </c>
      <c r="M8" s="4">
        <v>7</v>
      </c>
      <c r="N8" s="51" t="s">
        <v>2630</v>
      </c>
      <c r="O8">
        <v>7</v>
      </c>
      <c r="Q8">
        <v>1</v>
      </c>
      <c r="S8" s="8"/>
      <c r="T8" s="10"/>
    </row>
    <row r="9" spans="3:21">
      <c r="C9" s="3"/>
      <c r="F9" s="12">
        <v>112</v>
      </c>
      <c r="G9" s="58" t="s">
        <v>3677</v>
      </c>
      <c r="H9" s="7">
        <f t="shared" si="0"/>
        <v>1</v>
      </c>
      <c r="I9" s="50">
        <v>40224.48541666667</v>
      </c>
      <c r="J9" s="58" t="s">
        <v>2946</v>
      </c>
      <c r="K9" s="4">
        <f t="shared" si="1"/>
        <v>8</v>
      </c>
      <c r="L9" s="4">
        <v>2</v>
      </c>
      <c r="M9" s="4">
        <v>8</v>
      </c>
      <c r="N9" s="58" t="s">
        <v>3680</v>
      </c>
      <c r="O9">
        <v>8</v>
      </c>
      <c r="Q9">
        <v>1</v>
      </c>
      <c r="S9" s="8"/>
      <c r="T9" s="10"/>
    </row>
    <row r="10" spans="3:21">
      <c r="C10" s="3"/>
      <c r="D10" s="1"/>
      <c r="F10" s="12">
        <v>116</v>
      </c>
      <c r="G10" s="58" t="s">
        <v>3677</v>
      </c>
      <c r="H10" s="7">
        <f t="shared" si="0"/>
        <v>1</v>
      </c>
      <c r="I10" s="50">
        <v>40226.634027777778</v>
      </c>
      <c r="J10" s="58" t="s">
        <v>3490</v>
      </c>
      <c r="K10" s="4">
        <f t="shared" si="1"/>
        <v>9</v>
      </c>
      <c r="L10" s="4">
        <v>4</v>
      </c>
      <c r="M10" s="4">
        <v>9</v>
      </c>
      <c r="N10" s="51" t="s">
        <v>2993</v>
      </c>
      <c r="O10">
        <v>9</v>
      </c>
      <c r="Q10">
        <v>1</v>
      </c>
      <c r="S10" s="8"/>
      <c r="T10" s="10"/>
    </row>
    <row r="11" spans="3:21">
      <c r="C11" s="3"/>
      <c r="F11" s="12">
        <v>118</v>
      </c>
      <c r="G11" s="58" t="s">
        <v>3677</v>
      </c>
      <c r="H11" s="7">
        <f t="shared" si="0"/>
        <v>1</v>
      </c>
      <c r="I11" s="50">
        <v>40227.770138888889</v>
      </c>
      <c r="J11" s="58" t="s">
        <v>3322</v>
      </c>
      <c r="K11" s="4">
        <f t="shared" si="1"/>
        <v>10</v>
      </c>
      <c r="L11" s="4">
        <v>2</v>
      </c>
      <c r="M11" s="4">
        <v>10</v>
      </c>
      <c r="N11" s="58" t="s">
        <v>3681</v>
      </c>
      <c r="O11">
        <v>10</v>
      </c>
      <c r="Q11">
        <v>1</v>
      </c>
      <c r="S11" s="8"/>
      <c r="T11" t="s">
        <v>1872</v>
      </c>
    </row>
    <row r="12" spans="3:21">
      <c r="C12" s="3"/>
      <c r="F12" s="12">
        <v>132</v>
      </c>
      <c r="G12" s="58" t="s">
        <v>3677</v>
      </c>
      <c r="H12" s="7">
        <f t="shared" si="0"/>
        <v>1</v>
      </c>
      <c r="I12" s="50">
        <v>40249.949305555558</v>
      </c>
      <c r="J12" s="58" t="s">
        <v>3064</v>
      </c>
      <c r="K12" s="4">
        <f t="shared" si="1"/>
        <v>11</v>
      </c>
      <c r="L12" s="4">
        <v>11</v>
      </c>
      <c r="M12" s="4">
        <v>11</v>
      </c>
      <c r="N12" s="58" t="s">
        <v>2600</v>
      </c>
      <c r="O12">
        <v>11</v>
      </c>
      <c r="Q12">
        <v>1</v>
      </c>
      <c r="S12" s="8"/>
      <c r="T12" t="s">
        <v>1870</v>
      </c>
      <c r="U12" t="s">
        <v>1869</v>
      </c>
    </row>
    <row r="13" spans="3:21">
      <c r="C13" s="3"/>
      <c r="F13" s="12">
        <v>156</v>
      </c>
      <c r="G13" s="58" t="s">
        <v>3677</v>
      </c>
      <c r="H13" s="7">
        <f t="shared" si="0"/>
        <v>1</v>
      </c>
      <c r="I13" s="50">
        <v>40322.975694444445</v>
      </c>
      <c r="J13" s="58" t="s">
        <v>3660</v>
      </c>
      <c r="K13" s="4">
        <f t="shared" si="1"/>
        <v>12</v>
      </c>
      <c r="L13" s="4">
        <v>2</v>
      </c>
      <c r="M13" s="4">
        <v>12</v>
      </c>
      <c r="N13" s="51" t="s">
        <v>2565</v>
      </c>
      <c r="O13">
        <v>12</v>
      </c>
      <c r="Q13">
        <v>1</v>
      </c>
      <c r="S13" s="8"/>
      <c r="T13" s="26" t="s">
        <v>294</v>
      </c>
      <c r="U13" s="4">
        <v>2</v>
      </c>
    </row>
    <row r="14" spans="3:21">
      <c r="C14" s="3"/>
      <c r="D14" s="1"/>
      <c r="F14" s="12">
        <v>164</v>
      </c>
      <c r="G14" s="58" t="s">
        <v>3677</v>
      </c>
      <c r="H14" s="7">
        <f t="shared" si="0"/>
        <v>1</v>
      </c>
      <c r="I14" s="50">
        <v>40345.768750000003</v>
      </c>
      <c r="J14" s="58" t="s">
        <v>3276</v>
      </c>
      <c r="K14" s="4">
        <f t="shared" si="1"/>
        <v>13</v>
      </c>
      <c r="L14" s="4">
        <v>3</v>
      </c>
      <c r="M14" s="4">
        <v>13</v>
      </c>
      <c r="N14" s="51" t="s">
        <v>3492</v>
      </c>
      <c r="O14">
        <v>13</v>
      </c>
      <c r="Q14">
        <v>1</v>
      </c>
      <c r="S14" s="8"/>
      <c r="T14" s="26" t="s">
        <v>336</v>
      </c>
      <c r="U14" s="4">
        <v>6</v>
      </c>
    </row>
    <row r="15" spans="3:21">
      <c r="C15" s="3"/>
      <c r="F15" s="12">
        <v>3</v>
      </c>
      <c r="G15" s="51" t="s">
        <v>2567</v>
      </c>
      <c r="H15" s="7">
        <f t="shared" si="0"/>
        <v>2</v>
      </c>
      <c r="I15" s="50">
        <v>40182.720138888886</v>
      </c>
      <c r="J15" s="58" t="s">
        <v>3131</v>
      </c>
      <c r="K15" s="4">
        <f t="shared" si="1"/>
        <v>1</v>
      </c>
      <c r="L15" s="4">
        <v>4</v>
      </c>
      <c r="M15" s="4">
        <v>1</v>
      </c>
      <c r="N15" s="58" t="s">
        <v>3685</v>
      </c>
      <c r="O15">
        <v>14</v>
      </c>
      <c r="Q15">
        <v>2</v>
      </c>
      <c r="S15" s="8"/>
      <c r="T15" s="26" t="s">
        <v>288</v>
      </c>
      <c r="U15" s="4">
        <v>11</v>
      </c>
    </row>
    <row r="16" spans="3:21">
      <c r="C16" s="3"/>
      <c r="F16" s="12">
        <v>5</v>
      </c>
      <c r="G16" s="51" t="s">
        <v>2567</v>
      </c>
      <c r="H16" s="7">
        <f t="shared" si="0"/>
        <v>2</v>
      </c>
      <c r="I16" s="50">
        <v>40183.463194444441</v>
      </c>
      <c r="J16" s="58" t="s">
        <v>3374</v>
      </c>
      <c r="K16" s="4">
        <f t="shared" si="1"/>
        <v>2</v>
      </c>
      <c r="L16" s="4">
        <v>2</v>
      </c>
      <c r="M16" s="4">
        <v>2</v>
      </c>
      <c r="N16" s="51" t="s">
        <v>2653</v>
      </c>
      <c r="O16">
        <v>15</v>
      </c>
      <c r="Q16">
        <v>2</v>
      </c>
      <c r="S16" s="8"/>
      <c r="T16" s="26" t="s">
        <v>300</v>
      </c>
      <c r="U16" s="4">
        <v>1</v>
      </c>
    </row>
    <row r="17" spans="3:24">
      <c r="C17" s="3"/>
      <c r="F17" s="12">
        <v>9</v>
      </c>
      <c r="G17" s="51" t="s">
        <v>2567</v>
      </c>
      <c r="H17" s="7">
        <f t="shared" si="0"/>
        <v>2</v>
      </c>
      <c r="I17" s="50">
        <v>40183.552083333336</v>
      </c>
      <c r="J17" s="58" t="s">
        <v>3335</v>
      </c>
      <c r="K17" s="4">
        <f t="shared" si="1"/>
        <v>3</v>
      </c>
      <c r="L17" s="4">
        <v>2</v>
      </c>
      <c r="M17" s="4">
        <v>3</v>
      </c>
      <c r="N17" s="51" t="s">
        <v>2621</v>
      </c>
      <c r="O17">
        <v>16</v>
      </c>
      <c r="Q17">
        <v>2</v>
      </c>
      <c r="S17" s="8"/>
      <c r="T17" s="26" t="s">
        <v>289</v>
      </c>
      <c r="U17" s="4">
        <v>2</v>
      </c>
    </row>
    <row r="18" spans="3:24">
      <c r="C18" s="3"/>
      <c r="F18" s="12">
        <v>11</v>
      </c>
      <c r="G18" s="51" t="s">
        <v>2567</v>
      </c>
      <c r="H18" s="7">
        <f t="shared" si="0"/>
        <v>2</v>
      </c>
      <c r="I18" s="50">
        <v>40183.571527777778</v>
      </c>
      <c r="J18" s="58" t="s">
        <v>2841</v>
      </c>
      <c r="K18" s="4">
        <f t="shared" si="1"/>
        <v>4</v>
      </c>
      <c r="L18" s="4">
        <v>3</v>
      </c>
      <c r="M18" s="4">
        <v>4</v>
      </c>
      <c r="N18" s="58" t="s">
        <v>3676</v>
      </c>
      <c r="O18">
        <v>17</v>
      </c>
      <c r="Q18">
        <v>2</v>
      </c>
      <c r="S18" s="8"/>
      <c r="T18" s="26" t="s">
        <v>1581</v>
      </c>
      <c r="U18" s="4">
        <v>1</v>
      </c>
    </row>
    <row r="19" spans="3:24">
      <c r="C19" s="3"/>
      <c r="D19" s="1"/>
      <c r="F19" s="12">
        <v>13</v>
      </c>
      <c r="G19" s="51" t="s">
        <v>2567</v>
      </c>
      <c r="H19" s="7">
        <f t="shared" si="0"/>
        <v>2</v>
      </c>
      <c r="I19" s="50">
        <v>40183.602083333331</v>
      </c>
      <c r="J19" s="58" t="s">
        <v>3418</v>
      </c>
      <c r="K19" s="4">
        <f t="shared" si="1"/>
        <v>5</v>
      </c>
      <c r="L19" s="4">
        <v>4</v>
      </c>
      <c r="M19" s="4">
        <v>5</v>
      </c>
      <c r="N19" s="51" t="s">
        <v>2572</v>
      </c>
      <c r="O19">
        <v>18</v>
      </c>
      <c r="Q19">
        <v>2</v>
      </c>
      <c r="S19" s="8"/>
      <c r="T19" s="26" t="s">
        <v>299</v>
      </c>
      <c r="U19" s="4">
        <v>6</v>
      </c>
      <c r="W19" s="12">
        <f>U21/8</f>
        <v>3.75</v>
      </c>
      <c r="X19" t="s">
        <v>1865</v>
      </c>
    </row>
    <row r="20" spans="3:24">
      <c r="C20" s="3"/>
      <c r="F20" s="12">
        <v>17</v>
      </c>
      <c r="G20" s="51" t="s">
        <v>2567</v>
      </c>
      <c r="H20" s="7">
        <f t="shared" si="0"/>
        <v>2</v>
      </c>
      <c r="I20" s="50">
        <v>40183.658333333333</v>
      </c>
      <c r="J20" s="58" t="s">
        <v>3581</v>
      </c>
      <c r="K20" s="4">
        <f t="shared" si="1"/>
        <v>6</v>
      </c>
      <c r="L20" s="4">
        <v>2</v>
      </c>
      <c r="M20" s="4">
        <v>6</v>
      </c>
      <c r="N20" s="51" t="s">
        <v>3185</v>
      </c>
      <c r="O20">
        <v>19</v>
      </c>
      <c r="Q20">
        <v>2</v>
      </c>
      <c r="S20" s="8"/>
      <c r="T20" s="26" t="s">
        <v>438</v>
      </c>
      <c r="U20" s="4">
        <v>1</v>
      </c>
    </row>
    <row r="21" spans="3:24">
      <c r="C21" s="3"/>
      <c r="F21" s="12">
        <v>20</v>
      </c>
      <c r="G21" s="58" t="s">
        <v>2567</v>
      </c>
      <c r="H21" s="7">
        <f t="shared" si="0"/>
        <v>2</v>
      </c>
      <c r="I21" s="50">
        <v>40183.787499999999</v>
      </c>
      <c r="J21" s="58" t="s">
        <v>2936</v>
      </c>
      <c r="K21" s="4">
        <f t="shared" si="1"/>
        <v>7</v>
      </c>
      <c r="L21" s="4">
        <v>2</v>
      </c>
      <c r="M21" s="4">
        <v>7</v>
      </c>
      <c r="N21" s="51" t="s">
        <v>297</v>
      </c>
      <c r="O21">
        <v>20</v>
      </c>
      <c r="Q21">
        <v>2</v>
      </c>
      <c r="S21" s="8"/>
      <c r="T21" s="26" t="s">
        <v>1871</v>
      </c>
      <c r="U21" s="4">
        <v>30</v>
      </c>
    </row>
    <row r="22" spans="3:24">
      <c r="C22" s="3"/>
      <c r="F22" s="12">
        <v>21</v>
      </c>
      <c r="G22" s="51" t="s">
        <v>2567</v>
      </c>
      <c r="H22" s="7">
        <f t="shared" si="0"/>
        <v>2</v>
      </c>
      <c r="I22" s="50">
        <v>40184.427777777775</v>
      </c>
      <c r="J22" s="58" t="s">
        <v>3222</v>
      </c>
      <c r="K22" s="4">
        <f t="shared" si="1"/>
        <v>8</v>
      </c>
      <c r="L22" s="4">
        <v>4</v>
      </c>
      <c r="M22" s="4">
        <v>8</v>
      </c>
      <c r="Q22">
        <v>2</v>
      </c>
      <c r="S22" s="8"/>
    </row>
    <row r="23" spans="3:24">
      <c r="C23" s="3"/>
      <c r="F23" s="12">
        <v>24</v>
      </c>
      <c r="G23" s="58" t="s">
        <v>2567</v>
      </c>
      <c r="H23" s="7">
        <f t="shared" si="0"/>
        <v>2</v>
      </c>
      <c r="I23" s="50">
        <v>40184.757638888892</v>
      </c>
      <c r="J23" s="58" t="s">
        <v>2707</v>
      </c>
      <c r="K23" s="4">
        <f t="shared" si="1"/>
        <v>9</v>
      </c>
      <c r="L23" s="4">
        <v>2</v>
      </c>
      <c r="M23" s="4">
        <v>9</v>
      </c>
      <c r="Q23">
        <v>2</v>
      </c>
      <c r="S23" s="8"/>
    </row>
    <row r="24" spans="3:24">
      <c r="C24" s="3"/>
      <c r="F24" s="12">
        <v>25</v>
      </c>
      <c r="G24" s="51" t="s">
        <v>2567</v>
      </c>
      <c r="H24" s="7">
        <f t="shared" si="0"/>
        <v>2</v>
      </c>
      <c r="I24" s="50">
        <v>40185.484027777777</v>
      </c>
      <c r="J24" s="58" t="s">
        <v>3315</v>
      </c>
      <c r="K24" s="4">
        <f t="shared" si="1"/>
        <v>10</v>
      </c>
      <c r="L24" s="4">
        <v>9</v>
      </c>
      <c r="M24" s="4">
        <v>10</v>
      </c>
      <c r="Q24">
        <v>2</v>
      </c>
      <c r="S24" s="8"/>
    </row>
    <row r="25" spans="3:24">
      <c r="C25" s="3"/>
      <c r="F25" s="12">
        <v>32</v>
      </c>
      <c r="G25" s="51" t="s">
        <v>2567</v>
      </c>
      <c r="H25" s="7">
        <f t="shared" si="0"/>
        <v>2</v>
      </c>
      <c r="I25" s="50">
        <v>40185.803472222222</v>
      </c>
      <c r="J25" s="58" t="s">
        <v>2683</v>
      </c>
      <c r="K25" s="4">
        <f t="shared" si="1"/>
        <v>11</v>
      </c>
      <c r="L25" s="4">
        <v>2</v>
      </c>
      <c r="M25" s="4">
        <v>11</v>
      </c>
      <c r="Q25">
        <v>2</v>
      </c>
      <c r="S25" s="8"/>
      <c r="T25" s="10"/>
    </row>
    <row r="26" spans="3:24">
      <c r="C26" s="3"/>
      <c r="F26" s="12">
        <v>38</v>
      </c>
      <c r="G26" s="51" t="s">
        <v>2567</v>
      </c>
      <c r="H26" s="7">
        <f t="shared" si="0"/>
        <v>2</v>
      </c>
      <c r="I26" s="50">
        <v>40186.76666666667</v>
      </c>
      <c r="J26" s="58" t="s">
        <v>2568</v>
      </c>
      <c r="K26" s="4">
        <f t="shared" si="1"/>
        <v>12</v>
      </c>
      <c r="L26" s="4">
        <v>2</v>
      </c>
      <c r="M26" s="4">
        <v>12</v>
      </c>
      <c r="Q26">
        <v>2</v>
      </c>
      <c r="S26" s="8"/>
      <c r="T26" s="10"/>
    </row>
    <row r="27" spans="3:24">
      <c r="C27" s="3"/>
      <c r="F27" s="12">
        <v>41</v>
      </c>
      <c r="G27" s="58" t="s">
        <v>2567</v>
      </c>
      <c r="H27" s="7">
        <f t="shared" si="0"/>
        <v>2</v>
      </c>
      <c r="I27" s="50">
        <v>40189.763888888891</v>
      </c>
      <c r="J27" s="58" t="s">
        <v>2626</v>
      </c>
      <c r="K27" s="4">
        <f t="shared" si="1"/>
        <v>13</v>
      </c>
      <c r="L27" s="4">
        <v>3</v>
      </c>
      <c r="M27" s="4">
        <v>13</v>
      </c>
      <c r="Q27">
        <v>2</v>
      </c>
      <c r="S27" s="8"/>
      <c r="T27" s="10"/>
    </row>
    <row r="28" spans="3:24">
      <c r="C28" s="3"/>
      <c r="F28" s="12">
        <v>42</v>
      </c>
      <c r="G28" s="51" t="s">
        <v>2567</v>
      </c>
      <c r="H28" s="7">
        <f t="shared" si="0"/>
        <v>2</v>
      </c>
      <c r="I28" s="50">
        <v>40191.154861111114</v>
      </c>
      <c r="J28" s="58" t="s">
        <v>3421</v>
      </c>
      <c r="K28" s="4">
        <f t="shared" si="1"/>
        <v>14</v>
      </c>
      <c r="L28" s="4">
        <v>4</v>
      </c>
      <c r="M28" s="4">
        <v>14</v>
      </c>
      <c r="Q28">
        <v>2</v>
      </c>
      <c r="S28" s="8"/>
      <c r="T28" s="10"/>
    </row>
    <row r="29" spans="3:24">
      <c r="C29" s="3"/>
      <c r="F29" s="12">
        <v>48</v>
      </c>
      <c r="G29" s="51" t="s">
        <v>2567</v>
      </c>
      <c r="H29" s="7">
        <f t="shared" si="0"/>
        <v>2</v>
      </c>
      <c r="I29" s="50">
        <v>40192.006249999999</v>
      </c>
      <c r="J29" s="58" t="s">
        <v>2768</v>
      </c>
      <c r="K29" s="4">
        <f t="shared" si="1"/>
        <v>15</v>
      </c>
      <c r="L29" s="4">
        <v>7</v>
      </c>
      <c r="M29" s="4">
        <v>15</v>
      </c>
      <c r="Q29">
        <v>2</v>
      </c>
      <c r="S29" s="8"/>
      <c r="T29" s="10"/>
    </row>
    <row r="30" spans="3:24">
      <c r="C30" s="3"/>
      <c r="F30" s="12">
        <v>50</v>
      </c>
      <c r="G30" s="51" t="s">
        <v>2567</v>
      </c>
      <c r="H30" s="7">
        <f t="shared" si="0"/>
        <v>2</v>
      </c>
      <c r="I30" s="50">
        <v>40194.855555555558</v>
      </c>
      <c r="J30" s="58" t="s">
        <v>3193</v>
      </c>
      <c r="K30" s="4">
        <f t="shared" si="1"/>
        <v>16</v>
      </c>
      <c r="L30" s="4">
        <v>2</v>
      </c>
      <c r="M30" s="4">
        <v>16</v>
      </c>
      <c r="Q30">
        <v>2</v>
      </c>
      <c r="S30" s="8"/>
      <c r="T30" s="10"/>
    </row>
    <row r="31" spans="3:24">
      <c r="C31" s="3"/>
      <c r="F31" s="12">
        <v>52</v>
      </c>
      <c r="G31" s="51" t="s">
        <v>2567</v>
      </c>
      <c r="H31" s="7">
        <f t="shared" si="0"/>
        <v>2</v>
      </c>
      <c r="I31" s="50">
        <v>40195.943055555559</v>
      </c>
      <c r="J31" s="58" t="s">
        <v>3551</v>
      </c>
      <c r="K31" s="4">
        <f t="shared" si="1"/>
        <v>17</v>
      </c>
      <c r="L31" s="4">
        <v>2</v>
      </c>
      <c r="M31" s="4">
        <v>17</v>
      </c>
      <c r="Q31">
        <v>2</v>
      </c>
      <c r="S31" s="8"/>
      <c r="T31" s="10"/>
    </row>
    <row r="32" spans="3:24">
      <c r="C32" s="3"/>
      <c r="F32" s="12">
        <v>54</v>
      </c>
      <c r="G32" s="51" t="s">
        <v>2567</v>
      </c>
      <c r="H32" s="7">
        <f t="shared" si="0"/>
        <v>2</v>
      </c>
      <c r="I32" s="50">
        <v>40197.446527777778</v>
      </c>
      <c r="J32" s="58" t="s">
        <v>3107</v>
      </c>
      <c r="K32" s="4">
        <f t="shared" si="1"/>
        <v>18</v>
      </c>
      <c r="L32" s="16">
        <v>3</v>
      </c>
      <c r="M32" s="4">
        <v>18</v>
      </c>
      <c r="Q32">
        <v>2</v>
      </c>
      <c r="S32" s="8"/>
      <c r="T32" s="10"/>
    </row>
    <row r="33" spans="3:20">
      <c r="C33" s="3"/>
      <c r="F33" s="12">
        <v>57</v>
      </c>
      <c r="G33" s="58" t="s">
        <v>2567</v>
      </c>
      <c r="H33" s="7">
        <f t="shared" si="0"/>
        <v>2</v>
      </c>
      <c r="I33" s="50">
        <v>40197.446527777778</v>
      </c>
      <c r="J33" s="58" t="s">
        <v>3108</v>
      </c>
      <c r="K33" s="4">
        <f t="shared" si="1"/>
        <v>19</v>
      </c>
      <c r="L33" s="4">
        <v>2</v>
      </c>
      <c r="M33" s="4">
        <v>19</v>
      </c>
      <c r="Q33">
        <v>2</v>
      </c>
      <c r="S33" s="8"/>
      <c r="T33" s="10"/>
    </row>
    <row r="34" spans="3:20">
      <c r="C34" s="3"/>
      <c r="F34" s="12">
        <v>58</v>
      </c>
      <c r="G34" s="51" t="s">
        <v>2567</v>
      </c>
      <c r="H34" s="7">
        <f t="shared" ref="H34:H65" si="2">LOOKUP(G34,$N$2:$N$21,$O$2:$O$21)</f>
        <v>2</v>
      </c>
      <c r="I34" s="50">
        <v>40197.811111111114</v>
      </c>
      <c r="J34" s="58" t="s">
        <v>2814</v>
      </c>
      <c r="K34" s="4">
        <f t="shared" ref="K34:K65" si="3">IF(Q34&gt;Q33,1,K33+1)</f>
        <v>20</v>
      </c>
      <c r="L34" s="4">
        <v>2</v>
      </c>
      <c r="M34" s="4">
        <v>20</v>
      </c>
      <c r="Q34">
        <v>2</v>
      </c>
      <c r="S34" s="8"/>
      <c r="T34" s="10"/>
    </row>
    <row r="35" spans="3:20">
      <c r="C35" s="3"/>
      <c r="F35" s="12">
        <v>60</v>
      </c>
      <c r="G35" s="51" t="s">
        <v>2567</v>
      </c>
      <c r="H35" s="7">
        <f t="shared" si="2"/>
        <v>2</v>
      </c>
      <c r="I35" s="50">
        <v>40199.5</v>
      </c>
      <c r="J35" s="58" t="s">
        <v>3034</v>
      </c>
      <c r="K35" s="4">
        <f t="shared" si="3"/>
        <v>21</v>
      </c>
      <c r="L35" s="4">
        <v>4</v>
      </c>
      <c r="M35" s="4">
        <v>21</v>
      </c>
      <c r="Q35">
        <v>2</v>
      </c>
      <c r="S35" s="8"/>
      <c r="T35" s="10"/>
    </row>
    <row r="36" spans="3:20">
      <c r="C36" s="3"/>
      <c r="F36" s="12">
        <v>63</v>
      </c>
      <c r="G36" s="58" t="s">
        <v>2567</v>
      </c>
      <c r="H36" s="7">
        <f t="shared" si="2"/>
        <v>2</v>
      </c>
      <c r="I36" s="50">
        <v>40199.976388888892</v>
      </c>
      <c r="J36" s="58" t="s">
        <v>3642</v>
      </c>
      <c r="K36" s="4">
        <f t="shared" si="3"/>
        <v>22</v>
      </c>
      <c r="L36" s="4">
        <v>4</v>
      </c>
      <c r="M36" s="4">
        <v>22</v>
      </c>
      <c r="Q36">
        <v>2</v>
      </c>
      <c r="S36" s="8"/>
      <c r="T36" s="10"/>
    </row>
    <row r="37" spans="3:20">
      <c r="C37" s="3"/>
      <c r="F37" s="12">
        <v>64</v>
      </c>
      <c r="G37" s="51" t="s">
        <v>2567</v>
      </c>
      <c r="H37" s="7">
        <f t="shared" si="2"/>
        <v>2</v>
      </c>
      <c r="I37" s="50">
        <v>40199.978472222225</v>
      </c>
      <c r="J37" s="58" t="s">
        <v>3389</v>
      </c>
      <c r="K37" s="4">
        <f t="shared" si="3"/>
        <v>23</v>
      </c>
      <c r="L37" s="4">
        <v>4</v>
      </c>
      <c r="M37" s="4">
        <v>23</v>
      </c>
      <c r="Q37">
        <v>2</v>
      </c>
      <c r="S37" s="8"/>
      <c r="T37" s="10"/>
    </row>
    <row r="38" spans="3:20">
      <c r="C38" s="3"/>
      <c r="F38" s="12">
        <v>66</v>
      </c>
      <c r="G38" s="51" t="s">
        <v>2567</v>
      </c>
      <c r="H38" s="7">
        <f t="shared" si="2"/>
        <v>2</v>
      </c>
      <c r="I38" s="50">
        <v>40200.461111111108</v>
      </c>
      <c r="J38" s="58" t="s">
        <v>2929</v>
      </c>
      <c r="K38" s="4">
        <f t="shared" si="3"/>
        <v>24</v>
      </c>
      <c r="L38" s="4">
        <v>2</v>
      </c>
      <c r="M38" s="4">
        <v>24</v>
      </c>
      <c r="Q38">
        <v>2</v>
      </c>
      <c r="S38" s="8"/>
      <c r="T38" s="10"/>
    </row>
    <row r="39" spans="3:20">
      <c r="C39" s="3"/>
      <c r="F39" s="12">
        <v>69</v>
      </c>
      <c r="G39" s="58" t="s">
        <v>2567</v>
      </c>
      <c r="H39" s="7">
        <f t="shared" si="2"/>
        <v>2</v>
      </c>
      <c r="I39" s="50">
        <v>40200.652083333334</v>
      </c>
      <c r="J39" s="58" t="s">
        <v>3226</v>
      </c>
      <c r="K39" s="4">
        <f t="shared" si="3"/>
        <v>25</v>
      </c>
      <c r="L39" s="4">
        <v>2</v>
      </c>
      <c r="M39" s="4">
        <v>25</v>
      </c>
      <c r="Q39">
        <v>2</v>
      </c>
      <c r="S39" s="8"/>
      <c r="T39" s="10"/>
    </row>
    <row r="40" spans="3:20">
      <c r="C40" s="3"/>
      <c r="F40" s="12">
        <v>71</v>
      </c>
      <c r="G40" s="58" t="s">
        <v>2567</v>
      </c>
      <c r="H40" s="7">
        <f t="shared" si="2"/>
        <v>2</v>
      </c>
      <c r="I40" s="50">
        <v>40205.76666666667</v>
      </c>
      <c r="J40" s="58" t="s">
        <v>2744</v>
      </c>
      <c r="K40" s="4">
        <f t="shared" si="3"/>
        <v>26</v>
      </c>
      <c r="L40" s="4">
        <v>2</v>
      </c>
      <c r="M40" s="4">
        <v>26</v>
      </c>
      <c r="Q40">
        <v>2</v>
      </c>
      <c r="S40" s="8"/>
      <c r="T40" s="10"/>
    </row>
    <row r="41" spans="3:20">
      <c r="C41" s="3"/>
      <c r="F41" s="12">
        <v>72</v>
      </c>
      <c r="G41" s="51" t="s">
        <v>2567</v>
      </c>
      <c r="H41" s="7">
        <f t="shared" si="2"/>
        <v>2</v>
      </c>
      <c r="I41" s="50">
        <v>40205.80972222222</v>
      </c>
      <c r="J41" s="58" t="s">
        <v>3435</v>
      </c>
      <c r="K41" s="4">
        <f t="shared" si="3"/>
        <v>27</v>
      </c>
      <c r="L41" s="4">
        <v>2</v>
      </c>
      <c r="M41" s="4">
        <v>27</v>
      </c>
      <c r="Q41">
        <v>2</v>
      </c>
      <c r="S41" s="8"/>
      <c r="T41" s="10"/>
    </row>
    <row r="42" spans="3:20">
      <c r="C42" s="3"/>
      <c r="F42" s="12">
        <v>76</v>
      </c>
      <c r="G42" s="51" t="s">
        <v>2567</v>
      </c>
      <c r="H42" s="7">
        <f t="shared" si="2"/>
        <v>2</v>
      </c>
      <c r="I42" s="50">
        <v>40208.435416666667</v>
      </c>
      <c r="J42" s="58" t="s">
        <v>3639</v>
      </c>
      <c r="K42" s="4">
        <f t="shared" si="3"/>
        <v>28</v>
      </c>
      <c r="L42" s="4">
        <v>2</v>
      </c>
      <c r="M42" s="4">
        <v>28</v>
      </c>
      <c r="Q42">
        <v>2</v>
      </c>
      <c r="S42" s="8"/>
      <c r="T42" s="10"/>
    </row>
    <row r="43" spans="3:20">
      <c r="C43" s="3"/>
      <c r="F43" s="12">
        <v>78</v>
      </c>
      <c r="G43" s="51" t="s">
        <v>2567</v>
      </c>
      <c r="H43" s="7">
        <f t="shared" si="2"/>
        <v>2</v>
      </c>
      <c r="I43" s="50">
        <v>40210.051388888889</v>
      </c>
      <c r="J43" s="58" t="s">
        <v>3318</v>
      </c>
      <c r="K43" s="4">
        <f t="shared" si="3"/>
        <v>29</v>
      </c>
      <c r="L43" s="4">
        <v>2</v>
      </c>
      <c r="M43" s="4">
        <v>29</v>
      </c>
      <c r="Q43">
        <v>2</v>
      </c>
      <c r="S43" s="8"/>
      <c r="T43" s="10"/>
    </row>
    <row r="44" spans="3:20">
      <c r="C44" s="3"/>
      <c r="F44" s="12">
        <v>80</v>
      </c>
      <c r="G44" s="51" t="s">
        <v>2567</v>
      </c>
      <c r="H44" s="7">
        <f t="shared" si="2"/>
        <v>2</v>
      </c>
      <c r="I44" s="50">
        <v>40210.053472222222</v>
      </c>
      <c r="J44" s="58" t="s">
        <v>3079</v>
      </c>
      <c r="K44" s="4">
        <f t="shared" si="3"/>
        <v>30</v>
      </c>
      <c r="L44" s="4">
        <v>2</v>
      </c>
      <c r="M44" s="4">
        <v>30</v>
      </c>
      <c r="Q44">
        <v>2</v>
      </c>
      <c r="S44" s="8"/>
      <c r="T44" s="10"/>
    </row>
    <row r="45" spans="3:20">
      <c r="C45" s="3"/>
      <c r="F45" s="12">
        <v>82</v>
      </c>
      <c r="G45" s="51" t="s">
        <v>2567</v>
      </c>
      <c r="H45" s="7">
        <f t="shared" si="2"/>
        <v>2</v>
      </c>
      <c r="I45" s="50">
        <v>40210.428472222222</v>
      </c>
      <c r="J45" s="58" t="s">
        <v>3476</v>
      </c>
      <c r="K45" s="4">
        <f t="shared" si="3"/>
        <v>31</v>
      </c>
      <c r="L45" s="4">
        <v>2</v>
      </c>
      <c r="M45" s="4">
        <v>31</v>
      </c>
      <c r="Q45">
        <v>2</v>
      </c>
      <c r="S45" s="8"/>
      <c r="T45" s="10"/>
    </row>
    <row r="46" spans="3:20">
      <c r="C46" s="3"/>
      <c r="F46" s="12">
        <v>83</v>
      </c>
      <c r="G46" s="51" t="s">
        <v>2567</v>
      </c>
      <c r="H46" s="7">
        <f t="shared" si="2"/>
        <v>2</v>
      </c>
      <c r="I46" s="50">
        <v>40210.621527777781</v>
      </c>
      <c r="J46" s="58" t="s">
        <v>3341</v>
      </c>
      <c r="K46" s="4">
        <f t="shared" si="3"/>
        <v>32</v>
      </c>
      <c r="L46" s="4">
        <v>3</v>
      </c>
      <c r="M46" s="4">
        <v>32</v>
      </c>
      <c r="Q46">
        <v>2</v>
      </c>
      <c r="S46" s="8"/>
      <c r="T46" s="10"/>
    </row>
    <row r="47" spans="3:20">
      <c r="C47" s="3"/>
      <c r="F47" s="12">
        <v>86</v>
      </c>
      <c r="G47" s="58" t="s">
        <v>2567</v>
      </c>
      <c r="H47" s="7">
        <f t="shared" si="2"/>
        <v>2</v>
      </c>
      <c r="I47" s="50">
        <v>40211.519444444442</v>
      </c>
      <c r="J47" s="58" t="s">
        <v>3202</v>
      </c>
      <c r="K47" s="4">
        <f t="shared" si="3"/>
        <v>33</v>
      </c>
      <c r="L47" s="4">
        <v>2</v>
      </c>
      <c r="M47" s="4">
        <v>33</v>
      </c>
      <c r="Q47">
        <v>2</v>
      </c>
      <c r="S47" s="8"/>
      <c r="T47" s="10"/>
    </row>
    <row r="48" spans="3:20">
      <c r="C48" s="3"/>
      <c r="F48" s="12">
        <v>98</v>
      </c>
      <c r="G48" s="51" t="s">
        <v>2567</v>
      </c>
      <c r="H48" s="7">
        <f t="shared" si="2"/>
        <v>2</v>
      </c>
      <c r="I48" s="50">
        <v>40214.55972222222</v>
      </c>
      <c r="J48" s="58" t="s">
        <v>3503</v>
      </c>
      <c r="K48" s="4">
        <f t="shared" si="3"/>
        <v>34</v>
      </c>
      <c r="L48" s="4">
        <v>2</v>
      </c>
      <c r="M48" s="4">
        <v>34</v>
      </c>
      <c r="Q48">
        <v>2</v>
      </c>
      <c r="S48" s="8"/>
      <c r="T48" s="10"/>
    </row>
    <row r="49" spans="3:20">
      <c r="C49" s="3"/>
      <c r="F49" s="12">
        <v>97</v>
      </c>
      <c r="G49" s="58" t="s">
        <v>2567</v>
      </c>
      <c r="H49" s="7">
        <f t="shared" si="2"/>
        <v>2</v>
      </c>
      <c r="I49" s="50">
        <v>40217.643750000003</v>
      </c>
      <c r="J49" s="58" t="s">
        <v>3279</v>
      </c>
      <c r="K49" s="4">
        <f t="shared" si="3"/>
        <v>35</v>
      </c>
      <c r="L49" s="4">
        <v>2</v>
      </c>
      <c r="M49" s="4">
        <v>35</v>
      </c>
      <c r="Q49">
        <v>2</v>
      </c>
      <c r="S49" s="8"/>
      <c r="T49" s="10"/>
    </row>
    <row r="50" spans="3:20">
      <c r="C50" s="3"/>
      <c r="F50" s="12">
        <v>101</v>
      </c>
      <c r="G50" s="58" t="s">
        <v>2567</v>
      </c>
      <c r="H50" s="7">
        <f t="shared" si="2"/>
        <v>2</v>
      </c>
      <c r="I50" s="50">
        <v>40217.756944444445</v>
      </c>
      <c r="J50" s="58" t="s">
        <v>3076</v>
      </c>
      <c r="K50" s="4">
        <f t="shared" si="3"/>
        <v>36</v>
      </c>
      <c r="L50" s="4">
        <v>2</v>
      </c>
      <c r="M50" s="4">
        <v>36</v>
      </c>
      <c r="Q50">
        <v>2</v>
      </c>
      <c r="S50" s="8"/>
      <c r="T50" s="10"/>
    </row>
    <row r="51" spans="3:20">
      <c r="C51" s="3"/>
      <c r="F51" s="12">
        <v>103</v>
      </c>
      <c r="G51" s="51" t="s">
        <v>2567</v>
      </c>
      <c r="H51" s="7">
        <f t="shared" si="2"/>
        <v>2</v>
      </c>
      <c r="I51" s="50">
        <v>40217.793055555558</v>
      </c>
      <c r="J51" s="58" t="s">
        <v>3196</v>
      </c>
      <c r="K51" s="4">
        <f t="shared" si="3"/>
        <v>37</v>
      </c>
      <c r="L51" s="4">
        <v>2</v>
      </c>
      <c r="M51" s="4">
        <v>37</v>
      </c>
      <c r="Q51">
        <v>2</v>
      </c>
      <c r="S51" s="8"/>
      <c r="T51" s="10"/>
    </row>
    <row r="52" spans="3:20">
      <c r="C52" s="3"/>
      <c r="F52" s="12">
        <v>106</v>
      </c>
      <c r="G52" s="58" t="s">
        <v>2567</v>
      </c>
      <c r="H52" s="7">
        <f t="shared" si="2"/>
        <v>2</v>
      </c>
      <c r="I52" s="50">
        <v>40219.627083333333</v>
      </c>
      <c r="J52" s="58" t="s">
        <v>3662</v>
      </c>
      <c r="K52" s="4">
        <f t="shared" si="3"/>
        <v>38</v>
      </c>
      <c r="L52" s="4">
        <v>2</v>
      </c>
      <c r="M52" s="4">
        <v>38</v>
      </c>
      <c r="Q52">
        <v>2</v>
      </c>
      <c r="S52" s="8"/>
      <c r="T52" s="10"/>
    </row>
    <row r="53" spans="3:20">
      <c r="C53" s="3"/>
      <c r="F53" s="12">
        <v>109</v>
      </c>
      <c r="G53" s="51" t="s">
        <v>2567</v>
      </c>
      <c r="H53" s="7">
        <f t="shared" si="2"/>
        <v>2</v>
      </c>
      <c r="I53" s="50">
        <v>40224.030555555553</v>
      </c>
      <c r="J53" s="58" t="s">
        <v>3048</v>
      </c>
      <c r="K53" s="4">
        <f t="shared" si="3"/>
        <v>39</v>
      </c>
      <c r="L53" s="4">
        <v>2</v>
      </c>
      <c r="M53" s="4">
        <v>39</v>
      </c>
      <c r="Q53">
        <v>2</v>
      </c>
      <c r="S53" s="8"/>
      <c r="T53" s="10"/>
    </row>
    <row r="54" spans="3:20">
      <c r="C54" s="3"/>
      <c r="F54" s="12">
        <v>111</v>
      </c>
      <c r="G54" s="51" t="s">
        <v>2567</v>
      </c>
      <c r="H54" s="7">
        <f t="shared" si="2"/>
        <v>2</v>
      </c>
      <c r="I54" s="50">
        <v>40224.48541666667</v>
      </c>
      <c r="J54" s="58" t="s">
        <v>2945</v>
      </c>
      <c r="K54" s="4">
        <f t="shared" si="3"/>
        <v>40</v>
      </c>
      <c r="L54" s="4">
        <v>2</v>
      </c>
      <c r="M54" s="4">
        <v>40</v>
      </c>
      <c r="Q54">
        <v>2</v>
      </c>
      <c r="S54" s="8"/>
      <c r="T54" s="10"/>
    </row>
    <row r="55" spans="3:20">
      <c r="C55" s="3"/>
      <c r="F55" s="12">
        <v>115</v>
      </c>
      <c r="G55" s="51" t="s">
        <v>2567</v>
      </c>
      <c r="H55" s="7">
        <f t="shared" si="2"/>
        <v>2</v>
      </c>
      <c r="I55" s="50">
        <v>40226.634027777778</v>
      </c>
      <c r="J55" s="58" t="s">
        <v>3489</v>
      </c>
      <c r="K55" s="4">
        <f t="shared" si="3"/>
        <v>41</v>
      </c>
      <c r="L55" s="4">
        <v>4</v>
      </c>
      <c r="M55" s="4">
        <v>41</v>
      </c>
      <c r="Q55">
        <v>2</v>
      </c>
      <c r="S55" s="8"/>
      <c r="T55" s="10"/>
    </row>
    <row r="56" spans="3:20">
      <c r="C56" s="3"/>
      <c r="D56" s="1"/>
      <c r="F56" s="12">
        <v>117</v>
      </c>
      <c r="G56" s="51" t="s">
        <v>2567</v>
      </c>
      <c r="H56" s="7">
        <f t="shared" si="2"/>
        <v>2</v>
      </c>
      <c r="I56" s="50">
        <v>40226.814583333333</v>
      </c>
      <c r="J56" s="58" t="s">
        <v>3321</v>
      </c>
      <c r="K56" s="4">
        <f t="shared" si="3"/>
        <v>42</v>
      </c>
      <c r="L56" s="4">
        <v>4</v>
      </c>
      <c r="M56" s="4">
        <v>42</v>
      </c>
      <c r="Q56">
        <v>2</v>
      </c>
      <c r="S56" s="8"/>
      <c r="T56" s="10"/>
    </row>
    <row r="57" spans="3:20">
      <c r="C57" s="3"/>
      <c r="F57" s="12">
        <v>126</v>
      </c>
      <c r="G57" s="58" t="s">
        <v>2567</v>
      </c>
      <c r="H57" s="7">
        <f t="shared" si="2"/>
        <v>2</v>
      </c>
      <c r="I57" s="50">
        <v>40245.568749999999</v>
      </c>
      <c r="J57" s="58" t="s">
        <v>3645</v>
      </c>
      <c r="K57" s="4">
        <f t="shared" si="3"/>
        <v>43</v>
      </c>
      <c r="L57" s="4">
        <v>3</v>
      </c>
      <c r="M57" s="4">
        <v>43</v>
      </c>
      <c r="Q57">
        <v>2</v>
      </c>
      <c r="S57" s="8"/>
      <c r="T57" s="10"/>
    </row>
    <row r="58" spans="3:20">
      <c r="C58" s="3"/>
      <c r="F58" s="12">
        <v>128</v>
      </c>
      <c r="G58" s="58" t="s">
        <v>2567</v>
      </c>
      <c r="H58" s="7">
        <f t="shared" si="2"/>
        <v>2</v>
      </c>
      <c r="I58" s="50">
        <v>40245.569444444445</v>
      </c>
      <c r="J58" s="58" t="s">
        <v>2904</v>
      </c>
      <c r="K58" s="4">
        <f t="shared" si="3"/>
        <v>44</v>
      </c>
      <c r="L58" s="4">
        <v>3</v>
      </c>
      <c r="M58" s="4">
        <v>44</v>
      </c>
      <c r="Q58">
        <v>2</v>
      </c>
      <c r="S58" s="8"/>
      <c r="T58" s="10"/>
    </row>
    <row r="59" spans="3:20">
      <c r="C59" s="3"/>
      <c r="F59" s="12">
        <v>129</v>
      </c>
      <c r="G59" s="51" t="s">
        <v>2567</v>
      </c>
      <c r="H59" s="7">
        <f t="shared" si="2"/>
        <v>2</v>
      </c>
      <c r="I59" s="50">
        <v>40245.569444444445</v>
      </c>
      <c r="J59" s="58" t="s">
        <v>2628</v>
      </c>
      <c r="K59" s="4">
        <f t="shared" si="3"/>
        <v>45</v>
      </c>
      <c r="L59" s="4">
        <v>3</v>
      </c>
      <c r="M59" s="4">
        <v>45</v>
      </c>
      <c r="Q59">
        <v>2</v>
      </c>
      <c r="S59" s="8"/>
      <c r="T59" s="10"/>
    </row>
    <row r="60" spans="3:20">
      <c r="C60" s="3"/>
      <c r="F60" s="12">
        <v>131</v>
      </c>
      <c r="G60" s="51" t="s">
        <v>2567</v>
      </c>
      <c r="H60" s="7">
        <f t="shared" si="2"/>
        <v>2</v>
      </c>
      <c r="I60" s="50">
        <v>40249.849305555559</v>
      </c>
      <c r="J60" s="58" t="s">
        <v>3063</v>
      </c>
      <c r="K60" s="4">
        <f t="shared" si="3"/>
        <v>46</v>
      </c>
      <c r="L60" s="4">
        <v>9</v>
      </c>
      <c r="M60" s="4">
        <v>46</v>
      </c>
      <c r="Q60">
        <v>2</v>
      </c>
      <c r="S60" s="8"/>
      <c r="T60" s="10"/>
    </row>
    <row r="61" spans="3:20">
      <c r="C61" s="3"/>
      <c r="F61" s="12">
        <v>134</v>
      </c>
      <c r="G61" s="58" t="s">
        <v>2567</v>
      </c>
      <c r="H61" s="7">
        <f t="shared" si="2"/>
        <v>2</v>
      </c>
      <c r="I61" s="50">
        <v>40252.753472222219</v>
      </c>
      <c r="J61" s="58" t="s">
        <v>2901</v>
      </c>
      <c r="K61" s="4">
        <f t="shared" si="3"/>
        <v>47</v>
      </c>
      <c r="L61" s="4">
        <v>2</v>
      </c>
      <c r="M61" s="4">
        <v>47</v>
      </c>
      <c r="Q61">
        <v>2</v>
      </c>
      <c r="S61" s="8"/>
      <c r="T61" s="10"/>
    </row>
    <row r="62" spans="3:20">
      <c r="C62" s="3"/>
      <c r="F62" s="12">
        <v>135</v>
      </c>
      <c r="G62" s="51" t="s">
        <v>2567</v>
      </c>
      <c r="H62" s="7">
        <f t="shared" si="2"/>
        <v>2</v>
      </c>
      <c r="I62" s="50">
        <v>40253.412499999999</v>
      </c>
      <c r="J62" s="58" t="s">
        <v>2782</v>
      </c>
      <c r="K62" s="4">
        <f t="shared" si="3"/>
        <v>48</v>
      </c>
      <c r="L62" s="4">
        <v>4</v>
      </c>
      <c r="M62" s="4">
        <v>48</v>
      </c>
      <c r="Q62">
        <v>2</v>
      </c>
      <c r="S62" s="8"/>
      <c r="T62" s="10"/>
    </row>
    <row r="63" spans="3:20">
      <c r="C63" s="3"/>
      <c r="F63" s="12">
        <v>140</v>
      </c>
      <c r="G63" s="58" t="s">
        <v>2567</v>
      </c>
      <c r="H63" s="7">
        <f t="shared" si="2"/>
        <v>2</v>
      </c>
      <c r="I63" s="50">
        <v>40280.786805555559</v>
      </c>
      <c r="J63" s="58" t="s">
        <v>3494</v>
      </c>
      <c r="K63" s="4">
        <f t="shared" si="3"/>
        <v>49</v>
      </c>
      <c r="L63" s="4">
        <v>2</v>
      </c>
      <c r="M63" s="4">
        <v>49</v>
      </c>
      <c r="Q63">
        <v>2</v>
      </c>
      <c r="S63" s="8"/>
      <c r="T63" s="10"/>
    </row>
    <row r="64" spans="3:20">
      <c r="C64" s="3"/>
      <c r="F64" s="12">
        <v>141</v>
      </c>
      <c r="G64" s="51" t="s">
        <v>2567</v>
      </c>
      <c r="H64" s="7">
        <f t="shared" si="2"/>
        <v>2</v>
      </c>
      <c r="I64" s="50">
        <v>40281.743055555555</v>
      </c>
      <c r="J64" s="58" t="s">
        <v>2662</v>
      </c>
      <c r="K64" s="4">
        <f t="shared" si="3"/>
        <v>50</v>
      </c>
      <c r="L64" s="4">
        <v>2</v>
      </c>
      <c r="M64" s="4">
        <v>50</v>
      </c>
      <c r="Q64">
        <v>2</v>
      </c>
      <c r="S64" s="8"/>
      <c r="T64" s="10"/>
    </row>
    <row r="65" spans="3:20">
      <c r="C65" s="3"/>
      <c r="F65" s="12">
        <v>147</v>
      </c>
      <c r="G65" s="51" t="s">
        <v>2567</v>
      </c>
      <c r="H65" s="7">
        <f t="shared" si="2"/>
        <v>2</v>
      </c>
      <c r="I65" s="50">
        <v>40288.670138888891</v>
      </c>
      <c r="J65" s="58" t="s">
        <v>2791</v>
      </c>
      <c r="K65" s="4">
        <f t="shared" si="3"/>
        <v>51</v>
      </c>
      <c r="L65" s="4">
        <v>2</v>
      </c>
      <c r="M65" s="4">
        <v>51</v>
      </c>
      <c r="Q65">
        <v>2</v>
      </c>
      <c r="S65" s="8"/>
      <c r="T65" s="10"/>
    </row>
    <row r="66" spans="3:20">
      <c r="C66" s="3"/>
      <c r="F66" s="12">
        <v>153</v>
      </c>
      <c r="G66" s="51" t="s">
        <v>2567</v>
      </c>
      <c r="H66" s="7">
        <f t="shared" ref="H66:H97" si="4">LOOKUP(G66,$N$2:$N$21,$O$2:$O$21)</f>
        <v>2</v>
      </c>
      <c r="I66" s="50">
        <v>40316.560416666667</v>
      </c>
      <c r="J66" s="58" t="s">
        <v>3535</v>
      </c>
      <c r="K66" s="4">
        <f t="shared" ref="K66:K97" si="5">IF(Q66&gt;Q65,1,K65+1)</f>
        <v>52</v>
      </c>
      <c r="L66" s="4">
        <v>5</v>
      </c>
      <c r="M66" s="4">
        <v>52</v>
      </c>
      <c r="Q66">
        <v>2</v>
      </c>
      <c r="S66" s="8"/>
      <c r="T66" s="10"/>
    </row>
    <row r="67" spans="3:20">
      <c r="C67" s="3"/>
      <c r="F67" s="12">
        <v>155</v>
      </c>
      <c r="G67" s="51" t="s">
        <v>2567</v>
      </c>
      <c r="H67" s="7">
        <f t="shared" si="4"/>
        <v>2</v>
      </c>
      <c r="I67" s="50">
        <v>40322.532638888886</v>
      </c>
      <c r="J67" s="58" t="s">
        <v>3659</v>
      </c>
      <c r="K67" s="4">
        <f t="shared" si="5"/>
        <v>53</v>
      </c>
      <c r="L67" s="4">
        <v>2</v>
      </c>
      <c r="M67" s="4">
        <v>53</v>
      </c>
      <c r="Q67">
        <v>2</v>
      </c>
      <c r="S67" s="8"/>
      <c r="T67" s="10"/>
    </row>
    <row r="68" spans="3:20">
      <c r="C68" s="3"/>
      <c r="F68" s="12">
        <v>158</v>
      </c>
      <c r="G68" s="58" t="s">
        <v>2567</v>
      </c>
      <c r="H68" s="7">
        <f t="shared" si="4"/>
        <v>2</v>
      </c>
      <c r="I68" s="50">
        <v>40323.879166666666</v>
      </c>
      <c r="J68" s="58" t="s">
        <v>2927</v>
      </c>
      <c r="K68" s="4">
        <f t="shared" si="5"/>
        <v>54</v>
      </c>
      <c r="L68" s="4">
        <v>2</v>
      </c>
      <c r="M68" s="4">
        <v>54</v>
      </c>
      <c r="Q68">
        <v>2</v>
      </c>
      <c r="S68" s="8"/>
      <c r="T68" s="10"/>
    </row>
    <row r="69" spans="3:20">
      <c r="C69" s="3"/>
      <c r="F69" s="12">
        <v>163</v>
      </c>
      <c r="G69" s="51" t="s">
        <v>2567</v>
      </c>
      <c r="H69" s="7">
        <f t="shared" si="4"/>
        <v>2</v>
      </c>
      <c r="I69" s="50">
        <v>40345.738888888889</v>
      </c>
      <c r="J69" s="58" t="s">
        <v>3275</v>
      </c>
      <c r="K69" s="4">
        <f t="shared" si="5"/>
        <v>55</v>
      </c>
      <c r="L69" s="4">
        <v>2</v>
      </c>
      <c r="M69" s="4">
        <v>55</v>
      </c>
      <c r="Q69">
        <v>2</v>
      </c>
      <c r="S69" s="8"/>
      <c r="T69" s="10"/>
    </row>
    <row r="70" spans="3:20">
      <c r="C70" s="3"/>
      <c r="F70" s="12">
        <v>167</v>
      </c>
      <c r="G70" s="58" t="s">
        <v>2567</v>
      </c>
      <c r="H70" s="7">
        <f t="shared" si="4"/>
        <v>2</v>
      </c>
      <c r="I70" s="50">
        <v>40354.893055555556</v>
      </c>
      <c r="J70" s="58" t="s">
        <v>3023</v>
      </c>
      <c r="K70" s="4">
        <f t="shared" si="5"/>
        <v>56</v>
      </c>
      <c r="L70" s="4">
        <v>4</v>
      </c>
      <c r="M70" s="4">
        <v>56</v>
      </c>
      <c r="Q70">
        <v>2</v>
      </c>
      <c r="S70" s="8"/>
      <c r="T70" s="10"/>
    </row>
    <row r="71" spans="3:20">
      <c r="C71" s="3"/>
      <c r="F71" s="12">
        <v>121</v>
      </c>
      <c r="G71" s="51" t="s">
        <v>2820</v>
      </c>
      <c r="H71" s="7">
        <f t="shared" si="4"/>
        <v>3</v>
      </c>
      <c r="I71" s="50">
        <v>40218.991666666669</v>
      </c>
      <c r="J71" s="58" t="s">
        <v>2821</v>
      </c>
      <c r="K71" s="4">
        <f t="shared" si="5"/>
        <v>1</v>
      </c>
      <c r="L71" s="4">
        <v>15</v>
      </c>
      <c r="M71" s="4">
        <v>1</v>
      </c>
      <c r="Q71">
        <v>3</v>
      </c>
      <c r="S71" s="8"/>
      <c r="T71" s="10"/>
    </row>
    <row r="72" spans="3:20">
      <c r="C72" s="3"/>
      <c r="F72" s="12">
        <v>1</v>
      </c>
      <c r="G72" s="51" t="s">
        <v>2738</v>
      </c>
      <c r="H72" s="7">
        <f t="shared" si="4"/>
        <v>4</v>
      </c>
      <c r="I72" s="50">
        <v>40183.393055555556</v>
      </c>
      <c r="J72" s="58" t="s">
        <v>3631</v>
      </c>
      <c r="K72" s="4">
        <f t="shared" si="5"/>
        <v>1</v>
      </c>
      <c r="L72" s="4">
        <v>21</v>
      </c>
      <c r="M72" s="4">
        <v>1</v>
      </c>
      <c r="Q72">
        <v>4</v>
      </c>
      <c r="S72" s="8"/>
      <c r="T72" s="10"/>
    </row>
    <row r="73" spans="3:20">
      <c r="C73" s="3"/>
      <c r="F73" s="12">
        <v>44</v>
      </c>
      <c r="G73" s="58" t="s">
        <v>2738</v>
      </c>
      <c r="H73" s="7">
        <f t="shared" si="4"/>
        <v>4</v>
      </c>
      <c r="I73" s="50">
        <v>40191.99722222222</v>
      </c>
      <c r="J73" s="58" t="s">
        <v>2949</v>
      </c>
      <c r="K73" s="4">
        <f t="shared" si="5"/>
        <v>2</v>
      </c>
      <c r="L73" s="4">
        <v>7</v>
      </c>
      <c r="M73" s="4">
        <v>2</v>
      </c>
      <c r="Q73">
        <v>4</v>
      </c>
      <c r="S73" s="8"/>
      <c r="T73" s="10"/>
    </row>
    <row r="74" spans="3:20">
      <c r="C74" s="3"/>
      <c r="F74" s="12">
        <v>45</v>
      </c>
      <c r="G74" s="58" t="s">
        <v>2738</v>
      </c>
      <c r="H74" s="7">
        <f t="shared" si="4"/>
        <v>4</v>
      </c>
      <c r="I74" s="50">
        <v>40192.00277777778</v>
      </c>
      <c r="J74" s="58" t="s">
        <v>3422</v>
      </c>
      <c r="K74" s="4">
        <f t="shared" si="5"/>
        <v>3</v>
      </c>
      <c r="L74" s="4">
        <v>7</v>
      </c>
      <c r="M74" s="4">
        <v>3</v>
      </c>
      <c r="Q74">
        <v>4</v>
      </c>
      <c r="S74" s="8"/>
      <c r="T74" s="10"/>
    </row>
    <row r="75" spans="3:20">
      <c r="C75" s="3"/>
      <c r="F75" s="12">
        <v>51</v>
      </c>
      <c r="G75" s="58" t="s">
        <v>2738</v>
      </c>
      <c r="H75" s="7">
        <f t="shared" si="4"/>
        <v>4</v>
      </c>
      <c r="I75" s="50">
        <v>40195.931944444441</v>
      </c>
      <c r="J75" s="58" t="s">
        <v>3194</v>
      </c>
      <c r="K75" s="4">
        <f t="shared" si="5"/>
        <v>4</v>
      </c>
      <c r="L75" s="4">
        <v>2</v>
      </c>
      <c r="M75" s="4">
        <v>4</v>
      </c>
      <c r="Q75">
        <v>4</v>
      </c>
      <c r="S75" s="8"/>
      <c r="T75" s="10"/>
    </row>
    <row r="76" spans="3:20">
      <c r="C76" s="3"/>
      <c r="F76" s="12">
        <v>62</v>
      </c>
      <c r="G76" s="51" t="s">
        <v>2738</v>
      </c>
      <c r="H76" s="7">
        <f t="shared" si="4"/>
        <v>4</v>
      </c>
      <c r="I76" s="50">
        <v>40199.94027777778</v>
      </c>
      <c r="J76" s="58" t="s">
        <v>3641</v>
      </c>
      <c r="K76" s="4">
        <f t="shared" si="5"/>
        <v>5</v>
      </c>
      <c r="L76" s="4">
        <v>3</v>
      </c>
      <c r="M76" s="4">
        <v>5</v>
      </c>
      <c r="Q76">
        <v>4</v>
      </c>
      <c r="S76" s="8"/>
      <c r="T76" s="10"/>
    </row>
    <row r="77" spans="3:20">
      <c r="C77" s="3"/>
      <c r="F77" s="12">
        <v>157</v>
      </c>
      <c r="G77" s="51" t="s">
        <v>2925</v>
      </c>
      <c r="H77" s="7">
        <f t="shared" si="4"/>
        <v>5</v>
      </c>
      <c r="I77" s="50">
        <v>40322.84097222222</v>
      </c>
      <c r="J77" s="58" t="s">
        <v>2926</v>
      </c>
      <c r="K77" s="4">
        <f t="shared" si="5"/>
        <v>1</v>
      </c>
      <c r="L77" s="4">
        <v>5</v>
      </c>
      <c r="M77" s="4">
        <v>1</v>
      </c>
      <c r="Q77">
        <v>5</v>
      </c>
      <c r="S77" s="8"/>
      <c r="T77" s="10"/>
    </row>
    <row r="78" spans="3:20">
      <c r="C78" s="3"/>
      <c r="F78" s="12">
        <v>2</v>
      </c>
      <c r="G78" s="58" t="s">
        <v>2570</v>
      </c>
      <c r="H78" s="7">
        <f t="shared" si="4"/>
        <v>6</v>
      </c>
      <c r="I78" s="50">
        <v>40183.422222222223</v>
      </c>
      <c r="J78" s="58" t="s">
        <v>3632</v>
      </c>
      <c r="K78" s="4">
        <f t="shared" si="5"/>
        <v>1</v>
      </c>
      <c r="L78" s="4">
        <v>2</v>
      </c>
      <c r="M78" s="4">
        <v>1</v>
      </c>
      <c r="Q78">
        <v>6</v>
      </c>
      <c r="S78" s="8"/>
      <c r="T78" s="10"/>
    </row>
    <row r="79" spans="3:20">
      <c r="C79" s="3"/>
      <c r="F79" s="12">
        <v>4</v>
      </c>
      <c r="G79" s="58" t="s">
        <v>2570</v>
      </c>
      <c r="H79" s="7">
        <f t="shared" si="4"/>
        <v>6</v>
      </c>
      <c r="I79" s="50">
        <v>40183.456944444442</v>
      </c>
      <c r="J79" s="58" t="s">
        <v>3132</v>
      </c>
      <c r="K79" s="4">
        <f t="shared" si="5"/>
        <v>2</v>
      </c>
      <c r="L79" s="4">
        <v>2</v>
      </c>
      <c r="M79" s="4">
        <v>2</v>
      </c>
      <c r="Q79">
        <v>6</v>
      </c>
      <c r="S79" s="8"/>
      <c r="T79" s="10"/>
    </row>
    <row r="80" spans="3:20">
      <c r="C80" s="3"/>
      <c r="F80" s="12">
        <v>6</v>
      </c>
      <c r="G80" s="58" t="s">
        <v>2570</v>
      </c>
      <c r="H80" s="7">
        <f t="shared" si="4"/>
        <v>6</v>
      </c>
      <c r="I80" s="50">
        <v>40183.51458333333</v>
      </c>
      <c r="J80" s="58" t="s">
        <v>3375</v>
      </c>
      <c r="K80" s="4">
        <f t="shared" si="5"/>
        <v>3</v>
      </c>
      <c r="L80" s="4">
        <v>4</v>
      </c>
      <c r="M80" s="4">
        <v>3</v>
      </c>
      <c r="Q80">
        <v>6</v>
      </c>
      <c r="S80" s="8"/>
      <c r="T80" s="10"/>
    </row>
    <row r="81" spans="3:20">
      <c r="C81" s="3"/>
      <c r="F81" s="12">
        <v>8</v>
      </c>
      <c r="G81" s="58" t="s">
        <v>2570</v>
      </c>
      <c r="H81" s="7">
        <f t="shared" si="4"/>
        <v>6</v>
      </c>
      <c r="I81" s="50">
        <v>40183.524305555555</v>
      </c>
      <c r="J81" s="58" t="s">
        <v>3468</v>
      </c>
      <c r="K81" s="4">
        <f t="shared" si="5"/>
        <v>4</v>
      </c>
      <c r="L81" s="4">
        <v>3</v>
      </c>
      <c r="M81" s="4">
        <v>4</v>
      </c>
      <c r="Q81">
        <v>6</v>
      </c>
      <c r="S81" s="8"/>
      <c r="T81" s="10"/>
    </row>
    <row r="82" spans="3:20">
      <c r="C82" s="3"/>
      <c r="D82" s="1"/>
      <c r="F82" s="12">
        <v>10</v>
      </c>
      <c r="G82" s="58" t="s">
        <v>2570</v>
      </c>
      <c r="H82" s="7">
        <f t="shared" si="4"/>
        <v>6</v>
      </c>
      <c r="I82" s="50">
        <v>40183.574305555558</v>
      </c>
      <c r="J82" s="58" t="s">
        <v>3336</v>
      </c>
      <c r="K82" s="4">
        <f t="shared" si="5"/>
        <v>5</v>
      </c>
      <c r="L82" s="4">
        <v>3</v>
      </c>
      <c r="M82" s="4">
        <v>5</v>
      </c>
      <c r="Q82">
        <v>6</v>
      </c>
      <c r="S82" s="8"/>
      <c r="T82" s="10"/>
    </row>
    <row r="83" spans="3:20">
      <c r="C83" s="3"/>
      <c r="F83" s="12">
        <v>15</v>
      </c>
      <c r="G83" s="51" t="s">
        <v>2570</v>
      </c>
      <c r="H83" s="7">
        <f t="shared" si="4"/>
        <v>6</v>
      </c>
      <c r="I83" s="50">
        <v>40183.59375</v>
      </c>
      <c r="J83" s="58" t="s">
        <v>3183</v>
      </c>
      <c r="K83" s="4">
        <f t="shared" si="5"/>
        <v>6</v>
      </c>
      <c r="L83" s="4">
        <v>2</v>
      </c>
      <c r="M83" s="4">
        <v>6</v>
      </c>
      <c r="Q83">
        <v>6</v>
      </c>
      <c r="S83" s="8"/>
      <c r="T83" s="10"/>
    </row>
    <row r="84" spans="3:20">
      <c r="C84" s="3"/>
      <c r="F84" s="12">
        <v>12</v>
      </c>
      <c r="G84" s="58" t="s">
        <v>2570</v>
      </c>
      <c r="H84" s="7">
        <f t="shared" si="4"/>
        <v>6</v>
      </c>
      <c r="I84" s="50">
        <v>40183.604166666664</v>
      </c>
      <c r="J84" s="58" t="s">
        <v>2842</v>
      </c>
      <c r="K84" s="4">
        <f t="shared" si="5"/>
        <v>7</v>
      </c>
      <c r="L84" s="4">
        <v>4</v>
      </c>
      <c r="M84" s="4">
        <v>7</v>
      </c>
      <c r="Q84">
        <v>6</v>
      </c>
      <c r="S84" s="8"/>
      <c r="T84" s="10"/>
    </row>
    <row r="85" spans="3:20">
      <c r="C85" s="3"/>
      <c r="F85" s="12">
        <v>14</v>
      </c>
      <c r="G85" s="58" t="s">
        <v>2570</v>
      </c>
      <c r="H85" s="7">
        <f t="shared" si="4"/>
        <v>6</v>
      </c>
      <c r="I85" s="50">
        <v>40183.637499999997</v>
      </c>
      <c r="J85" s="58" t="s">
        <v>3419</v>
      </c>
      <c r="K85" s="4">
        <f t="shared" si="5"/>
        <v>8</v>
      </c>
      <c r="L85" s="4">
        <v>2</v>
      </c>
      <c r="M85" s="4">
        <v>8</v>
      </c>
      <c r="Q85">
        <v>6</v>
      </c>
      <c r="S85" s="8"/>
      <c r="T85" s="10"/>
    </row>
    <row r="86" spans="3:20">
      <c r="C86" s="3"/>
      <c r="F86" s="12">
        <v>18</v>
      </c>
      <c r="G86" s="58" t="s">
        <v>2570</v>
      </c>
      <c r="H86" s="7">
        <f t="shared" si="4"/>
        <v>6</v>
      </c>
      <c r="I86" s="50">
        <v>40183.664583333331</v>
      </c>
      <c r="J86" s="58" t="s">
        <v>3582</v>
      </c>
      <c r="K86" s="4">
        <f t="shared" si="5"/>
        <v>9</v>
      </c>
      <c r="L86" s="4">
        <v>9</v>
      </c>
      <c r="M86" s="4">
        <v>9</v>
      </c>
      <c r="Q86">
        <v>6</v>
      </c>
      <c r="S86" s="8"/>
    </row>
    <row r="87" spans="3:20">
      <c r="C87" s="3"/>
      <c r="F87" s="12">
        <v>19</v>
      </c>
      <c r="G87" s="51" t="s">
        <v>2570</v>
      </c>
      <c r="H87" s="7">
        <f t="shared" si="4"/>
        <v>6</v>
      </c>
      <c r="I87" s="50">
        <v>40183.773611111108</v>
      </c>
      <c r="J87" s="58" t="s">
        <v>2935</v>
      </c>
      <c r="K87" s="4">
        <f t="shared" si="5"/>
        <v>10</v>
      </c>
      <c r="L87" s="4">
        <v>3</v>
      </c>
      <c r="M87" s="4">
        <v>10</v>
      </c>
      <c r="Q87">
        <v>6</v>
      </c>
      <c r="S87" s="8"/>
      <c r="T87" s="10"/>
    </row>
    <row r="88" spans="3:20">
      <c r="C88" s="3"/>
      <c r="F88" s="12">
        <v>22</v>
      </c>
      <c r="G88" s="58" t="s">
        <v>2570</v>
      </c>
      <c r="H88" s="7">
        <f t="shared" si="4"/>
        <v>6</v>
      </c>
      <c r="I88" s="50">
        <v>40184.459027777775</v>
      </c>
      <c r="J88" s="58" t="s">
        <v>3223</v>
      </c>
      <c r="K88" s="4">
        <f t="shared" si="5"/>
        <v>11</v>
      </c>
      <c r="L88" s="4">
        <v>7</v>
      </c>
      <c r="M88" s="4">
        <v>11</v>
      </c>
      <c r="Q88">
        <v>6</v>
      </c>
      <c r="S88" s="8"/>
      <c r="T88" s="10"/>
    </row>
    <row r="89" spans="3:20">
      <c r="C89" s="3"/>
      <c r="F89" s="12">
        <v>23</v>
      </c>
      <c r="G89" s="51" t="s">
        <v>2570</v>
      </c>
      <c r="H89" s="7">
        <f t="shared" si="4"/>
        <v>6</v>
      </c>
      <c r="I89" s="50">
        <v>40184.681944444441</v>
      </c>
      <c r="J89" s="58" t="s">
        <v>2706</v>
      </c>
      <c r="K89" s="4">
        <f t="shared" si="5"/>
        <v>12</v>
      </c>
      <c r="L89" s="4">
        <v>3</v>
      </c>
      <c r="M89" s="4">
        <v>12</v>
      </c>
      <c r="Q89">
        <v>6</v>
      </c>
      <c r="S89" s="8"/>
      <c r="T89" s="10"/>
    </row>
    <row r="90" spans="3:20">
      <c r="C90" s="3"/>
      <c r="F90" s="12">
        <v>27</v>
      </c>
      <c r="G90" s="58" t="s">
        <v>2570</v>
      </c>
      <c r="H90" s="7">
        <f t="shared" si="4"/>
        <v>6</v>
      </c>
      <c r="I90" s="50">
        <v>40185.65</v>
      </c>
      <c r="J90" s="58" t="s">
        <v>2917</v>
      </c>
      <c r="K90" s="4">
        <f t="shared" si="5"/>
        <v>13</v>
      </c>
      <c r="L90" s="4">
        <v>3</v>
      </c>
      <c r="M90" s="4">
        <v>13</v>
      </c>
      <c r="Q90">
        <v>6</v>
      </c>
      <c r="S90" s="8"/>
      <c r="T90" s="10"/>
    </row>
    <row r="91" spans="3:20">
      <c r="C91" s="3"/>
      <c r="F91" s="12">
        <v>29</v>
      </c>
      <c r="G91" s="58" t="s">
        <v>2570</v>
      </c>
      <c r="H91" s="7">
        <f t="shared" si="4"/>
        <v>6</v>
      </c>
      <c r="I91" s="50">
        <v>40185.662499999999</v>
      </c>
      <c r="J91" s="58" t="s">
        <v>2623</v>
      </c>
      <c r="K91" s="4">
        <f t="shared" si="5"/>
        <v>14</v>
      </c>
      <c r="L91" s="4">
        <v>2</v>
      </c>
      <c r="M91" s="4">
        <v>14</v>
      </c>
      <c r="Q91">
        <v>6</v>
      </c>
      <c r="S91" s="8"/>
      <c r="T91" s="10"/>
    </row>
    <row r="92" spans="3:20">
      <c r="C92" s="3"/>
      <c r="F92" s="12">
        <v>31</v>
      </c>
      <c r="G92" s="58" t="s">
        <v>2570</v>
      </c>
      <c r="H92" s="7">
        <f t="shared" si="4"/>
        <v>6</v>
      </c>
      <c r="I92" s="50">
        <v>40186.433333333334</v>
      </c>
      <c r="J92" s="58" t="s">
        <v>3471</v>
      </c>
      <c r="K92" s="4">
        <f t="shared" si="5"/>
        <v>15</v>
      </c>
      <c r="L92" s="4">
        <v>5</v>
      </c>
      <c r="M92" s="4">
        <v>15</v>
      </c>
      <c r="Q92">
        <v>6</v>
      </c>
      <c r="S92" s="8"/>
      <c r="T92" s="10"/>
    </row>
    <row r="93" spans="3:20">
      <c r="C93" s="3"/>
      <c r="F93" s="12">
        <v>33</v>
      </c>
      <c r="G93" s="58" t="s">
        <v>2570</v>
      </c>
      <c r="H93" s="7">
        <f t="shared" si="4"/>
        <v>6</v>
      </c>
      <c r="I93" s="50">
        <v>40186.452777777777</v>
      </c>
      <c r="J93" s="58" t="s">
        <v>2684</v>
      </c>
      <c r="K93" s="4">
        <f t="shared" si="5"/>
        <v>16</v>
      </c>
      <c r="L93" s="4">
        <v>5</v>
      </c>
      <c r="M93" s="4">
        <v>16</v>
      </c>
      <c r="Q93">
        <v>6</v>
      </c>
      <c r="S93" s="8"/>
      <c r="T93" s="10"/>
    </row>
    <row r="94" spans="3:20">
      <c r="C94" s="3"/>
      <c r="F94" s="12">
        <v>34</v>
      </c>
      <c r="G94" s="51" t="s">
        <v>2570</v>
      </c>
      <c r="H94" s="7">
        <f t="shared" si="4"/>
        <v>6</v>
      </c>
      <c r="I94" s="50">
        <v>40186.452777777777</v>
      </c>
      <c r="J94" s="58" t="s">
        <v>3094</v>
      </c>
      <c r="K94" s="4">
        <f t="shared" si="5"/>
        <v>17</v>
      </c>
      <c r="L94" s="4">
        <v>5</v>
      </c>
      <c r="M94" s="4">
        <v>17</v>
      </c>
      <c r="Q94">
        <v>6</v>
      </c>
      <c r="S94" s="8"/>
      <c r="T94" s="10"/>
    </row>
    <row r="95" spans="3:20">
      <c r="C95" s="3"/>
      <c r="F95" s="12">
        <v>37</v>
      </c>
      <c r="G95" s="58" t="s">
        <v>2570</v>
      </c>
      <c r="H95" s="7">
        <f t="shared" si="4"/>
        <v>6</v>
      </c>
      <c r="I95" s="50">
        <v>40186.713888888888</v>
      </c>
      <c r="J95" s="58" t="s">
        <v>3474</v>
      </c>
      <c r="K95" s="4">
        <f t="shared" si="5"/>
        <v>18</v>
      </c>
      <c r="L95" s="4">
        <v>15</v>
      </c>
      <c r="M95" s="4">
        <v>18</v>
      </c>
      <c r="Q95">
        <v>6</v>
      </c>
      <c r="S95" s="8"/>
      <c r="T95" s="10"/>
    </row>
    <row r="96" spans="3:20">
      <c r="C96" s="3"/>
      <c r="F96" s="12">
        <v>39</v>
      </c>
      <c r="G96" s="58" t="s">
        <v>2570</v>
      </c>
      <c r="H96" s="7">
        <f t="shared" si="4"/>
        <v>6</v>
      </c>
      <c r="I96" s="50">
        <v>40189.713888888888</v>
      </c>
      <c r="J96" s="58" t="s">
        <v>2569</v>
      </c>
      <c r="K96" s="4">
        <f t="shared" si="5"/>
        <v>19</v>
      </c>
      <c r="L96" s="4">
        <v>5</v>
      </c>
      <c r="M96" s="4">
        <v>19</v>
      </c>
      <c r="Q96">
        <v>6</v>
      </c>
      <c r="S96" s="8"/>
      <c r="T96" s="10"/>
    </row>
    <row r="97" spans="3:20">
      <c r="C97" s="3"/>
      <c r="F97" s="12">
        <v>40</v>
      </c>
      <c r="G97" s="51" t="s">
        <v>2570</v>
      </c>
      <c r="H97" s="7">
        <f t="shared" si="4"/>
        <v>6</v>
      </c>
      <c r="I97" s="50">
        <v>40189.714583333334</v>
      </c>
      <c r="J97" s="58" t="s">
        <v>2625</v>
      </c>
      <c r="K97" s="4">
        <f t="shared" si="5"/>
        <v>20</v>
      </c>
      <c r="L97" s="4">
        <v>5</v>
      </c>
      <c r="M97" s="4">
        <v>20</v>
      </c>
      <c r="Q97">
        <v>6</v>
      </c>
      <c r="S97" s="8"/>
      <c r="T97" s="10"/>
    </row>
    <row r="98" spans="3:20">
      <c r="C98" s="3"/>
      <c r="F98" s="12">
        <v>43</v>
      </c>
      <c r="G98" s="58" t="s">
        <v>2570</v>
      </c>
      <c r="H98" s="7">
        <f t="shared" ref="H98:H129" si="6">LOOKUP(G98,$N$2:$N$21,$O$2:$O$21)</f>
        <v>6</v>
      </c>
      <c r="I98" s="50">
        <v>40191.65902777778</v>
      </c>
      <c r="J98" s="58" t="s">
        <v>2948</v>
      </c>
      <c r="K98" s="4">
        <f t="shared" ref="K98:K129" si="7">IF(Q98&gt;Q97,1,K97+1)</f>
        <v>21</v>
      </c>
      <c r="L98" s="4">
        <v>2</v>
      </c>
      <c r="M98" s="4">
        <v>21</v>
      </c>
      <c r="Q98">
        <v>6</v>
      </c>
      <c r="S98" s="8"/>
      <c r="T98" s="10"/>
    </row>
    <row r="99" spans="3:20">
      <c r="C99" s="3"/>
      <c r="F99" s="12">
        <v>53</v>
      </c>
      <c r="G99" s="58" t="s">
        <v>2570</v>
      </c>
      <c r="H99" s="7">
        <f t="shared" si="6"/>
        <v>6</v>
      </c>
      <c r="I99" s="50">
        <v>40197.443055555559</v>
      </c>
      <c r="J99" s="58" t="s">
        <v>3552</v>
      </c>
      <c r="K99" s="4">
        <f t="shared" si="7"/>
        <v>22</v>
      </c>
      <c r="L99" s="4">
        <v>2</v>
      </c>
      <c r="M99" s="4">
        <v>22</v>
      </c>
      <c r="Q99">
        <v>6</v>
      </c>
      <c r="S99" s="8"/>
      <c r="T99" s="10"/>
    </row>
    <row r="100" spans="3:20">
      <c r="C100" s="3"/>
      <c r="F100" s="12">
        <v>61</v>
      </c>
      <c r="G100" s="58" t="s">
        <v>2570</v>
      </c>
      <c r="H100" s="7">
        <f t="shared" si="6"/>
        <v>6</v>
      </c>
      <c r="I100" s="50">
        <v>40199.505555555559</v>
      </c>
      <c r="J100" s="58" t="s">
        <v>3035</v>
      </c>
      <c r="K100" s="4">
        <f t="shared" si="7"/>
        <v>23</v>
      </c>
      <c r="L100" s="4">
        <v>7</v>
      </c>
      <c r="M100" s="4">
        <v>23</v>
      </c>
      <c r="Q100">
        <v>6</v>
      </c>
      <c r="S100" s="8"/>
      <c r="T100" s="10"/>
    </row>
    <row r="101" spans="3:20">
      <c r="C101" s="3"/>
      <c r="F101" s="12">
        <v>65</v>
      </c>
      <c r="G101" s="58" t="s">
        <v>2570</v>
      </c>
      <c r="H101" s="7">
        <f t="shared" si="6"/>
        <v>6</v>
      </c>
      <c r="I101" s="50">
        <v>40200.459722222222</v>
      </c>
      <c r="J101" s="58" t="s">
        <v>3390</v>
      </c>
      <c r="K101" s="4">
        <f t="shared" si="7"/>
        <v>24</v>
      </c>
      <c r="L101" s="4">
        <v>2</v>
      </c>
      <c r="M101" s="4">
        <v>24</v>
      </c>
      <c r="Q101">
        <v>6</v>
      </c>
      <c r="S101" s="8"/>
      <c r="T101" s="10"/>
    </row>
    <row r="102" spans="3:20">
      <c r="C102" s="3"/>
      <c r="F102" s="12">
        <v>67</v>
      </c>
      <c r="G102" s="58" t="s">
        <v>2570</v>
      </c>
      <c r="H102" s="7">
        <f t="shared" si="6"/>
        <v>6</v>
      </c>
      <c r="I102" s="50">
        <v>40200.466666666667</v>
      </c>
      <c r="J102" s="58" t="s">
        <v>2930</v>
      </c>
      <c r="K102" s="4">
        <f t="shared" si="7"/>
        <v>25</v>
      </c>
      <c r="L102" s="4">
        <v>2</v>
      </c>
      <c r="M102" s="4">
        <v>25</v>
      </c>
      <c r="Q102">
        <v>6</v>
      </c>
      <c r="S102" s="8"/>
      <c r="T102" s="10"/>
    </row>
    <row r="103" spans="3:20">
      <c r="C103" s="3"/>
      <c r="F103" s="12">
        <v>68</v>
      </c>
      <c r="G103" s="51" t="s">
        <v>2630</v>
      </c>
      <c r="H103" s="7">
        <f t="shared" si="6"/>
        <v>7</v>
      </c>
      <c r="I103" s="50">
        <v>40192.353472222225</v>
      </c>
      <c r="J103" s="58" t="s">
        <v>3225</v>
      </c>
      <c r="K103" s="4">
        <f t="shared" si="7"/>
        <v>1</v>
      </c>
      <c r="L103" s="4">
        <v>5</v>
      </c>
      <c r="M103" s="4">
        <v>1</v>
      </c>
      <c r="Q103">
        <v>7</v>
      </c>
      <c r="S103" s="8"/>
      <c r="T103" s="10"/>
    </row>
    <row r="104" spans="3:20">
      <c r="C104" s="3"/>
      <c r="F104" s="12">
        <v>130</v>
      </c>
      <c r="G104" s="58" t="s">
        <v>2630</v>
      </c>
      <c r="H104" s="7">
        <f t="shared" si="6"/>
        <v>7</v>
      </c>
      <c r="I104" s="50">
        <v>40245.615972222222</v>
      </c>
      <c r="J104" s="58" t="s">
        <v>2629</v>
      </c>
      <c r="K104" s="4">
        <f t="shared" si="7"/>
        <v>2</v>
      </c>
      <c r="L104" s="4">
        <v>5</v>
      </c>
      <c r="M104" s="4">
        <v>2</v>
      </c>
      <c r="Q104">
        <v>7</v>
      </c>
      <c r="S104" s="8"/>
      <c r="T104" s="10"/>
    </row>
    <row r="105" spans="3:20">
      <c r="C105" s="3"/>
      <c r="F105" s="12">
        <v>138</v>
      </c>
      <c r="G105" s="58" t="s">
        <v>3680</v>
      </c>
      <c r="H105" s="7">
        <f t="shared" si="6"/>
        <v>8</v>
      </c>
      <c r="I105" s="50">
        <v>40256.65625</v>
      </c>
      <c r="J105" s="58" t="s">
        <v>2995</v>
      </c>
      <c r="K105" s="4">
        <f t="shared" si="7"/>
        <v>1</v>
      </c>
      <c r="L105" s="4">
        <v>2</v>
      </c>
      <c r="M105" s="4">
        <v>1</v>
      </c>
      <c r="Q105">
        <v>8</v>
      </c>
      <c r="S105" s="8"/>
      <c r="T105" s="10"/>
    </row>
    <row r="106" spans="3:20">
      <c r="C106" s="3"/>
      <c r="F106" s="12">
        <v>137</v>
      </c>
      <c r="G106" s="51" t="s">
        <v>2993</v>
      </c>
      <c r="H106" s="7">
        <f t="shared" si="6"/>
        <v>9</v>
      </c>
      <c r="I106" s="50">
        <v>40256.65625</v>
      </c>
      <c r="J106" s="58" t="s">
        <v>2994</v>
      </c>
      <c r="K106" s="4">
        <f t="shared" si="7"/>
        <v>1</v>
      </c>
      <c r="L106" s="4">
        <v>2</v>
      </c>
      <c r="M106" s="4">
        <v>1</v>
      </c>
      <c r="Q106">
        <v>9</v>
      </c>
      <c r="S106" s="8"/>
      <c r="T106" s="10"/>
    </row>
    <row r="107" spans="3:20">
      <c r="C107" s="3"/>
      <c r="F107" s="12">
        <v>87</v>
      </c>
      <c r="G107" s="58" t="s">
        <v>3681</v>
      </c>
      <c r="H107" s="7">
        <f t="shared" si="6"/>
        <v>10</v>
      </c>
      <c r="I107" s="50">
        <v>40211.873611111114</v>
      </c>
      <c r="J107" s="58" t="s">
        <v>2898</v>
      </c>
      <c r="K107" s="4">
        <f t="shared" si="7"/>
        <v>1</v>
      </c>
      <c r="L107" s="4">
        <v>2</v>
      </c>
      <c r="M107" s="4">
        <v>1</v>
      </c>
      <c r="Q107">
        <v>10</v>
      </c>
      <c r="S107" s="8"/>
      <c r="T107" s="10"/>
    </row>
    <row r="108" spans="3:20">
      <c r="C108" s="3"/>
      <c r="F108" s="12">
        <v>89</v>
      </c>
      <c r="G108" s="58" t="s">
        <v>3681</v>
      </c>
      <c r="H108" s="7">
        <f t="shared" si="6"/>
        <v>10</v>
      </c>
      <c r="I108" s="50">
        <v>40212.32916666667</v>
      </c>
      <c r="J108" s="58" t="s">
        <v>3481</v>
      </c>
      <c r="K108" s="4">
        <f t="shared" si="7"/>
        <v>2</v>
      </c>
      <c r="L108" s="4">
        <v>2</v>
      </c>
      <c r="M108" s="4">
        <v>2</v>
      </c>
      <c r="Q108">
        <v>10</v>
      </c>
      <c r="S108" s="8"/>
      <c r="T108" s="10"/>
    </row>
    <row r="109" spans="3:20">
      <c r="C109" s="3"/>
      <c r="F109" s="12">
        <v>91</v>
      </c>
      <c r="G109" s="58" t="s">
        <v>3681</v>
      </c>
      <c r="H109" s="7">
        <f t="shared" si="6"/>
        <v>10</v>
      </c>
      <c r="I109" s="50">
        <v>40212.400000000001</v>
      </c>
      <c r="J109" s="58" t="s">
        <v>3484</v>
      </c>
      <c r="K109" s="4">
        <f t="shared" si="7"/>
        <v>3</v>
      </c>
      <c r="L109" s="4">
        <v>2</v>
      </c>
      <c r="M109" s="4">
        <v>3</v>
      </c>
      <c r="Q109">
        <v>10</v>
      </c>
      <c r="S109" s="8"/>
      <c r="T109" s="10"/>
    </row>
    <row r="110" spans="3:20">
      <c r="C110" s="3"/>
      <c r="F110" s="12">
        <v>95</v>
      </c>
      <c r="G110" s="58" t="s">
        <v>3681</v>
      </c>
      <c r="H110" s="7">
        <f t="shared" si="6"/>
        <v>10</v>
      </c>
      <c r="I110" s="50">
        <v>40212.824305555558</v>
      </c>
      <c r="J110" s="58" t="s">
        <v>3046</v>
      </c>
      <c r="K110" s="4">
        <f t="shared" si="7"/>
        <v>4</v>
      </c>
      <c r="L110" s="4">
        <v>4</v>
      </c>
      <c r="M110" s="4">
        <v>4</v>
      </c>
      <c r="Q110">
        <v>10</v>
      </c>
      <c r="S110" s="8"/>
      <c r="T110" s="10"/>
    </row>
    <row r="111" spans="3:20">
      <c r="C111" s="3"/>
      <c r="F111" s="12">
        <v>75</v>
      </c>
      <c r="G111" s="58" t="s">
        <v>2600</v>
      </c>
      <c r="H111" s="7">
        <f t="shared" si="6"/>
        <v>11</v>
      </c>
      <c r="I111" s="50">
        <v>40207.818749999999</v>
      </c>
      <c r="J111" s="58" t="s">
        <v>3098</v>
      </c>
      <c r="K111" s="4">
        <f t="shared" si="7"/>
        <v>1</v>
      </c>
      <c r="L111" s="4">
        <v>2</v>
      </c>
      <c r="M111" s="4">
        <v>1</v>
      </c>
      <c r="Q111">
        <v>11</v>
      </c>
      <c r="S111" s="8"/>
      <c r="T111" s="10"/>
    </row>
    <row r="112" spans="3:20">
      <c r="C112" s="3"/>
      <c r="F112" s="12">
        <v>85</v>
      </c>
      <c r="G112" s="51" t="s">
        <v>2600</v>
      </c>
      <c r="H112" s="7">
        <f t="shared" si="6"/>
        <v>11</v>
      </c>
      <c r="I112" s="50">
        <v>40207.819444444445</v>
      </c>
      <c r="J112" s="58" t="s">
        <v>2897</v>
      </c>
      <c r="K112" s="4">
        <f t="shared" si="7"/>
        <v>2</v>
      </c>
      <c r="L112" s="4">
        <v>3</v>
      </c>
      <c r="M112" s="4">
        <v>2</v>
      </c>
      <c r="Q112">
        <v>11</v>
      </c>
      <c r="S112" s="8"/>
      <c r="T112" s="10"/>
    </row>
    <row r="113" spans="3:20">
      <c r="C113" s="3"/>
      <c r="F113" s="12">
        <v>79</v>
      </c>
      <c r="G113" s="58" t="s">
        <v>2600</v>
      </c>
      <c r="H113" s="7">
        <f t="shared" si="6"/>
        <v>11</v>
      </c>
      <c r="I113" s="50">
        <v>40210.376388888886</v>
      </c>
      <c r="J113" s="58" t="s">
        <v>3319</v>
      </c>
      <c r="K113" s="4">
        <f t="shared" si="7"/>
        <v>3</v>
      </c>
      <c r="L113" s="4">
        <v>6</v>
      </c>
      <c r="M113" s="4">
        <v>3</v>
      </c>
      <c r="Q113">
        <v>11</v>
      </c>
      <c r="S113" s="8"/>
      <c r="T113" s="10"/>
    </row>
    <row r="114" spans="3:20">
      <c r="C114" s="3"/>
      <c r="F114" s="12">
        <v>84</v>
      </c>
      <c r="G114" s="58" t="s">
        <v>2600</v>
      </c>
      <c r="H114" s="7">
        <f t="shared" si="6"/>
        <v>11</v>
      </c>
      <c r="I114" s="50">
        <v>40211.259722222225</v>
      </c>
      <c r="J114" s="58" t="s">
        <v>3342</v>
      </c>
      <c r="K114" s="4">
        <f t="shared" si="7"/>
        <v>4</v>
      </c>
      <c r="L114" s="4">
        <v>2</v>
      </c>
      <c r="M114" s="4">
        <v>4</v>
      </c>
      <c r="Q114">
        <v>11</v>
      </c>
      <c r="S114" s="8"/>
      <c r="T114" s="10"/>
    </row>
    <row r="115" spans="3:20">
      <c r="C115" s="3"/>
      <c r="F115" s="12">
        <v>94</v>
      </c>
      <c r="G115" s="51" t="s">
        <v>2600</v>
      </c>
      <c r="H115" s="7">
        <f t="shared" si="6"/>
        <v>11</v>
      </c>
      <c r="I115" s="50">
        <v>40211.873611111114</v>
      </c>
      <c r="J115" s="58" t="s">
        <v>3045</v>
      </c>
      <c r="K115" s="4">
        <f t="shared" si="7"/>
        <v>5</v>
      </c>
      <c r="L115" s="4">
        <v>2</v>
      </c>
      <c r="M115" s="4">
        <v>5</v>
      </c>
      <c r="Q115">
        <v>11</v>
      </c>
      <c r="S115" s="8"/>
      <c r="T115" s="10"/>
    </row>
    <row r="116" spans="3:20">
      <c r="C116" s="3"/>
      <c r="F116" s="12">
        <v>88</v>
      </c>
      <c r="G116" s="51" t="s">
        <v>2600</v>
      </c>
      <c r="H116" s="7">
        <f t="shared" si="6"/>
        <v>11</v>
      </c>
      <c r="I116" s="50">
        <v>40212.302083333336</v>
      </c>
      <c r="J116" s="58" t="s">
        <v>3480</v>
      </c>
      <c r="K116" s="4">
        <f t="shared" si="7"/>
        <v>6</v>
      </c>
      <c r="L116" s="4">
        <v>4</v>
      </c>
      <c r="M116" s="4">
        <v>6</v>
      </c>
      <c r="Q116">
        <v>11</v>
      </c>
      <c r="S116" s="8"/>
      <c r="T116" s="10"/>
    </row>
    <row r="117" spans="3:20">
      <c r="C117" s="3"/>
      <c r="F117" s="12">
        <v>90</v>
      </c>
      <c r="G117" s="51" t="s">
        <v>2600</v>
      </c>
      <c r="H117" s="7">
        <f t="shared" si="6"/>
        <v>11</v>
      </c>
      <c r="I117" s="50">
        <v>40212.362500000003</v>
      </c>
      <c r="J117" s="58" t="s">
        <v>3483</v>
      </c>
      <c r="K117" s="4">
        <f t="shared" si="7"/>
        <v>7</v>
      </c>
      <c r="L117" s="4">
        <v>4</v>
      </c>
      <c r="M117" s="4">
        <v>7</v>
      </c>
      <c r="Q117">
        <v>11</v>
      </c>
      <c r="S117" s="8"/>
      <c r="T117" s="10"/>
    </row>
    <row r="118" spans="3:20">
      <c r="C118" s="3"/>
      <c r="F118" s="12">
        <v>93</v>
      </c>
      <c r="G118" s="58" t="s">
        <v>2600</v>
      </c>
      <c r="H118" s="7">
        <f t="shared" si="6"/>
        <v>11</v>
      </c>
      <c r="I118" s="50">
        <v>40212.400000000001</v>
      </c>
      <c r="J118" s="58" t="s">
        <v>3484</v>
      </c>
      <c r="K118" s="4">
        <f t="shared" si="7"/>
        <v>8</v>
      </c>
      <c r="L118" s="4">
        <v>2</v>
      </c>
      <c r="M118" s="4">
        <v>8</v>
      </c>
      <c r="Q118">
        <v>11</v>
      </c>
      <c r="S118" s="8"/>
      <c r="T118" s="10"/>
    </row>
    <row r="119" spans="3:20">
      <c r="C119" s="3"/>
      <c r="F119" s="12">
        <v>96</v>
      </c>
      <c r="G119" s="51" t="s">
        <v>2600</v>
      </c>
      <c r="H119" s="7">
        <f t="shared" si="6"/>
        <v>11</v>
      </c>
      <c r="I119" s="50">
        <v>40216.820138888892</v>
      </c>
      <c r="J119" s="58" t="s">
        <v>3278</v>
      </c>
      <c r="K119" s="4">
        <f t="shared" si="7"/>
        <v>9</v>
      </c>
      <c r="L119" s="4">
        <v>4</v>
      </c>
      <c r="M119" s="4">
        <v>9</v>
      </c>
      <c r="Q119">
        <v>11</v>
      </c>
      <c r="S119" s="8"/>
      <c r="T119" s="10"/>
    </row>
    <row r="120" spans="3:20">
      <c r="C120" s="3"/>
      <c r="F120" s="12">
        <v>124</v>
      </c>
      <c r="G120" s="58" t="s">
        <v>2600</v>
      </c>
      <c r="H120" s="7">
        <f t="shared" si="6"/>
        <v>11</v>
      </c>
      <c r="I120" s="50">
        <v>40243.373611111114</v>
      </c>
      <c r="J120" s="58" t="s">
        <v>3187</v>
      </c>
      <c r="K120" s="4">
        <f t="shared" si="7"/>
        <v>10</v>
      </c>
      <c r="L120" s="4">
        <v>2</v>
      </c>
      <c r="M120" s="4">
        <v>10</v>
      </c>
      <c r="Q120">
        <v>11</v>
      </c>
      <c r="S120" s="8"/>
      <c r="T120" s="10"/>
    </row>
    <row r="121" spans="3:20">
      <c r="C121" s="3"/>
      <c r="F121" s="12">
        <v>127</v>
      </c>
      <c r="G121" s="51" t="s">
        <v>2600</v>
      </c>
      <c r="H121" s="7">
        <f t="shared" si="6"/>
        <v>11</v>
      </c>
      <c r="I121" s="50">
        <v>40243.48333333333</v>
      </c>
      <c r="J121" s="58" t="s">
        <v>2903</v>
      </c>
      <c r="K121" s="4">
        <f t="shared" si="7"/>
        <v>11</v>
      </c>
      <c r="L121" s="4">
        <v>2</v>
      </c>
      <c r="M121" s="4">
        <v>11</v>
      </c>
      <c r="Q121">
        <v>11</v>
      </c>
      <c r="S121" s="8"/>
      <c r="T121" s="10"/>
    </row>
    <row r="122" spans="3:20">
      <c r="C122" s="3"/>
      <c r="F122" s="12">
        <v>125</v>
      </c>
      <c r="G122" s="51" t="s">
        <v>2600</v>
      </c>
      <c r="H122" s="7">
        <f t="shared" si="6"/>
        <v>11</v>
      </c>
      <c r="I122" s="50">
        <v>40244.393055555556</v>
      </c>
      <c r="J122" s="58" t="s">
        <v>3644</v>
      </c>
      <c r="K122" s="4">
        <f t="shared" si="7"/>
        <v>12</v>
      </c>
      <c r="L122" s="4">
        <v>2</v>
      </c>
      <c r="M122" s="4">
        <v>12</v>
      </c>
      <c r="Q122">
        <v>11</v>
      </c>
      <c r="S122" s="8"/>
      <c r="T122" s="10"/>
    </row>
    <row r="123" spans="3:20">
      <c r="C123" s="3"/>
      <c r="F123" s="12">
        <v>30</v>
      </c>
      <c r="G123" s="51" t="s">
        <v>2565</v>
      </c>
      <c r="H123" s="7">
        <f t="shared" si="6"/>
        <v>12</v>
      </c>
      <c r="I123" s="50">
        <v>40185.92083333333</v>
      </c>
      <c r="J123" s="58" t="s">
        <v>3470</v>
      </c>
      <c r="K123" s="4">
        <f t="shared" si="7"/>
        <v>1</v>
      </c>
      <c r="L123" s="4">
        <v>2</v>
      </c>
      <c r="M123" s="4">
        <v>1</v>
      </c>
      <c r="Q123">
        <v>12</v>
      </c>
      <c r="S123" s="8"/>
      <c r="T123" s="10"/>
    </row>
    <row r="124" spans="3:20">
      <c r="C124" s="3"/>
      <c r="F124" s="12">
        <v>47</v>
      </c>
      <c r="G124" s="58" t="s">
        <v>2565</v>
      </c>
      <c r="H124" s="7">
        <f t="shared" si="6"/>
        <v>12</v>
      </c>
      <c r="I124" s="50">
        <v>40194.652777777781</v>
      </c>
      <c r="J124" s="58" t="s">
        <v>3123</v>
      </c>
      <c r="K124" s="4">
        <f t="shared" si="7"/>
        <v>2</v>
      </c>
      <c r="L124" s="4">
        <v>2</v>
      </c>
      <c r="M124" s="4">
        <v>2</v>
      </c>
      <c r="Q124">
        <v>12</v>
      </c>
      <c r="S124" s="8"/>
      <c r="T124" s="10"/>
    </row>
    <row r="125" spans="3:20">
      <c r="C125" s="3"/>
      <c r="F125" s="12">
        <v>70</v>
      </c>
      <c r="G125" s="51" t="s">
        <v>2565</v>
      </c>
      <c r="H125" s="7">
        <f t="shared" si="6"/>
        <v>12</v>
      </c>
      <c r="I125" s="50">
        <v>40205.401388888888</v>
      </c>
      <c r="J125" s="58" t="s">
        <v>2743</v>
      </c>
      <c r="K125" s="4">
        <f t="shared" si="7"/>
        <v>3</v>
      </c>
      <c r="L125" s="4">
        <v>2</v>
      </c>
      <c r="M125" s="4">
        <v>3</v>
      </c>
      <c r="Q125">
        <v>12</v>
      </c>
      <c r="S125" s="8"/>
      <c r="T125" s="10"/>
    </row>
    <row r="126" spans="3:20">
      <c r="C126" s="3"/>
      <c r="F126" s="12">
        <v>73</v>
      </c>
      <c r="G126" s="58" t="s">
        <v>2565</v>
      </c>
      <c r="H126" s="7">
        <f t="shared" si="6"/>
        <v>12</v>
      </c>
      <c r="I126" s="50">
        <v>40206.845138888886</v>
      </c>
      <c r="J126" s="58" t="s">
        <v>3436</v>
      </c>
      <c r="K126" s="4">
        <f t="shared" si="7"/>
        <v>4</v>
      </c>
      <c r="L126" s="4">
        <v>3</v>
      </c>
      <c r="M126" s="4">
        <v>4</v>
      </c>
      <c r="Q126">
        <v>12</v>
      </c>
      <c r="S126" s="8"/>
      <c r="T126" s="10"/>
    </row>
    <row r="127" spans="3:20">
      <c r="C127" s="3"/>
      <c r="F127" s="12">
        <v>74</v>
      </c>
      <c r="G127" s="51" t="s">
        <v>2565</v>
      </c>
      <c r="H127" s="7">
        <f t="shared" si="6"/>
        <v>12</v>
      </c>
      <c r="I127" s="50">
        <v>40206.845833333333</v>
      </c>
      <c r="J127" s="58" t="s">
        <v>3097</v>
      </c>
      <c r="K127" s="4">
        <f t="shared" si="7"/>
        <v>5</v>
      </c>
      <c r="L127" s="4">
        <v>3</v>
      </c>
      <c r="M127" s="4">
        <v>5</v>
      </c>
      <c r="Q127">
        <v>12</v>
      </c>
      <c r="S127" s="8"/>
      <c r="T127" s="10"/>
    </row>
    <row r="128" spans="3:20">
      <c r="C128" s="3"/>
      <c r="F128" s="12">
        <v>162</v>
      </c>
      <c r="G128" s="58" t="s">
        <v>2565</v>
      </c>
      <c r="H128" s="7">
        <f t="shared" si="6"/>
        <v>12</v>
      </c>
      <c r="I128" s="50">
        <v>40340.939583333333</v>
      </c>
      <c r="J128" s="58" t="s">
        <v>2861</v>
      </c>
      <c r="K128" s="4">
        <f t="shared" si="7"/>
        <v>6</v>
      </c>
      <c r="L128" s="4">
        <v>3</v>
      </c>
      <c r="M128" s="4">
        <v>6</v>
      </c>
      <c r="Q128">
        <v>12</v>
      </c>
      <c r="S128" s="8"/>
      <c r="T128" s="10"/>
    </row>
    <row r="129" spans="3:20">
      <c r="C129" s="3"/>
      <c r="F129" s="12">
        <v>139</v>
      </c>
      <c r="G129" s="51" t="s">
        <v>3492</v>
      </c>
      <c r="H129" s="7">
        <f t="shared" si="6"/>
        <v>13</v>
      </c>
      <c r="I129" s="50">
        <v>40277.727083333331</v>
      </c>
      <c r="J129" s="58" t="s">
        <v>3493</v>
      </c>
      <c r="K129" s="4">
        <f t="shared" si="7"/>
        <v>1</v>
      </c>
      <c r="L129" s="4">
        <v>2</v>
      </c>
      <c r="M129" s="4">
        <v>1</v>
      </c>
      <c r="Q129">
        <v>13</v>
      </c>
      <c r="S129" s="8"/>
      <c r="T129" s="10"/>
    </row>
    <row r="130" spans="3:20">
      <c r="C130" s="3"/>
      <c r="F130" s="12">
        <v>108</v>
      </c>
      <c r="G130" s="58" t="s">
        <v>3685</v>
      </c>
      <c r="H130" s="7">
        <f t="shared" ref="H130:H161" si="8">LOOKUP(G130,$N$2:$N$21,$O$2:$O$21)</f>
        <v>14</v>
      </c>
      <c r="I130" s="50">
        <v>40221.620138888888</v>
      </c>
      <c r="J130" s="58" t="s">
        <v>2864</v>
      </c>
      <c r="K130" s="4">
        <f t="shared" ref="K130:K161" si="9">IF(Q130&gt;Q129,1,K129+1)</f>
        <v>1</v>
      </c>
      <c r="L130" s="4">
        <v>3</v>
      </c>
      <c r="M130" s="4">
        <v>1</v>
      </c>
      <c r="Q130">
        <v>14</v>
      </c>
      <c r="S130" s="8"/>
      <c r="T130" s="10"/>
    </row>
    <row r="131" spans="3:20">
      <c r="C131" s="3"/>
      <c r="F131" s="12">
        <v>114</v>
      </c>
      <c r="G131" s="58" t="s">
        <v>3685</v>
      </c>
      <c r="H131" s="7">
        <f t="shared" si="8"/>
        <v>14</v>
      </c>
      <c r="I131" s="50">
        <v>40224.488194444442</v>
      </c>
      <c r="J131" s="58" t="s">
        <v>3670</v>
      </c>
      <c r="K131" s="4">
        <f t="shared" si="9"/>
        <v>2</v>
      </c>
      <c r="L131" s="4">
        <v>3</v>
      </c>
      <c r="M131" s="4">
        <v>2</v>
      </c>
      <c r="Q131">
        <v>14</v>
      </c>
      <c r="S131" s="8"/>
      <c r="T131" s="10"/>
    </row>
    <row r="132" spans="3:20">
      <c r="C132" s="3"/>
      <c r="F132" s="12">
        <v>120</v>
      </c>
      <c r="G132" s="58" t="s">
        <v>3685</v>
      </c>
      <c r="H132" s="7">
        <f t="shared" si="8"/>
        <v>14</v>
      </c>
      <c r="I132" s="50">
        <v>40237.821527777778</v>
      </c>
      <c r="J132" s="58" t="s">
        <v>3522</v>
      </c>
      <c r="K132" s="4">
        <f t="shared" si="9"/>
        <v>3</v>
      </c>
      <c r="L132" s="4">
        <v>330</v>
      </c>
      <c r="M132" s="4">
        <v>3</v>
      </c>
      <c r="Q132">
        <v>14</v>
      </c>
      <c r="S132" s="8"/>
      <c r="T132" s="10"/>
    </row>
    <row r="133" spans="3:20">
      <c r="C133" s="3"/>
      <c r="F133" s="12">
        <v>144</v>
      </c>
      <c r="G133" s="58" t="s">
        <v>3685</v>
      </c>
      <c r="H133" s="7">
        <f t="shared" si="8"/>
        <v>14</v>
      </c>
      <c r="I133" s="50">
        <v>40282.401388888888</v>
      </c>
      <c r="J133" s="58" t="s">
        <v>2741</v>
      </c>
      <c r="K133" s="4">
        <f t="shared" si="9"/>
        <v>4</v>
      </c>
      <c r="L133" s="4">
        <v>3</v>
      </c>
      <c r="M133" s="4">
        <v>4</v>
      </c>
      <c r="Q133">
        <v>14</v>
      </c>
      <c r="S133" s="8"/>
      <c r="T133" s="10"/>
    </row>
    <row r="134" spans="3:20">
      <c r="C134" s="3"/>
      <c r="F134" s="12">
        <v>152</v>
      </c>
      <c r="G134" s="58" t="s">
        <v>3685</v>
      </c>
      <c r="H134" s="7">
        <f t="shared" si="8"/>
        <v>14</v>
      </c>
      <c r="I134" s="50">
        <v>40305.588194444441</v>
      </c>
      <c r="J134" s="58" t="s">
        <v>2920</v>
      </c>
      <c r="K134" s="4">
        <f t="shared" si="9"/>
        <v>5</v>
      </c>
      <c r="L134" s="4">
        <v>30</v>
      </c>
      <c r="M134" s="4">
        <v>5</v>
      </c>
      <c r="Q134">
        <v>14</v>
      </c>
      <c r="S134" s="8"/>
      <c r="T134" s="10"/>
    </row>
    <row r="135" spans="3:20">
      <c r="C135" s="3"/>
      <c r="F135" s="12">
        <v>7</v>
      </c>
      <c r="G135" s="51" t="s">
        <v>2653</v>
      </c>
      <c r="H135" s="7">
        <f t="shared" si="8"/>
        <v>15</v>
      </c>
      <c r="I135" s="50">
        <v>40179.454861111109</v>
      </c>
      <c r="J135" s="58" t="s">
        <v>3467</v>
      </c>
      <c r="K135" s="4">
        <f t="shared" si="9"/>
        <v>1</v>
      </c>
      <c r="L135" s="4">
        <v>2</v>
      </c>
      <c r="M135" s="4">
        <v>1</v>
      </c>
      <c r="Q135">
        <v>15</v>
      </c>
      <c r="S135" s="8"/>
      <c r="T135" s="10"/>
    </row>
    <row r="136" spans="3:20">
      <c r="C136" s="3"/>
      <c r="F136" s="12">
        <v>16</v>
      </c>
      <c r="G136" s="58" t="s">
        <v>2653</v>
      </c>
      <c r="H136" s="7">
        <f t="shared" si="8"/>
        <v>15</v>
      </c>
      <c r="I136" s="50">
        <v>40183.640277777777</v>
      </c>
      <c r="J136" s="58" t="s">
        <v>2916</v>
      </c>
      <c r="K136" s="4">
        <f t="shared" si="9"/>
        <v>2</v>
      </c>
      <c r="L136" s="4">
        <v>2</v>
      </c>
      <c r="M136" s="4">
        <v>2</v>
      </c>
      <c r="Q136">
        <v>15</v>
      </c>
      <c r="S136" s="8"/>
      <c r="T136" s="10"/>
    </row>
    <row r="137" spans="3:20">
      <c r="C137" s="3"/>
      <c r="F137" s="12">
        <v>35</v>
      </c>
      <c r="G137" s="58" t="s">
        <v>2653</v>
      </c>
      <c r="H137" s="7">
        <f t="shared" si="8"/>
        <v>15</v>
      </c>
      <c r="I137" s="50">
        <v>40186.492361111108</v>
      </c>
      <c r="J137" s="58" t="s">
        <v>3095</v>
      </c>
      <c r="K137" s="4">
        <f t="shared" si="9"/>
        <v>3</v>
      </c>
      <c r="L137" s="4">
        <v>7</v>
      </c>
      <c r="M137" s="4">
        <v>3</v>
      </c>
      <c r="Q137">
        <v>15</v>
      </c>
      <c r="S137" s="8"/>
      <c r="T137" s="10"/>
    </row>
    <row r="138" spans="3:20">
      <c r="C138" s="3"/>
      <c r="F138" s="12">
        <v>36</v>
      </c>
      <c r="G138" s="51" t="s">
        <v>2653</v>
      </c>
      <c r="H138" s="7">
        <f t="shared" si="8"/>
        <v>15</v>
      </c>
      <c r="I138" s="50">
        <v>40186.5</v>
      </c>
      <c r="J138" s="58" t="s">
        <v>3473</v>
      </c>
      <c r="K138" s="4">
        <f t="shared" si="9"/>
        <v>4</v>
      </c>
      <c r="L138" s="4">
        <v>7</v>
      </c>
      <c r="M138" s="4">
        <v>4</v>
      </c>
      <c r="Q138">
        <v>15</v>
      </c>
      <c r="S138" s="8"/>
      <c r="T138" s="10"/>
    </row>
    <row r="139" spans="3:20">
      <c r="C139" s="3"/>
      <c r="F139" s="12">
        <v>46</v>
      </c>
      <c r="G139" s="51" t="s">
        <v>2653</v>
      </c>
      <c r="H139" s="7">
        <f t="shared" si="8"/>
        <v>15</v>
      </c>
      <c r="I139" s="50">
        <v>40192.436111111114</v>
      </c>
      <c r="J139" s="58" t="s">
        <v>3122</v>
      </c>
      <c r="K139" s="4">
        <f t="shared" si="9"/>
        <v>5</v>
      </c>
      <c r="L139" s="4">
        <v>2</v>
      </c>
      <c r="M139" s="4">
        <v>5</v>
      </c>
      <c r="Q139">
        <v>15</v>
      </c>
      <c r="S139" s="8"/>
      <c r="T139" s="10"/>
    </row>
    <row r="140" spans="3:20">
      <c r="C140" s="3"/>
      <c r="F140" s="12">
        <v>56</v>
      </c>
      <c r="G140" s="51" t="s">
        <v>2653</v>
      </c>
      <c r="H140" s="7">
        <f t="shared" si="8"/>
        <v>15</v>
      </c>
      <c r="I140" s="50">
        <v>40196.527777777781</v>
      </c>
      <c r="J140" s="58" t="s">
        <v>3284</v>
      </c>
      <c r="K140" s="4">
        <f t="shared" si="9"/>
        <v>6</v>
      </c>
      <c r="L140" s="4">
        <v>13</v>
      </c>
      <c r="M140" s="4">
        <v>6</v>
      </c>
      <c r="Q140">
        <v>15</v>
      </c>
      <c r="S140" s="8"/>
      <c r="T140" s="10"/>
    </row>
    <row r="141" spans="3:20">
      <c r="C141" s="3"/>
      <c r="F141" s="12">
        <v>102</v>
      </c>
      <c r="G141" s="58" t="s">
        <v>2653</v>
      </c>
      <c r="H141" s="7">
        <f t="shared" si="8"/>
        <v>15</v>
      </c>
      <c r="I141" s="50">
        <v>40218.115277777775</v>
      </c>
      <c r="J141" s="58" t="s">
        <v>3077</v>
      </c>
      <c r="K141" s="4">
        <f t="shared" si="9"/>
        <v>7</v>
      </c>
      <c r="L141" s="4">
        <v>3</v>
      </c>
      <c r="M141" s="4">
        <v>7</v>
      </c>
      <c r="Q141">
        <v>15</v>
      </c>
      <c r="S141" s="8"/>
      <c r="T141" s="10"/>
    </row>
    <row r="142" spans="3:20">
      <c r="C142" s="3"/>
      <c r="F142" s="12">
        <v>104</v>
      </c>
      <c r="G142" s="58" t="s">
        <v>2653</v>
      </c>
      <c r="H142" s="7">
        <f t="shared" si="8"/>
        <v>15</v>
      </c>
      <c r="I142" s="50">
        <v>40218.500694444447</v>
      </c>
      <c r="J142" s="58" t="s">
        <v>3197</v>
      </c>
      <c r="K142" s="4">
        <f t="shared" si="9"/>
        <v>8</v>
      </c>
      <c r="L142" s="4">
        <v>7</v>
      </c>
      <c r="M142" s="4">
        <v>8</v>
      </c>
      <c r="Q142">
        <v>15</v>
      </c>
      <c r="S142" s="8"/>
      <c r="T142" s="10"/>
    </row>
    <row r="143" spans="3:20">
      <c r="C143" s="3"/>
      <c r="F143" s="12">
        <v>105</v>
      </c>
      <c r="G143" s="51" t="s">
        <v>2653</v>
      </c>
      <c r="H143" s="7">
        <f t="shared" si="8"/>
        <v>15</v>
      </c>
      <c r="I143" s="50">
        <v>40218.515972222223</v>
      </c>
      <c r="J143" s="58" t="s">
        <v>2766</v>
      </c>
      <c r="K143" s="4">
        <f t="shared" si="9"/>
        <v>9</v>
      </c>
      <c r="L143" s="4">
        <v>7</v>
      </c>
      <c r="M143" s="4">
        <v>9</v>
      </c>
      <c r="Q143">
        <v>15</v>
      </c>
      <c r="S143" s="8"/>
      <c r="T143" s="10"/>
    </row>
    <row r="144" spans="3:20">
      <c r="C144" s="3"/>
      <c r="D144" s="1"/>
      <c r="F144" s="12">
        <v>107</v>
      </c>
      <c r="G144" s="51" t="s">
        <v>2653</v>
      </c>
      <c r="H144" s="7">
        <f t="shared" si="8"/>
        <v>15</v>
      </c>
      <c r="I144" s="50">
        <v>40221.597222222219</v>
      </c>
      <c r="J144" s="58" t="s">
        <v>2863</v>
      </c>
      <c r="K144" s="4">
        <f t="shared" si="9"/>
        <v>10</v>
      </c>
      <c r="L144" s="4">
        <v>2</v>
      </c>
      <c r="M144" s="4">
        <v>10</v>
      </c>
      <c r="Q144">
        <v>15</v>
      </c>
      <c r="S144" s="8"/>
      <c r="T144" s="10"/>
    </row>
    <row r="145" spans="3:20">
      <c r="C145" s="3"/>
      <c r="F145" s="12">
        <v>110</v>
      </c>
      <c r="G145" s="58" t="s">
        <v>2653</v>
      </c>
      <c r="H145" s="7">
        <f t="shared" si="8"/>
        <v>15</v>
      </c>
      <c r="I145" s="50">
        <v>40224.417361111111</v>
      </c>
      <c r="J145" s="58" t="s">
        <v>3049</v>
      </c>
      <c r="K145" s="4">
        <f t="shared" si="9"/>
        <v>11</v>
      </c>
      <c r="L145" s="4">
        <v>3</v>
      </c>
      <c r="M145" s="4">
        <v>11</v>
      </c>
      <c r="Q145">
        <v>15</v>
      </c>
      <c r="S145" s="8"/>
      <c r="T145" s="10"/>
    </row>
    <row r="146" spans="3:20">
      <c r="C146" s="3"/>
      <c r="F146" s="12">
        <v>113</v>
      </c>
      <c r="G146" s="51" t="s">
        <v>2653</v>
      </c>
      <c r="H146" s="7">
        <f t="shared" si="8"/>
        <v>15</v>
      </c>
      <c r="I146" s="50">
        <v>40224.417361111111</v>
      </c>
      <c r="J146" s="58" t="s">
        <v>3236</v>
      </c>
      <c r="K146" s="4">
        <f t="shared" si="9"/>
        <v>12</v>
      </c>
      <c r="L146" s="4">
        <v>3</v>
      </c>
      <c r="M146" s="4">
        <v>12</v>
      </c>
      <c r="Q146">
        <v>15</v>
      </c>
      <c r="S146" s="8"/>
      <c r="T146" s="10"/>
    </row>
    <row r="147" spans="3:20">
      <c r="C147" s="3"/>
      <c r="F147" s="12">
        <v>119</v>
      </c>
      <c r="G147" s="51" t="s">
        <v>2653</v>
      </c>
      <c r="H147" s="7">
        <f t="shared" si="8"/>
        <v>15</v>
      </c>
      <c r="I147" s="50">
        <v>40237.802083333336</v>
      </c>
      <c r="J147" s="58" t="s">
        <v>3521</v>
      </c>
      <c r="K147" s="4">
        <f t="shared" si="9"/>
        <v>13</v>
      </c>
      <c r="L147" s="4">
        <v>5</v>
      </c>
      <c r="M147" s="4">
        <v>13</v>
      </c>
      <c r="Q147">
        <v>15</v>
      </c>
      <c r="S147" s="8"/>
      <c r="T147" s="10"/>
    </row>
    <row r="148" spans="3:20">
      <c r="C148" s="3"/>
      <c r="F148" s="12">
        <v>122</v>
      </c>
      <c r="G148" s="58" t="s">
        <v>2653</v>
      </c>
      <c r="H148" s="7">
        <f t="shared" si="8"/>
        <v>15</v>
      </c>
      <c r="I148" s="50">
        <v>40237.870138888888</v>
      </c>
      <c r="J148" s="58" t="s">
        <v>2822</v>
      </c>
      <c r="K148" s="4">
        <f t="shared" si="9"/>
        <v>14</v>
      </c>
      <c r="L148" s="4">
        <v>3</v>
      </c>
      <c r="M148" s="4">
        <v>14</v>
      </c>
      <c r="Q148">
        <v>15</v>
      </c>
      <c r="S148" s="8"/>
      <c r="T148" s="10"/>
    </row>
    <row r="149" spans="3:20">
      <c r="C149" s="3"/>
      <c r="F149" s="12">
        <v>133</v>
      </c>
      <c r="G149" s="51" t="s">
        <v>2653</v>
      </c>
      <c r="H149" s="7">
        <f t="shared" si="8"/>
        <v>15</v>
      </c>
      <c r="I149" s="50">
        <v>40252.729861111111</v>
      </c>
      <c r="J149" s="58" t="s">
        <v>2900</v>
      </c>
      <c r="K149" s="4">
        <f t="shared" si="9"/>
        <v>15</v>
      </c>
      <c r="L149" s="4">
        <v>2</v>
      </c>
      <c r="M149" s="4">
        <v>15</v>
      </c>
      <c r="Q149">
        <v>15</v>
      </c>
      <c r="S149" s="8"/>
      <c r="T149" s="10"/>
    </row>
    <row r="150" spans="3:20">
      <c r="C150" s="3"/>
      <c r="F150" s="12">
        <v>136</v>
      </c>
      <c r="G150" s="58" t="s">
        <v>2653</v>
      </c>
      <c r="H150" s="7">
        <f t="shared" si="8"/>
        <v>15</v>
      </c>
      <c r="I150" s="50">
        <v>40253.456250000003</v>
      </c>
      <c r="J150" s="58" t="s">
        <v>2783</v>
      </c>
      <c r="K150" s="4">
        <f t="shared" si="9"/>
        <v>16</v>
      </c>
      <c r="L150" s="4">
        <v>6</v>
      </c>
      <c r="M150" s="4">
        <v>16</v>
      </c>
      <c r="Q150">
        <v>15</v>
      </c>
      <c r="S150" s="8"/>
      <c r="T150" s="10"/>
    </row>
    <row r="151" spans="3:20">
      <c r="C151" s="3"/>
      <c r="F151" s="12">
        <v>143</v>
      </c>
      <c r="G151" s="51" t="s">
        <v>2653</v>
      </c>
      <c r="H151" s="7">
        <f t="shared" si="8"/>
        <v>15</v>
      </c>
      <c r="I151" s="50">
        <v>40276.734722222223</v>
      </c>
      <c r="J151" s="58" t="s">
        <v>2740</v>
      </c>
      <c r="K151" s="4">
        <f t="shared" si="9"/>
        <v>17</v>
      </c>
      <c r="L151" s="4">
        <v>35</v>
      </c>
      <c r="M151" s="4">
        <v>17</v>
      </c>
      <c r="Q151">
        <v>15</v>
      </c>
      <c r="S151" s="8"/>
      <c r="T151" s="10"/>
    </row>
    <row r="152" spans="3:20">
      <c r="C152" s="3"/>
      <c r="F152" s="12">
        <v>142</v>
      </c>
      <c r="G152" s="58" t="s">
        <v>2653</v>
      </c>
      <c r="H152" s="7">
        <f t="shared" si="8"/>
        <v>15</v>
      </c>
      <c r="I152" s="50">
        <v>40282.393055555556</v>
      </c>
      <c r="J152" s="58" t="s">
        <v>2663</v>
      </c>
      <c r="K152" s="4">
        <f t="shared" si="9"/>
        <v>18</v>
      </c>
      <c r="L152" s="4">
        <v>3</v>
      </c>
      <c r="M152" s="4">
        <v>18</v>
      </c>
      <c r="Q152">
        <v>15</v>
      </c>
      <c r="S152" s="8"/>
      <c r="T152" s="10"/>
    </row>
    <row r="153" spans="3:20">
      <c r="C153" s="3"/>
      <c r="F153" s="12">
        <v>146</v>
      </c>
      <c r="G153" s="58" t="s">
        <v>2653</v>
      </c>
      <c r="H153" s="7">
        <f t="shared" si="8"/>
        <v>15</v>
      </c>
      <c r="I153" s="50">
        <v>40290.477777777778</v>
      </c>
      <c r="J153" s="58" t="s">
        <v>2652</v>
      </c>
      <c r="K153" s="4">
        <f t="shared" si="9"/>
        <v>19</v>
      </c>
      <c r="L153" s="4">
        <v>2</v>
      </c>
      <c r="M153" s="4">
        <v>19</v>
      </c>
      <c r="Q153">
        <v>15</v>
      </c>
      <c r="S153" s="8"/>
      <c r="T153" s="10"/>
    </row>
    <row r="154" spans="3:20">
      <c r="C154" s="3"/>
      <c r="F154" s="12">
        <v>150</v>
      </c>
      <c r="G154" s="58" t="s">
        <v>2653</v>
      </c>
      <c r="H154" s="7">
        <f t="shared" si="8"/>
        <v>15</v>
      </c>
      <c r="I154" s="50">
        <v>40301.755555555559</v>
      </c>
      <c r="J154" s="58" t="s">
        <v>3214</v>
      </c>
      <c r="K154" s="4">
        <f t="shared" si="9"/>
        <v>20</v>
      </c>
      <c r="L154" s="4">
        <v>2</v>
      </c>
      <c r="M154" s="4">
        <v>20</v>
      </c>
      <c r="Q154">
        <v>15</v>
      </c>
      <c r="S154" s="8"/>
      <c r="T154" s="10"/>
    </row>
    <row r="155" spans="3:20">
      <c r="C155" s="3"/>
      <c r="F155" s="12">
        <v>151</v>
      </c>
      <c r="G155" s="51" t="s">
        <v>2653</v>
      </c>
      <c r="H155" s="7">
        <f t="shared" si="8"/>
        <v>15</v>
      </c>
      <c r="I155" s="50">
        <v>40305.457638888889</v>
      </c>
      <c r="J155" s="58" t="s">
        <v>2919</v>
      </c>
      <c r="K155" s="4">
        <f t="shared" si="9"/>
        <v>21</v>
      </c>
      <c r="L155" s="4">
        <v>6</v>
      </c>
      <c r="M155" s="4">
        <v>21</v>
      </c>
      <c r="Q155">
        <v>15</v>
      </c>
      <c r="S155" s="8"/>
      <c r="T155" s="10"/>
    </row>
    <row r="156" spans="3:20">
      <c r="C156" s="3"/>
      <c r="F156" s="12">
        <v>165</v>
      </c>
      <c r="G156" s="51" t="s">
        <v>2653</v>
      </c>
      <c r="H156" s="7">
        <f t="shared" si="8"/>
        <v>15</v>
      </c>
      <c r="I156" s="50">
        <v>40308.313888888886</v>
      </c>
      <c r="J156" s="58" t="s">
        <v>3605</v>
      </c>
      <c r="K156" s="4">
        <f t="shared" si="9"/>
        <v>22</v>
      </c>
      <c r="L156" s="4">
        <v>2</v>
      </c>
      <c r="M156" s="4">
        <v>22</v>
      </c>
      <c r="Q156">
        <v>15</v>
      </c>
      <c r="S156" s="8"/>
      <c r="T156" s="10"/>
    </row>
    <row r="157" spans="3:20">
      <c r="C157" s="3"/>
      <c r="F157" s="12">
        <v>28</v>
      </c>
      <c r="G157" s="51" t="s">
        <v>2621</v>
      </c>
      <c r="H157" s="7">
        <f t="shared" si="8"/>
        <v>16</v>
      </c>
      <c r="I157" s="50">
        <v>40185.377083333333</v>
      </c>
      <c r="J157" s="58" t="s">
        <v>2622</v>
      </c>
      <c r="K157" s="4">
        <f t="shared" si="9"/>
        <v>1</v>
      </c>
      <c r="L157" s="4">
        <v>3</v>
      </c>
      <c r="M157" s="4">
        <v>1</v>
      </c>
      <c r="Q157">
        <v>16</v>
      </c>
      <c r="S157" s="8"/>
      <c r="T157" s="10"/>
    </row>
    <row r="158" spans="3:20">
      <c r="C158" s="3"/>
      <c r="F158" s="12">
        <v>160</v>
      </c>
      <c r="G158" s="58" t="s">
        <v>3676</v>
      </c>
      <c r="H158" s="7">
        <f t="shared" si="8"/>
        <v>17</v>
      </c>
      <c r="I158" s="50">
        <v>40340.670138888891</v>
      </c>
      <c r="J158" s="58" t="s">
        <v>2660</v>
      </c>
      <c r="K158" s="4">
        <f t="shared" si="9"/>
        <v>1</v>
      </c>
      <c r="L158" s="4">
        <v>5</v>
      </c>
      <c r="M158" s="4">
        <v>1</v>
      </c>
      <c r="Q158">
        <v>17</v>
      </c>
      <c r="S158" s="8"/>
      <c r="T158" s="10"/>
    </row>
    <row r="159" spans="3:20">
      <c r="C159" s="3"/>
      <c r="F159" s="12">
        <v>145</v>
      </c>
      <c r="G159" s="51" t="s">
        <v>2572</v>
      </c>
      <c r="H159" s="7">
        <f t="shared" si="8"/>
        <v>18</v>
      </c>
      <c r="I159" s="50">
        <v>40288.430555555555</v>
      </c>
      <c r="J159" s="58" t="s">
        <v>2651</v>
      </c>
      <c r="K159" s="4">
        <f t="shared" si="9"/>
        <v>1</v>
      </c>
      <c r="L159" s="4">
        <v>3</v>
      </c>
      <c r="M159" s="4">
        <v>1</v>
      </c>
      <c r="Q159">
        <v>18</v>
      </c>
      <c r="S159" s="8"/>
      <c r="T159" s="10"/>
    </row>
    <row r="160" spans="3:20">
      <c r="C160" s="3"/>
      <c r="F160" s="12">
        <v>148</v>
      </c>
      <c r="G160" s="58" t="s">
        <v>2572</v>
      </c>
      <c r="H160" s="7">
        <f t="shared" si="8"/>
        <v>18</v>
      </c>
      <c r="I160" s="50">
        <v>40291.015972222223</v>
      </c>
      <c r="J160" s="58" t="s">
        <v>2792</v>
      </c>
      <c r="K160" s="4">
        <f t="shared" si="9"/>
        <v>2</v>
      </c>
      <c r="L160" s="4">
        <v>9</v>
      </c>
      <c r="M160" s="4">
        <v>2</v>
      </c>
      <c r="Q160">
        <v>18</v>
      </c>
      <c r="S160" s="8"/>
      <c r="T160" s="10"/>
    </row>
    <row r="161" spans="3:20">
      <c r="C161" s="3"/>
      <c r="F161" s="12">
        <v>149</v>
      </c>
      <c r="G161" s="51" t="s">
        <v>2572</v>
      </c>
      <c r="H161" s="7">
        <f t="shared" si="8"/>
        <v>18</v>
      </c>
      <c r="I161" s="50">
        <v>40295.461805555555</v>
      </c>
      <c r="J161" s="58" t="s">
        <v>3213</v>
      </c>
      <c r="K161" s="4">
        <f t="shared" si="9"/>
        <v>3</v>
      </c>
      <c r="L161" s="4">
        <v>4</v>
      </c>
      <c r="M161" s="4">
        <v>3</v>
      </c>
      <c r="Q161">
        <v>18</v>
      </c>
      <c r="S161" s="8"/>
      <c r="T161" s="10"/>
    </row>
    <row r="162" spans="3:20">
      <c r="C162" s="3"/>
      <c r="F162" s="12">
        <v>154</v>
      </c>
      <c r="G162" s="58" t="s">
        <v>2572</v>
      </c>
      <c r="H162" s="7">
        <f t="shared" ref="H162:H168" si="10">LOOKUP(G162,$N$2:$N$21,$O$2:$O$21)</f>
        <v>18</v>
      </c>
      <c r="I162" s="50">
        <v>40318.893750000003</v>
      </c>
      <c r="J162" s="58" t="s">
        <v>3536</v>
      </c>
      <c r="K162" s="4">
        <f t="shared" ref="K162:K168" si="11">IF(Q162&gt;Q161,1,K161+1)</f>
        <v>4</v>
      </c>
      <c r="L162" s="4">
        <v>2</v>
      </c>
      <c r="M162" s="4">
        <v>4</v>
      </c>
      <c r="Q162">
        <v>18</v>
      </c>
      <c r="S162" s="8"/>
      <c r="T162" s="10"/>
    </row>
    <row r="163" spans="3:20">
      <c r="C163" s="3"/>
      <c r="F163" s="12">
        <v>159</v>
      </c>
      <c r="G163" s="51" t="s">
        <v>2572</v>
      </c>
      <c r="H163" s="7">
        <f t="shared" si="10"/>
        <v>18</v>
      </c>
      <c r="I163" s="50">
        <v>40340.494444444441</v>
      </c>
      <c r="J163" s="58" t="s">
        <v>2659</v>
      </c>
      <c r="K163" s="4">
        <f t="shared" si="11"/>
        <v>5</v>
      </c>
      <c r="L163" s="4">
        <v>4</v>
      </c>
      <c r="M163" s="4">
        <v>5</v>
      </c>
      <c r="Q163">
        <v>18</v>
      </c>
      <c r="S163" s="8"/>
      <c r="T163" s="10"/>
    </row>
    <row r="164" spans="3:20">
      <c r="C164" s="3"/>
      <c r="F164" s="12">
        <v>161</v>
      </c>
      <c r="G164" s="51" t="s">
        <v>2572</v>
      </c>
      <c r="H164" s="7">
        <f t="shared" si="10"/>
        <v>18</v>
      </c>
      <c r="I164" s="50">
        <v>40340.724999999999</v>
      </c>
      <c r="J164" s="58" t="s">
        <v>2860</v>
      </c>
      <c r="K164" s="4">
        <f t="shared" si="11"/>
        <v>6</v>
      </c>
      <c r="L164" s="4">
        <v>5</v>
      </c>
      <c r="M164" s="4">
        <v>6</v>
      </c>
      <c r="Q164">
        <v>18</v>
      </c>
      <c r="S164" s="8"/>
      <c r="T164" s="10"/>
    </row>
    <row r="165" spans="3:20">
      <c r="C165" s="3"/>
      <c r="F165" s="12">
        <v>166</v>
      </c>
      <c r="G165" s="58" t="s">
        <v>2572</v>
      </c>
      <c r="H165" s="7">
        <f t="shared" si="10"/>
        <v>18</v>
      </c>
      <c r="I165" s="50">
        <v>40353.539583333331</v>
      </c>
      <c r="J165" s="58" t="s">
        <v>3022</v>
      </c>
      <c r="K165" s="4">
        <f t="shared" si="11"/>
        <v>7</v>
      </c>
      <c r="L165" s="4">
        <v>12</v>
      </c>
      <c r="M165" s="4">
        <v>7</v>
      </c>
      <c r="Q165">
        <v>18</v>
      </c>
      <c r="S165" s="8"/>
      <c r="T165" s="10"/>
    </row>
    <row r="166" spans="3:20">
      <c r="C166" s="3"/>
      <c r="F166" s="12">
        <v>123</v>
      </c>
      <c r="G166" s="51" t="s">
        <v>3185</v>
      </c>
      <c r="H166" s="7">
        <f t="shared" si="10"/>
        <v>19</v>
      </c>
      <c r="I166" s="50">
        <v>40240.936111111114</v>
      </c>
      <c r="J166" s="58" t="s">
        <v>3186</v>
      </c>
      <c r="K166" s="4">
        <f t="shared" si="11"/>
        <v>1</v>
      </c>
      <c r="L166" s="4">
        <v>2</v>
      </c>
      <c r="M166" s="4">
        <v>1</v>
      </c>
      <c r="Q166">
        <v>19</v>
      </c>
      <c r="S166" s="8"/>
      <c r="T166" s="10"/>
    </row>
    <row r="167" spans="3:20">
      <c r="C167" s="3"/>
      <c r="F167" s="12">
        <v>92</v>
      </c>
      <c r="G167" s="51" t="s">
        <v>297</v>
      </c>
      <c r="H167" s="7">
        <f t="shared" si="10"/>
        <v>20</v>
      </c>
      <c r="I167" s="50">
        <v>40211.502083333333</v>
      </c>
      <c r="J167" s="58" t="s">
        <v>3637</v>
      </c>
      <c r="K167" s="4">
        <f t="shared" si="11"/>
        <v>1</v>
      </c>
      <c r="L167" s="4">
        <v>16</v>
      </c>
      <c r="M167" s="4">
        <v>1</v>
      </c>
      <c r="Q167">
        <v>20</v>
      </c>
      <c r="S167" s="8"/>
      <c r="T167" s="10"/>
    </row>
    <row r="168" spans="3:20">
      <c r="C168" s="3"/>
      <c r="F168" s="12">
        <v>100</v>
      </c>
      <c r="G168" s="51" t="s">
        <v>297</v>
      </c>
      <c r="H168" s="7">
        <f t="shared" si="10"/>
        <v>20</v>
      </c>
      <c r="I168" s="50">
        <v>40214.477777777778</v>
      </c>
      <c r="J168" s="58" t="s">
        <v>3172</v>
      </c>
      <c r="K168" s="4">
        <f t="shared" si="11"/>
        <v>2</v>
      </c>
      <c r="L168" s="4">
        <v>2</v>
      </c>
      <c r="M168" s="4">
        <v>2</v>
      </c>
      <c r="Q168">
        <v>20</v>
      </c>
      <c r="S168" s="8"/>
      <c r="T168" s="10"/>
    </row>
    <row r="169" spans="3:20">
      <c r="C169" s="3"/>
      <c r="G169" s="40"/>
      <c r="H169" s="43"/>
      <c r="I169" s="3"/>
      <c r="L169" s="4">
        <f>AVERAGE(L2:L168)</f>
        <v>6.0059880239520957</v>
      </c>
      <c r="S169" s="8"/>
      <c r="T169" s="10"/>
    </row>
    <row r="170" spans="3:20">
      <c r="C170" s="3"/>
      <c r="G170" s="40"/>
      <c r="H170" s="43"/>
      <c r="I170" s="3"/>
      <c r="S170" s="8"/>
      <c r="T170" s="10"/>
    </row>
    <row r="171" spans="3:20">
      <c r="C171" s="3"/>
      <c r="G171" s="40"/>
      <c r="H171" s="43"/>
      <c r="I171" s="3"/>
      <c r="S171" s="8"/>
      <c r="T171" s="10"/>
    </row>
    <row r="172" spans="3:20">
      <c r="C172" s="3"/>
      <c r="G172" s="39"/>
      <c r="H172" s="43"/>
      <c r="I172" s="3"/>
      <c r="S172" s="8"/>
      <c r="T172" s="10"/>
    </row>
    <row r="173" spans="3:20">
      <c r="C173" s="3"/>
      <c r="G173" s="39"/>
      <c r="H173" s="43"/>
      <c r="I173" s="3"/>
      <c r="S173" s="8"/>
      <c r="T173" s="10"/>
    </row>
    <row r="174" spans="3:20">
      <c r="C174" s="3"/>
      <c r="G174" s="40"/>
      <c r="H174" s="43"/>
      <c r="I174" s="3" t="s">
        <v>1873</v>
      </c>
      <c r="K174" s="4">
        <f>167/20</f>
        <v>8.35</v>
      </c>
      <c r="S174" s="8"/>
      <c r="T174" s="10"/>
    </row>
    <row r="175" spans="3:20">
      <c r="C175" s="3"/>
      <c r="G175" s="39"/>
      <c r="H175" s="43"/>
      <c r="I175" s="3"/>
      <c r="S175" s="8"/>
      <c r="T175" s="10"/>
    </row>
    <row r="176" spans="3:20">
      <c r="C176" s="3"/>
      <c r="G176" s="39"/>
      <c r="H176" s="43"/>
      <c r="I176" s="3"/>
      <c r="S176" s="8"/>
      <c r="T176" s="10"/>
    </row>
    <row r="177" spans="3:20">
      <c r="C177" s="3"/>
      <c r="G177" s="40"/>
      <c r="H177" s="43"/>
      <c r="I177" s="3"/>
      <c r="S177" s="8"/>
      <c r="T177" s="10"/>
    </row>
    <row r="178" spans="3:20">
      <c r="C178" s="3"/>
      <c r="G178" s="40"/>
      <c r="H178" s="43"/>
      <c r="I178" s="3"/>
      <c r="S178" s="8"/>
      <c r="T178" s="10"/>
    </row>
    <row r="179" spans="3:20">
      <c r="C179" s="3"/>
      <c r="G179" s="40"/>
      <c r="H179" s="43"/>
      <c r="I179" s="3"/>
      <c r="S179" s="8"/>
      <c r="T179" s="10"/>
    </row>
    <row r="180" spans="3:20">
      <c r="C180" s="3"/>
      <c r="G180" s="40"/>
      <c r="H180" s="43"/>
      <c r="I180" s="3"/>
      <c r="S180" s="8"/>
      <c r="T180" s="10"/>
    </row>
    <row r="181" spans="3:20">
      <c r="C181" s="3"/>
      <c r="G181" s="39"/>
      <c r="H181" s="43"/>
      <c r="I181" s="3"/>
      <c r="S181" s="8"/>
      <c r="T181" s="10"/>
    </row>
    <row r="182" spans="3:20">
      <c r="C182" s="3"/>
      <c r="G182" s="39"/>
      <c r="H182" s="43"/>
      <c r="I182" s="3"/>
      <c r="S182" s="8"/>
      <c r="T182" s="10"/>
    </row>
    <row r="183" spans="3:20">
      <c r="C183" s="3"/>
      <c r="G183" s="39"/>
      <c r="H183" s="43"/>
      <c r="I183" s="3"/>
      <c r="S183" s="8"/>
      <c r="T183" s="10"/>
    </row>
    <row r="184" spans="3:20">
      <c r="C184" s="3"/>
      <c r="G184" s="40"/>
      <c r="H184" s="43"/>
      <c r="I184" s="3"/>
      <c r="S184" s="8"/>
      <c r="T184" s="10"/>
    </row>
    <row r="185" spans="3:20">
      <c r="C185" s="3"/>
      <c r="G185" s="40"/>
      <c r="H185" s="43"/>
      <c r="I185" s="3"/>
      <c r="S185" s="8"/>
      <c r="T185" s="10"/>
    </row>
    <row r="186" spans="3:20">
      <c r="C186" s="3"/>
      <c r="G186" s="40"/>
      <c r="H186" s="43"/>
      <c r="I186" s="3"/>
      <c r="S186" s="8"/>
      <c r="T186" s="10"/>
    </row>
    <row r="187" spans="3:20">
      <c r="C187" s="3"/>
      <c r="G187" s="40"/>
      <c r="H187" s="43"/>
      <c r="I187" s="3"/>
      <c r="S187" s="8"/>
      <c r="T187" s="10"/>
    </row>
    <row r="188" spans="3:20">
      <c r="C188" s="3"/>
      <c r="G188" s="39"/>
      <c r="H188" s="43"/>
      <c r="I188" s="3"/>
      <c r="S188" s="8"/>
      <c r="T188" s="10"/>
    </row>
    <row r="189" spans="3:20">
      <c r="C189" s="3"/>
      <c r="G189" s="39"/>
      <c r="H189" s="43"/>
      <c r="I189" s="3"/>
      <c r="S189" s="8"/>
      <c r="T189" s="10"/>
    </row>
    <row r="190" spans="3:20">
      <c r="C190" s="3"/>
      <c r="G190" s="42"/>
      <c r="H190" s="43"/>
      <c r="I190" s="3"/>
      <c r="S190" s="8"/>
      <c r="T190" s="10"/>
    </row>
    <row r="191" spans="3:20">
      <c r="C191" s="3"/>
      <c r="G191" s="44"/>
      <c r="H191" s="43"/>
      <c r="I191" s="3"/>
      <c r="S191" s="8"/>
      <c r="T191" s="10"/>
    </row>
    <row r="192" spans="3:20">
      <c r="C192" s="3"/>
      <c r="G192" s="44"/>
      <c r="H192" s="43"/>
      <c r="I192" s="3"/>
      <c r="S192" s="8"/>
      <c r="T192" s="10"/>
    </row>
    <row r="193" spans="3:20">
      <c r="C193" s="3"/>
      <c r="G193" s="44"/>
      <c r="H193" s="43"/>
      <c r="I193" s="3"/>
      <c r="S193" s="8"/>
      <c r="T193" s="10"/>
    </row>
    <row r="194" spans="3:20">
      <c r="C194" s="3"/>
      <c r="G194" s="8"/>
      <c r="H194" s="7"/>
      <c r="I194" s="3"/>
      <c r="S194" s="8"/>
      <c r="T194" s="10"/>
    </row>
    <row r="195" spans="3:20">
      <c r="C195" s="3"/>
      <c r="G195" s="8"/>
      <c r="H195" s="7"/>
      <c r="I195" s="3"/>
      <c r="S195" s="8"/>
      <c r="T195" s="10"/>
    </row>
    <row r="196" spans="3:20">
      <c r="C196" s="3"/>
      <c r="G196" s="8"/>
      <c r="H196" s="7"/>
      <c r="I196" s="3"/>
    </row>
    <row r="197" spans="3:20">
      <c r="C197" s="3"/>
      <c r="G197" s="8"/>
      <c r="H197" s="7"/>
      <c r="I197" s="3"/>
    </row>
    <row r="198" spans="3:20">
      <c r="C198" s="3"/>
      <c r="G198" s="8"/>
      <c r="H198" s="7"/>
      <c r="I198" s="3"/>
    </row>
    <row r="199" spans="3:20">
      <c r="C199" s="3"/>
      <c r="G199" s="8"/>
      <c r="H199" s="7"/>
      <c r="I199" s="3"/>
    </row>
    <row r="200" spans="3:20">
      <c r="C200" s="3"/>
      <c r="G200" s="8"/>
      <c r="H200" s="7"/>
      <c r="I200" s="3"/>
    </row>
    <row r="201" spans="3:20">
      <c r="C201" s="3"/>
      <c r="G201" s="8"/>
      <c r="H201" s="7"/>
      <c r="I201" s="3"/>
    </row>
    <row r="202" spans="3:20">
      <c r="G202" s="8"/>
      <c r="H202" s="7"/>
      <c r="I202" s="3"/>
    </row>
    <row r="203" spans="3:20">
      <c r="G203" s="8"/>
      <c r="H203" s="7"/>
      <c r="I203" s="3"/>
    </row>
    <row r="204" spans="3:20">
      <c r="G204" s="8"/>
      <c r="H204" s="7"/>
      <c r="I204" s="3"/>
    </row>
    <row r="205" spans="3:20">
      <c r="G205" s="8"/>
      <c r="H205" s="7"/>
      <c r="I205" s="3"/>
    </row>
    <row r="206" spans="3:20">
      <c r="G206" s="8"/>
      <c r="H206" s="7"/>
      <c r="I206" s="3"/>
    </row>
    <row r="207" spans="3:20">
      <c r="G207" s="8"/>
      <c r="H207" s="7"/>
      <c r="I207" s="3"/>
    </row>
    <row r="208" spans="3:20">
      <c r="G208" s="8"/>
      <c r="H208" s="7"/>
      <c r="I208" s="3"/>
    </row>
    <row r="209" spans="7:9">
      <c r="G209" s="8"/>
      <c r="H209" s="7"/>
      <c r="I209" s="3"/>
    </row>
    <row r="210" spans="7:9">
      <c r="G210" s="8"/>
      <c r="H210" s="7"/>
      <c r="I210" s="3"/>
    </row>
    <row r="211" spans="7:9">
      <c r="G211" s="8"/>
      <c r="H211" s="7"/>
      <c r="I211" s="3"/>
    </row>
    <row r="212" spans="7:9">
      <c r="G212" s="8"/>
      <c r="H212" s="7"/>
      <c r="I212" s="3"/>
    </row>
    <row r="213" spans="7:9">
      <c r="G213" s="8"/>
      <c r="H213" s="7"/>
      <c r="I213" s="3"/>
    </row>
    <row r="214" spans="7:9">
      <c r="G214" s="8"/>
      <c r="H214" s="7"/>
      <c r="I214" s="3"/>
    </row>
    <row r="215" spans="7:9">
      <c r="G215" s="8"/>
      <c r="H215" s="7"/>
      <c r="I215" s="3"/>
    </row>
    <row r="216" spans="7:9">
      <c r="G216" s="8"/>
      <c r="H216" s="7"/>
      <c r="I216" s="3"/>
    </row>
    <row r="217" spans="7:9">
      <c r="G217" s="8"/>
      <c r="H217" s="7"/>
      <c r="I217" s="3"/>
    </row>
    <row r="218" spans="7:9">
      <c r="G218" s="8"/>
      <c r="H218" s="7"/>
      <c r="I218" s="3"/>
    </row>
    <row r="219" spans="7:9">
      <c r="G219" s="8"/>
      <c r="H219" s="7"/>
      <c r="I219" s="3"/>
    </row>
    <row r="220" spans="7:9">
      <c r="G220" s="8"/>
      <c r="H220" s="7"/>
      <c r="I220" s="3"/>
    </row>
    <row r="221" spans="7:9">
      <c r="G221" s="8"/>
      <c r="H221" s="7"/>
      <c r="I221" s="3"/>
    </row>
    <row r="222" spans="7:9">
      <c r="G222" s="8"/>
      <c r="H222" s="7"/>
      <c r="I222" s="3"/>
    </row>
    <row r="223" spans="7:9">
      <c r="G223" s="8"/>
      <c r="H223" s="7"/>
      <c r="I223" s="3"/>
    </row>
    <row r="224" spans="7:9">
      <c r="G224" s="8"/>
      <c r="H224" s="7"/>
      <c r="I224" s="3"/>
    </row>
    <row r="225" spans="7:9">
      <c r="G225" s="8"/>
      <c r="H225" s="7"/>
      <c r="I225" s="3"/>
    </row>
    <row r="226" spans="7:9">
      <c r="G226" s="8"/>
      <c r="H226" s="7"/>
      <c r="I226" s="3"/>
    </row>
    <row r="227" spans="7:9">
      <c r="G227" s="8"/>
      <c r="H227" s="7"/>
      <c r="I227" s="3"/>
    </row>
    <row r="228" spans="7:9">
      <c r="G228" s="8"/>
      <c r="H228" s="7"/>
      <c r="I228" s="3"/>
    </row>
    <row r="229" spans="7:9">
      <c r="G229" s="8"/>
      <c r="H229" s="7"/>
      <c r="I229" s="3"/>
    </row>
    <row r="230" spans="7:9">
      <c r="G230" s="8"/>
      <c r="H230" s="7"/>
      <c r="I230" s="3"/>
    </row>
    <row r="231" spans="7:9">
      <c r="G231" s="8"/>
      <c r="H231" s="7"/>
      <c r="I231" s="3"/>
    </row>
    <row r="232" spans="7:9">
      <c r="G232" s="8"/>
      <c r="H232" s="7"/>
      <c r="I232" s="3"/>
    </row>
    <row r="233" spans="7:9">
      <c r="G233" s="8"/>
      <c r="H233" s="7"/>
      <c r="I233" s="3"/>
    </row>
    <row r="234" spans="7:9">
      <c r="G234" s="8"/>
      <c r="H234" s="7"/>
      <c r="I234" s="3"/>
    </row>
    <row r="235" spans="7:9">
      <c r="G235" s="8"/>
      <c r="H235" s="7"/>
      <c r="I235" s="3"/>
    </row>
    <row r="236" spans="7:9">
      <c r="G236" s="8"/>
      <c r="H236" s="7"/>
      <c r="I236" s="3"/>
    </row>
    <row r="237" spans="7:9">
      <c r="G237" s="8"/>
      <c r="H237" s="7"/>
      <c r="I237" s="3"/>
    </row>
    <row r="238" spans="7:9">
      <c r="G238" s="8"/>
      <c r="H238" s="7"/>
      <c r="I238" s="3"/>
    </row>
    <row r="239" spans="7:9">
      <c r="G239" s="8"/>
      <c r="H239" s="7"/>
      <c r="I239" s="3"/>
    </row>
    <row r="240" spans="7:9">
      <c r="G240" s="8"/>
      <c r="H240" s="7"/>
      <c r="I240" s="3"/>
    </row>
    <row r="241" spans="7:9">
      <c r="G241" s="8"/>
      <c r="H241" s="7"/>
      <c r="I241" s="3"/>
    </row>
    <row r="242" spans="7:9">
      <c r="G242" s="8"/>
      <c r="H242" s="7"/>
      <c r="I242" s="3"/>
    </row>
    <row r="243" spans="7:9">
      <c r="G243" s="8"/>
      <c r="H243" s="7"/>
      <c r="I243" s="3"/>
    </row>
    <row r="244" spans="7:9">
      <c r="G244" s="8"/>
      <c r="H244" s="7"/>
      <c r="I244" s="3"/>
    </row>
    <row r="245" spans="7:9">
      <c r="G245" s="8"/>
      <c r="H245" s="7"/>
      <c r="I245" s="3"/>
    </row>
    <row r="246" spans="7:9">
      <c r="G246" s="8"/>
      <c r="H246" s="7"/>
      <c r="I246" s="3"/>
    </row>
    <row r="247" spans="7:9">
      <c r="G247" s="8"/>
      <c r="H247" s="7"/>
      <c r="I247" s="3"/>
    </row>
    <row r="248" spans="7:9">
      <c r="G248" s="8"/>
      <c r="H248" s="7"/>
      <c r="I248" s="3"/>
    </row>
    <row r="249" spans="7:9">
      <c r="G249" s="8"/>
      <c r="H249" s="7"/>
      <c r="I249" s="3"/>
    </row>
    <row r="250" spans="7:9">
      <c r="G250" s="8"/>
      <c r="H250" s="7"/>
      <c r="I250" s="3"/>
    </row>
    <row r="251" spans="7:9">
      <c r="G251" s="8"/>
      <c r="H251" s="7"/>
      <c r="I251" s="3"/>
    </row>
    <row r="252" spans="7:9">
      <c r="G252" s="8"/>
      <c r="H252" s="7"/>
      <c r="I252" s="3"/>
    </row>
    <row r="253" spans="7:9">
      <c r="G253" s="8"/>
      <c r="H253" s="7"/>
      <c r="I253" s="3"/>
    </row>
    <row r="254" spans="7:9">
      <c r="G254" s="8"/>
      <c r="H254" s="7"/>
      <c r="I254" s="3"/>
    </row>
    <row r="255" spans="7:9">
      <c r="G255" s="8"/>
      <c r="H255" s="7"/>
      <c r="I255" s="3"/>
    </row>
    <row r="256" spans="7:9">
      <c r="G256" s="8"/>
      <c r="H256" s="7"/>
      <c r="I256" s="3"/>
    </row>
    <row r="257" spans="7:12">
      <c r="G257" s="8"/>
      <c r="H257" s="7"/>
      <c r="I257" s="3"/>
    </row>
    <row r="258" spans="7:12">
      <c r="G258" s="8"/>
      <c r="H258" s="7"/>
      <c r="I258" s="3"/>
    </row>
    <row r="259" spans="7:12">
      <c r="G259" s="8"/>
      <c r="H259" s="7"/>
      <c r="I259" s="3"/>
    </row>
    <row r="260" spans="7:12">
      <c r="G260" s="8"/>
      <c r="H260" s="7"/>
      <c r="I260" s="3"/>
    </row>
    <row r="261" spans="7:12">
      <c r="G261" s="8"/>
      <c r="H261" s="7"/>
      <c r="I261" s="3"/>
    </row>
    <row r="262" spans="7:12">
      <c r="G262" s="8"/>
      <c r="H262" s="7"/>
      <c r="I262" s="3"/>
    </row>
    <row r="263" spans="7:12">
      <c r="G263" s="8"/>
      <c r="H263" s="7"/>
      <c r="I263" s="3"/>
    </row>
    <row r="264" spans="7:12">
      <c r="G264" s="8"/>
      <c r="H264" s="7"/>
      <c r="I264" s="3"/>
    </row>
    <row r="265" spans="7:12">
      <c r="G265" s="8"/>
      <c r="H265" s="7"/>
      <c r="I265" s="3"/>
    </row>
    <row r="266" spans="7:12">
      <c r="G266" s="8"/>
      <c r="H266" s="7"/>
      <c r="I266" s="3"/>
    </row>
    <row r="267" spans="7:12">
      <c r="G267" s="8"/>
      <c r="H267" s="7"/>
      <c r="I267" s="3"/>
    </row>
    <row r="268" spans="7:12">
      <c r="G268" s="8"/>
      <c r="H268" s="7"/>
      <c r="I268" s="3"/>
    </row>
    <row r="269" spans="7:12">
      <c r="G269" s="8"/>
      <c r="H269" s="7"/>
      <c r="I269" s="3"/>
    </row>
    <row r="270" spans="7:12">
      <c r="G270" s="8"/>
      <c r="H270" s="7"/>
      <c r="I270" s="3"/>
    </row>
    <row r="271" spans="7:12">
      <c r="G271" s="3"/>
      <c r="L271" s="16"/>
    </row>
    <row r="272" spans="7:12">
      <c r="G272" s="3"/>
    </row>
    <row r="273" spans="7:7">
      <c r="G273"/>
    </row>
    <row r="274" spans="7:7">
      <c r="G274" s="3"/>
    </row>
    <row r="275" spans="7:7">
      <c r="G275" s="3"/>
    </row>
    <row r="276" spans="7:7">
      <c r="G276" s="3"/>
    </row>
    <row r="277" spans="7:7">
      <c r="G277"/>
    </row>
    <row r="278" spans="7:7">
      <c r="G278" s="3"/>
    </row>
    <row r="279" spans="7:7">
      <c r="G279" s="3"/>
    </row>
    <row r="280" spans="7:7">
      <c r="G280"/>
    </row>
    <row r="281" spans="7:7">
      <c r="G281" s="3"/>
    </row>
    <row r="282" spans="7:7">
      <c r="G282"/>
    </row>
    <row r="283" spans="7:7">
      <c r="G283"/>
    </row>
    <row r="284" spans="7:7">
      <c r="G284" s="3"/>
    </row>
    <row r="285" spans="7:7">
      <c r="G285"/>
    </row>
    <row r="286" spans="7:7">
      <c r="G286"/>
    </row>
    <row r="287" spans="7:7">
      <c r="G287"/>
    </row>
    <row r="288" spans="7:7">
      <c r="G288"/>
    </row>
    <row r="289" spans="7:7">
      <c r="G289" s="3"/>
    </row>
    <row r="290" spans="7:7">
      <c r="G290" s="3"/>
    </row>
    <row r="291" spans="7:7">
      <c r="G291"/>
    </row>
    <row r="292" spans="7:7">
      <c r="G292" s="3"/>
    </row>
    <row r="293" spans="7:7">
      <c r="G293"/>
    </row>
    <row r="294" spans="7:7">
      <c r="G294" s="3"/>
    </row>
    <row r="295" spans="7:7">
      <c r="G295" s="3"/>
    </row>
    <row r="296" spans="7:7">
      <c r="G296"/>
    </row>
    <row r="297" spans="7:7">
      <c r="G297" s="3"/>
    </row>
    <row r="298" spans="7:7">
      <c r="G298"/>
    </row>
    <row r="299" spans="7:7">
      <c r="G299" s="3"/>
    </row>
    <row r="300" spans="7:7">
      <c r="G300"/>
    </row>
    <row r="301" spans="7:7">
      <c r="G301"/>
    </row>
    <row r="302" spans="7:7">
      <c r="G302"/>
    </row>
    <row r="303" spans="7:7">
      <c r="G303" s="3"/>
    </row>
    <row r="304" spans="7:7">
      <c r="G304"/>
    </row>
    <row r="305" spans="7:7">
      <c r="G305"/>
    </row>
    <row r="306" spans="7:7">
      <c r="G306" s="3"/>
    </row>
    <row r="307" spans="7:7">
      <c r="G307" s="3"/>
    </row>
    <row r="308" spans="7:7">
      <c r="G308"/>
    </row>
    <row r="309" spans="7:7">
      <c r="G309" s="3"/>
    </row>
    <row r="310" spans="7:7">
      <c r="G310" s="3"/>
    </row>
    <row r="311" spans="7:7">
      <c r="G311"/>
    </row>
    <row r="312" spans="7:7">
      <c r="G312" s="3"/>
    </row>
    <row r="313" spans="7:7">
      <c r="G313" s="3"/>
    </row>
    <row r="314" spans="7:7">
      <c r="G314"/>
    </row>
    <row r="315" spans="7:7">
      <c r="G315" s="3"/>
    </row>
    <row r="316" spans="7:7">
      <c r="G316"/>
    </row>
    <row r="317" spans="7:7">
      <c r="G317" s="3"/>
    </row>
    <row r="318" spans="7:7">
      <c r="G318" s="3"/>
    </row>
    <row r="319" spans="7:7">
      <c r="G319" s="3"/>
    </row>
    <row r="320" spans="7:7">
      <c r="G320" s="3"/>
    </row>
    <row r="321" spans="7:7">
      <c r="G321" s="3"/>
    </row>
    <row r="322" spans="7:7">
      <c r="G322"/>
    </row>
    <row r="323" spans="7:7">
      <c r="G323"/>
    </row>
    <row r="324" spans="7:7">
      <c r="G324"/>
    </row>
    <row r="325" spans="7:7">
      <c r="G325" s="3"/>
    </row>
    <row r="326" spans="7:7">
      <c r="G326" s="3"/>
    </row>
    <row r="327" spans="7:7">
      <c r="G327" s="3"/>
    </row>
    <row r="328" spans="7:7">
      <c r="G328" s="3"/>
    </row>
    <row r="329" spans="7:7">
      <c r="G329" s="3"/>
    </row>
    <row r="330" spans="7:7">
      <c r="G330" s="3"/>
    </row>
    <row r="331" spans="7:7">
      <c r="G331"/>
    </row>
    <row r="332" spans="7:7">
      <c r="G332"/>
    </row>
    <row r="333" spans="7:7">
      <c r="G333" s="3"/>
    </row>
    <row r="334" spans="7:7">
      <c r="G334"/>
    </row>
    <row r="335" spans="7:7">
      <c r="G335" s="3"/>
    </row>
    <row r="336" spans="7:7">
      <c r="G336"/>
    </row>
    <row r="337" spans="7:7">
      <c r="G337"/>
    </row>
    <row r="338" spans="7:7">
      <c r="G338" s="3"/>
    </row>
    <row r="339" spans="7:7">
      <c r="G339"/>
    </row>
    <row r="340" spans="7:7">
      <c r="G340" s="3"/>
    </row>
    <row r="341" spans="7:7">
      <c r="G341" s="3"/>
    </row>
    <row r="342" spans="7:7">
      <c r="G342"/>
    </row>
    <row r="343" spans="7:7">
      <c r="G343"/>
    </row>
    <row r="344" spans="7:7">
      <c r="G344" s="3"/>
    </row>
    <row r="345" spans="7:7">
      <c r="G345"/>
    </row>
    <row r="346" spans="7:7">
      <c r="G346"/>
    </row>
    <row r="347" spans="7:7">
      <c r="G347"/>
    </row>
    <row r="348" spans="7:7">
      <c r="G348" s="2"/>
    </row>
    <row r="349" spans="7:7">
      <c r="G349" s="3"/>
    </row>
    <row r="350" spans="7:7">
      <c r="G350" s="3"/>
    </row>
    <row r="351" spans="7:7">
      <c r="G351"/>
    </row>
    <row r="352" spans="7:7">
      <c r="G352" s="3"/>
    </row>
    <row r="353" spans="7:7">
      <c r="G353" s="3"/>
    </row>
    <row r="354" spans="7:7">
      <c r="G354"/>
    </row>
    <row r="355" spans="7:7">
      <c r="G355"/>
    </row>
    <row r="356" spans="7:7">
      <c r="G356"/>
    </row>
    <row r="357" spans="7:7">
      <c r="G357"/>
    </row>
    <row r="358" spans="7:7">
      <c r="G358" s="3"/>
    </row>
    <row r="359" spans="7:7">
      <c r="G359" s="3"/>
    </row>
    <row r="360" spans="7:7">
      <c r="G360" s="3"/>
    </row>
    <row r="361" spans="7:7">
      <c r="G361" s="3"/>
    </row>
    <row r="362" spans="7:7">
      <c r="G362"/>
    </row>
    <row r="363" spans="7:7">
      <c r="G363" s="3"/>
    </row>
    <row r="364" spans="7:7">
      <c r="G364" s="3"/>
    </row>
    <row r="365" spans="7:7">
      <c r="G365" s="3"/>
    </row>
    <row r="366" spans="7:7">
      <c r="G366"/>
    </row>
    <row r="367" spans="7:7">
      <c r="G367"/>
    </row>
    <row r="368" spans="7:7">
      <c r="G368"/>
    </row>
    <row r="369" spans="7:7">
      <c r="G369"/>
    </row>
    <row r="370" spans="7:7">
      <c r="G370"/>
    </row>
    <row r="371" spans="7:7">
      <c r="G371"/>
    </row>
    <row r="372" spans="7:7">
      <c r="G372"/>
    </row>
    <row r="373" spans="7:7">
      <c r="G373"/>
    </row>
    <row r="374" spans="7:7">
      <c r="G374"/>
    </row>
    <row r="375" spans="7:7">
      <c r="G375"/>
    </row>
    <row r="376" spans="7:7">
      <c r="G376"/>
    </row>
    <row r="377" spans="7:7">
      <c r="G377" s="3"/>
    </row>
    <row r="378" spans="7:7">
      <c r="G378"/>
    </row>
    <row r="379" spans="7:7">
      <c r="G379" s="3"/>
    </row>
    <row r="380" spans="7:7">
      <c r="G380" s="3"/>
    </row>
    <row r="381" spans="7:7">
      <c r="G381" s="3"/>
    </row>
    <row r="382" spans="7:7">
      <c r="G382"/>
    </row>
    <row r="383" spans="7:7">
      <c r="G383"/>
    </row>
    <row r="384" spans="7:7">
      <c r="G384"/>
    </row>
    <row r="385" spans="7:10">
      <c r="G385" s="3"/>
    </row>
    <row r="386" spans="7:10">
      <c r="G386" s="3"/>
    </row>
    <row r="387" spans="7:10">
      <c r="G387"/>
    </row>
    <row r="388" spans="7:10">
      <c r="G388" s="3"/>
    </row>
    <row r="389" spans="7:10">
      <c r="G389" s="3"/>
    </row>
    <row r="390" spans="7:10">
      <c r="G390"/>
    </row>
    <row r="391" spans="7:10">
      <c r="G391" s="3"/>
    </row>
    <row r="392" spans="7:10">
      <c r="G392"/>
      <c r="H392"/>
      <c r="I392"/>
      <c r="J392"/>
    </row>
    <row r="393" spans="7:10">
      <c r="G393"/>
      <c r="H393"/>
      <c r="I393"/>
      <c r="J393"/>
    </row>
    <row r="394" spans="7:10">
      <c r="G394"/>
      <c r="H394"/>
      <c r="I394"/>
      <c r="J394"/>
    </row>
    <row r="395" spans="7:10">
      <c r="G395"/>
      <c r="H395"/>
      <c r="I395"/>
      <c r="J395"/>
    </row>
    <row r="396" spans="7:10">
      <c r="G396"/>
      <c r="H396"/>
      <c r="I396"/>
      <c r="J396"/>
    </row>
  </sheetData>
  <sortState ref="F2:M168">
    <sortCondition ref="H2:H168"/>
    <sortCondition ref="M2:M168"/>
  </sortState>
  <dataConsolidate/>
  <conditionalFormatting sqref="D2:D101">
    <cfRule type="duplicateValues" dxfId="68" priority="9"/>
  </conditionalFormatting>
  <conditionalFormatting sqref="D102:D201">
    <cfRule type="duplicateValues" dxfId="67" priority="8"/>
  </conditionalFormatting>
  <conditionalFormatting sqref="J298:J391">
    <cfRule type="cellIs" dxfId="66" priority="7" operator="lessThan">
      <formula>0</formula>
    </cfRule>
  </conditionalFormatting>
  <conditionalFormatting sqref="J271:J391">
    <cfRule type="duplicateValues" dxfId="65" priority="10"/>
  </conditionalFormatting>
  <conditionalFormatting sqref="S102:S195">
    <cfRule type="cellIs" dxfId="64" priority="5" operator="lessThan">
      <formula>0</formula>
    </cfRule>
  </conditionalFormatting>
  <conditionalFormatting sqref="S2:S11 S13:S195">
    <cfRule type="duplicateValues" dxfId="63" priority="6"/>
  </conditionalFormatting>
  <conditionalFormatting sqref="S12">
    <cfRule type="duplicateValues" dxfId="62" priority="4"/>
  </conditionalFormatting>
  <conditionalFormatting sqref="I191:I270">
    <cfRule type="duplicateValues" dxfId="61" priority="3"/>
  </conditionalFormatting>
  <conditionalFormatting sqref="I169:I190">
    <cfRule type="duplicateValues" dxfId="60" priority="2"/>
  </conditionalFormatting>
  <conditionalFormatting sqref="J169:J190">
    <cfRule type="duplicateValues" dxfId="59" priority="1"/>
  </conditionalFormatting>
  <conditionalFormatting sqref="J192:J270">
    <cfRule type="duplicateValues" dxfId="58" priority="11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C1:X396"/>
  <sheetViews>
    <sheetView zoomScale="80" zoomScaleNormal="80" zoomScalePageLayoutView="80" workbookViewId="0">
      <selection activeCell="M2" sqref="M2:M79"/>
    </sheetView>
  </sheetViews>
  <sheetFormatPr baseColWidth="10" defaultColWidth="11" defaultRowHeight="15" x14ac:dyDescent="0"/>
  <cols>
    <col min="3" max="3" width="16.1640625" bestFit="1" customWidth="1"/>
    <col min="5" max="5" width="7.5" customWidth="1"/>
    <col min="6" max="6" width="11" style="12"/>
    <col min="7" max="7" width="18.1640625" style="4" bestFit="1" customWidth="1"/>
    <col min="8" max="8" width="8.6640625" style="4" customWidth="1"/>
    <col min="9" max="9" width="18.5" style="9" bestFit="1" customWidth="1"/>
    <col min="10" max="10" width="11" style="8"/>
    <col min="11" max="11" width="8.5" style="4" bestFit="1" customWidth="1"/>
    <col min="12" max="12" width="4.5" style="4" customWidth="1"/>
    <col min="13" max="13" width="13.33203125" style="4" customWidth="1"/>
    <col min="14" max="14" width="18.1640625" bestFit="1" customWidth="1"/>
    <col min="19" max="19" width="16.5" style="2" customWidth="1"/>
    <col min="20" max="20" width="17.5" bestFit="1" customWidth="1"/>
    <col min="21" max="22" width="5.6640625" customWidth="1"/>
    <col min="23" max="23" width="16.1640625" bestFit="1" customWidth="1"/>
  </cols>
  <sheetData>
    <row r="1" spans="3:21" s="18" customFormat="1" ht="20">
      <c r="G1" s="19" t="s">
        <v>329</v>
      </c>
      <c r="H1" s="19" t="s">
        <v>334</v>
      </c>
      <c r="I1" s="20" t="s">
        <v>333</v>
      </c>
      <c r="J1" s="21" t="s">
        <v>332</v>
      </c>
      <c r="K1" s="19" t="s">
        <v>331</v>
      </c>
      <c r="L1" s="19" t="s">
        <v>1867</v>
      </c>
      <c r="M1" s="19" t="s">
        <v>1863</v>
      </c>
      <c r="N1" s="18" t="s">
        <v>329</v>
      </c>
      <c r="O1" s="18" t="s">
        <v>330</v>
      </c>
      <c r="S1" s="22"/>
    </row>
    <row r="2" spans="3:21">
      <c r="C2" s="3"/>
      <c r="F2" s="12">
        <v>31</v>
      </c>
      <c r="G2" s="67" t="s">
        <v>2773</v>
      </c>
      <c r="H2" s="7">
        <f t="shared" ref="H2:H33" si="0">LOOKUP(G2,$N$2:$N$9,$O$2:$O$9)</f>
        <v>1</v>
      </c>
      <c r="I2" s="50">
        <v>40682.754861111112</v>
      </c>
      <c r="J2" s="58" t="s">
        <v>3328</v>
      </c>
      <c r="K2" s="4">
        <f t="shared" ref="K2:K33" si="1">IF(Q2&gt;Q1,1,K1+1)</f>
        <v>1</v>
      </c>
      <c r="L2" s="4">
        <v>2</v>
      </c>
      <c r="M2" s="4">
        <v>1</v>
      </c>
      <c r="N2" s="67" t="s">
        <v>2773</v>
      </c>
      <c r="O2">
        <v>1</v>
      </c>
      <c r="Q2">
        <v>1</v>
      </c>
      <c r="S2" s="8"/>
      <c r="T2" s="10"/>
    </row>
    <row r="3" spans="3:21">
      <c r="C3" s="3"/>
      <c r="F3" s="12">
        <v>76</v>
      </c>
      <c r="G3" s="67" t="s">
        <v>2773</v>
      </c>
      <c r="H3" s="7">
        <f t="shared" si="0"/>
        <v>1</v>
      </c>
      <c r="I3" s="50">
        <v>40767.597222222219</v>
      </c>
      <c r="J3" s="58" t="s">
        <v>3239</v>
      </c>
      <c r="K3" s="4">
        <f t="shared" si="1"/>
        <v>2</v>
      </c>
      <c r="L3" s="4">
        <v>5</v>
      </c>
      <c r="M3" s="4">
        <v>2</v>
      </c>
      <c r="N3" s="62" t="s">
        <v>2567</v>
      </c>
      <c r="O3">
        <v>2</v>
      </c>
      <c r="Q3">
        <v>1</v>
      </c>
      <c r="S3" s="8"/>
      <c r="T3" s="10"/>
    </row>
    <row r="4" spans="3:21">
      <c r="C4" s="3"/>
      <c r="F4" s="12">
        <v>11</v>
      </c>
      <c r="G4" s="62" t="s">
        <v>2567</v>
      </c>
      <c r="H4" s="7">
        <f t="shared" si="0"/>
        <v>2</v>
      </c>
      <c r="I4" s="50">
        <v>40618.023611111108</v>
      </c>
      <c r="J4" s="58" t="s">
        <v>2987</v>
      </c>
      <c r="K4" s="4">
        <f t="shared" si="1"/>
        <v>1</v>
      </c>
      <c r="L4" s="4">
        <v>7</v>
      </c>
      <c r="M4" s="4">
        <v>1</v>
      </c>
      <c r="N4" s="67" t="s">
        <v>2581</v>
      </c>
      <c r="O4">
        <v>3</v>
      </c>
      <c r="Q4">
        <v>2</v>
      </c>
      <c r="S4" s="8"/>
      <c r="T4" s="10"/>
    </row>
    <row r="5" spans="3:21">
      <c r="C5" s="3"/>
      <c r="F5" s="12">
        <v>3</v>
      </c>
      <c r="G5" s="62" t="s">
        <v>2567</v>
      </c>
      <c r="H5" s="7">
        <f t="shared" si="0"/>
        <v>2</v>
      </c>
      <c r="I5" s="50">
        <v>40634.576388888891</v>
      </c>
      <c r="J5" s="58" t="s">
        <v>2960</v>
      </c>
      <c r="K5" s="4">
        <f t="shared" si="1"/>
        <v>2</v>
      </c>
      <c r="L5" s="4">
        <v>3</v>
      </c>
      <c r="M5" s="4">
        <v>2</v>
      </c>
      <c r="N5" s="67" t="s">
        <v>2846</v>
      </c>
      <c r="O5">
        <v>4</v>
      </c>
      <c r="Q5">
        <v>2</v>
      </c>
      <c r="S5" s="8"/>
      <c r="T5" s="10"/>
    </row>
    <row r="6" spans="3:21">
      <c r="C6" s="3"/>
      <c r="F6" s="12">
        <v>8</v>
      </c>
      <c r="G6" s="67" t="s">
        <v>2567</v>
      </c>
      <c r="H6" s="7">
        <f t="shared" si="0"/>
        <v>2</v>
      </c>
      <c r="I6" s="50">
        <v>40634.784722222219</v>
      </c>
      <c r="J6" s="58" t="s">
        <v>3325</v>
      </c>
      <c r="K6" s="4">
        <f t="shared" si="1"/>
        <v>3</v>
      </c>
      <c r="L6" s="4">
        <v>2</v>
      </c>
      <c r="M6" s="4">
        <v>3</v>
      </c>
      <c r="N6" s="67" t="s">
        <v>3685</v>
      </c>
      <c r="O6">
        <v>5</v>
      </c>
      <c r="Q6">
        <v>2</v>
      </c>
      <c r="S6" s="8"/>
      <c r="T6" s="10"/>
    </row>
    <row r="7" spans="3:21">
      <c r="C7" s="3"/>
      <c r="F7" s="12">
        <v>22</v>
      </c>
      <c r="G7" s="67" t="s">
        <v>2567</v>
      </c>
      <c r="H7" s="7">
        <f t="shared" si="0"/>
        <v>2</v>
      </c>
      <c r="I7" s="50">
        <v>40675.615277777775</v>
      </c>
      <c r="J7" s="58" t="s">
        <v>3547</v>
      </c>
      <c r="K7" s="4">
        <f t="shared" si="1"/>
        <v>4</v>
      </c>
      <c r="L7" s="4">
        <v>3</v>
      </c>
      <c r="M7" s="4">
        <v>4</v>
      </c>
      <c r="N7" s="67" t="s">
        <v>2591</v>
      </c>
      <c r="O7">
        <v>6</v>
      </c>
      <c r="Q7">
        <v>2</v>
      </c>
      <c r="S7" s="8"/>
      <c r="T7" s="10"/>
    </row>
    <row r="8" spans="3:21">
      <c r="C8" s="3"/>
      <c r="F8" s="12">
        <v>24</v>
      </c>
      <c r="G8" s="67" t="s">
        <v>2567</v>
      </c>
      <c r="H8" s="7">
        <f t="shared" si="0"/>
        <v>2</v>
      </c>
      <c r="I8" s="50">
        <v>40675.615277777775</v>
      </c>
      <c r="J8" s="58" t="s">
        <v>3306</v>
      </c>
      <c r="K8" s="4">
        <f t="shared" si="1"/>
        <v>5</v>
      </c>
      <c r="L8" s="4">
        <v>3</v>
      </c>
      <c r="M8" s="4">
        <v>5</v>
      </c>
      <c r="N8" s="67" t="s">
        <v>3676</v>
      </c>
      <c r="O8">
        <v>7</v>
      </c>
      <c r="Q8">
        <v>2</v>
      </c>
      <c r="S8" s="8"/>
      <c r="T8" s="10"/>
    </row>
    <row r="9" spans="3:21">
      <c r="C9" s="3"/>
      <c r="F9" s="12">
        <v>42</v>
      </c>
      <c r="G9" s="62" t="s">
        <v>2567</v>
      </c>
      <c r="H9" s="7">
        <f t="shared" si="0"/>
        <v>2</v>
      </c>
      <c r="I9" s="50">
        <v>40706.552083333336</v>
      </c>
      <c r="J9" s="58" t="s">
        <v>2665</v>
      </c>
      <c r="K9" s="4">
        <f t="shared" si="1"/>
        <v>6</v>
      </c>
      <c r="L9" s="4">
        <v>4</v>
      </c>
      <c r="M9" s="4">
        <v>6</v>
      </c>
      <c r="N9" s="62" t="s">
        <v>2572</v>
      </c>
      <c r="O9">
        <v>8</v>
      </c>
      <c r="Q9">
        <v>2</v>
      </c>
      <c r="S9" s="8"/>
      <c r="T9" s="10"/>
    </row>
    <row r="10" spans="3:21">
      <c r="C10" s="3"/>
      <c r="D10" s="1"/>
      <c r="F10" s="12">
        <v>44</v>
      </c>
      <c r="G10" s="62" t="s">
        <v>2567</v>
      </c>
      <c r="H10" s="7">
        <f t="shared" si="0"/>
        <v>2</v>
      </c>
      <c r="I10" s="50">
        <v>40708.57916666667</v>
      </c>
      <c r="J10" s="58" t="s">
        <v>2689</v>
      </c>
      <c r="K10" s="4">
        <f t="shared" si="1"/>
        <v>7</v>
      </c>
      <c r="L10" s="4">
        <v>2</v>
      </c>
      <c r="M10" s="4">
        <v>7</v>
      </c>
      <c r="Q10">
        <v>2</v>
      </c>
      <c r="S10" s="8"/>
      <c r="T10" s="10"/>
    </row>
    <row r="11" spans="3:21">
      <c r="C11" s="3"/>
      <c r="F11" s="12">
        <v>69</v>
      </c>
      <c r="G11" s="62" t="s">
        <v>2567</v>
      </c>
      <c r="H11" s="7">
        <f t="shared" si="0"/>
        <v>2</v>
      </c>
      <c r="I11" s="50">
        <v>40745.768750000003</v>
      </c>
      <c r="J11" s="58" t="s">
        <v>3413</v>
      </c>
      <c r="K11" s="4">
        <f t="shared" si="1"/>
        <v>8</v>
      </c>
      <c r="L11" s="4">
        <v>2</v>
      </c>
      <c r="M11" s="4">
        <v>8</v>
      </c>
      <c r="Q11">
        <v>2</v>
      </c>
      <c r="S11" s="8"/>
      <c r="T11" t="s">
        <v>1872</v>
      </c>
    </row>
    <row r="12" spans="3:21">
      <c r="C12" s="3"/>
      <c r="F12" s="12">
        <v>71</v>
      </c>
      <c r="G12" s="62" t="s">
        <v>2567</v>
      </c>
      <c r="H12" s="7">
        <f t="shared" si="0"/>
        <v>2</v>
      </c>
      <c r="I12" s="50">
        <v>40750.980555555558</v>
      </c>
      <c r="J12" s="58" t="s">
        <v>3180</v>
      </c>
      <c r="K12" s="4">
        <f t="shared" si="1"/>
        <v>9</v>
      </c>
      <c r="L12" s="4">
        <v>2</v>
      </c>
      <c r="M12" s="4">
        <v>9</v>
      </c>
      <c r="Q12">
        <v>2</v>
      </c>
      <c r="S12" s="8"/>
      <c r="T12" t="s">
        <v>1870</v>
      </c>
      <c r="U12" t="s">
        <v>1869</v>
      </c>
    </row>
    <row r="13" spans="3:21">
      <c r="C13" s="3"/>
      <c r="F13" s="12">
        <v>73</v>
      </c>
      <c r="G13" s="62" t="s">
        <v>2567</v>
      </c>
      <c r="H13" s="7">
        <f t="shared" si="0"/>
        <v>2</v>
      </c>
      <c r="I13" s="50">
        <v>40752.700694444444</v>
      </c>
      <c r="J13" s="58" t="s">
        <v>3380</v>
      </c>
      <c r="K13" s="4">
        <f t="shared" si="1"/>
        <v>10</v>
      </c>
      <c r="L13" s="4">
        <v>2</v>
      </c>
      <c r="M13" s="4">
        <v>10</v>
      </c>
      <c r="Q13">
        <v>2</v>
      </c>
      <c r="S13" s="8"/>
      <c r="T13" s="26" t="s">
        <v>294</v>
      </c>
      <c r="U13" s="4">
        <v>2</v>
      </c>
    </row>
    <row r="14" spans="3:21">
      <c r="C14" s="3"/>
      <c r="D14" s="1"/>
      <c r="F14" s="12">
        <v>78</v>
      </c>
      <c r="G14" s="67" t="s">
        <v>2567</v>
      </c>
      <c r="H14" s="7">
        <f t="shared" si="0"/>
        <v>2</v>
      </c>
      <c r="I14" s="50">
        <v>40788.870833333334</v>
      </c>
      <c r="J14" s="58" t="s">
        <v>3439</v>
      </c>
      <c r="K14" s="4">
        <f t="shared" si="1"/>
        <v>11</v>
      </c>
      <c r="L14" s="4">
        <v>17</v>
      </c>
      <c r="M14" s="4">
        <v>11</v>
      </c>
      <c r="Q14">
        <v>2</v>
      </c>
      <c r="S14" s="8"/>
      <c r="T14" s="26" t="s">
        <v>336</v>
      </c>
      <c r="U14" s="4">
        <v>6</v>
      </c>
    </row>
    <row r="15" spans="3:21">
      <c r="C15" s="3"/>
      <c r="F15" s="12">
        <v>74</v>
      </c>
      <c r="G15" s="67" t="s">
        <v>2581</v>
      </c>
      <c r="H15" s="7">
        <f t="shared" si="0"/>
        <v>3</v>
      </c>
      <c r="I15" s="50">
        <v>40757.435416666667</v>
      </c>
      <c r="J15" s="58" t="s">
        <v>3381</v>
      </c>
      <c r="K15" s="4">
        <f t="shared" si="1"/>
        <v>1</v>
      </c>
      <c r="L15" s="4">
        <v>10</v>
      </c>
      <c r="M15" s="4">
        <v>1</v>
      </c>
      <c r="Q15">
        <v>3</v>
      </c>
      <c r="S15" s="8"/>
      <c r="T15" s="26" t="s">
        <v>288</v>
      </c>
      <c r="U15" s="4">
        <v>11</v>
      </c>
    </row>
    <row r="16" spans="3:21">
      <c r="C16" s="3"/>
      <c r="F16" s="12">
        <v>75</v>
      </c>
      <c r="G16" s="62" t="s">
        <v>2581</v>
      </c>
      <c r="H16" s="7">
        <f t="shared" si="0"/>
        <v>3</v>
      </c>
      <c r="I16" s="50">
        <v>40766.825694444444</v>
      </c>
      <c r="J16" s="58" t="s">
        <v>3238</v>
      </c>
      <c r="K16" s="4">
        <f t="shared" si="1"/>
        <v>2</v>
      </c>
      <c r="L16" s="4">
        <v>3</v>
      </c>
      <c r="M16" s="4">
        <v>2</v>
      </c>
      <c r="Q16">
        <v>3</v>
      </c>
      <c r="S16" s="8"/>
      <c r="T16" s="26" t="s">
        <v>300</v>
      </c>
      <c r="U16" s="4">
        <v>1</v>
      </c>
    </row>
    <row r="17" spans="3:24">
      <c r="C17" s="3"/>
      <c r="F17" s="12">
        <v>41</v>
      </c>
      <c r="G17" s="67" t="s">
        <v>2846</v>
      </c>
      <c r="H17" s="7">
        <f t="shared" si="0"/>
        <v>4</v>
      </c>
      <c r="I17" s="50">
        <v>40704.673611111109</v>
      </c>
      <c r="J17" s="58" t="s">
        <v>2845</v>
      </c>
      <c r="K17" s="4">
        <f t="shared" si="1"/>
        <v>1</v>
      </c>
      <c r="L17" s="4">
        <v>3</v>
      </c>
      <c r="M17" s="4">
        <v>1</v>
      </c>
      <c r="Q17">
        <v>4</v>
      </c>
      <c r="S17" s="8"/>
      <c r="T17" s="26" t="s">
        <v>289</v>
      </c>
      <c r="U17" s="4">
        <v>2</v>
      </c>
    </row>
    <row r="18" spans="3:24">
      <c r="C18" s="3"/>
      <c r="F18" s="12">
        <v>20</v>
      </c>
      <c r="G18" s="67" t="s">
        <v>3685</v>
      </c>
      <c r="H18" s="7">
        <f t="shared" si="0"/>
        <v>5</v>
      </c>
      <c r="I18" s="50">
        <v>40661.657638888886</v>
      </c>
      <c r="J18" s="58" t="s">
        <v>2786</v>
      </c>
      <c r="K18" s="4">
        <f t="shared" si="1"/>
        <v>1</v>
      </c>
      <c r="L18" s="4">
        <v>2</v>
      </c>
      <c r="M18" s="4">
        <v>1</v>
      </c>
      <c r="Q18">
        <v>5</v>
      </c>
      <c r="S18" s="8"/>
      <c r="T18" s="26" t="s">
        <v>1581</v>
      </c>
      <c r="U18" s="4">
        <v>1</v>
      </c>
    </row>
    <row r="19" spans="3:24">
      <c r="C19" s="3"/>
      <c r="D19" s="1"/>
      <c r="F19" s="12">
        <v>53</v>
      </c>
      <c r="G19" s="67" t="s">
        <v>3685</v>
      </c>
      <c r="H19" s="7">
        <f t="shared" si="0"/>
        <v>5</v>
      </c>
      <c r="I19" s="50">
        <v>40717.961805555555</v>
      </c>
      <c r="J19" s="58" t="s">
        <v>2964</v>
      </c>
      <c r="K19" s="4">
        <f t="shared" si="1"/>
        <v>2</v>
      </c>
      <c r="L19" s="4">
        <v>13</v>
      </c>
      <c r="M19" s="4">
        <v>2</v>
      </c>
      <c r="Q19">
        <v>5</v>
      </c>
      <c r="S19" s="8"/>
      <c r="T19" s="26" t="s">
        <v>299</v>
      </c>
      <c r="U19" s="4">
        <v>6</v>
      </c>
      <c r="W19" s="12">
        <f>U21/8</f>
        <v>3.75</v>
      </c>
      <c r="X19" t="s">
        <v>1865</v>
      </c>
    </row>
    <row r="20" spans="3:24">
      <c r="C20" s="3"/>
      <c r="F20" s="12">
        <v>60</v>
      </c>
      <c r="G20" s="67" t="s">
        <v>3685</v>
      </c>
      <c r="H20" s="7">
        <f t="shared" si="0"/>
        <v>5</v>
      </c>
      <c r="I20" s="50">
        <v>40738.96875</v>
      </c>
      <c r="J20" s="58" t="s">
        <v>2752</v>
      </c>
      <c r="K20" s="4">
        <f t="shared" si="1"/>
        <v>3</v>
      </c>
      <c r="L20" s="4">
        <v>13</v>
      </c>
      <c r="M20" s="4">
        <v>3</v>
      </c>
      <c r="Q20">
        <v>5</v>
      </c>
      <c r="S20" s="8"/>
      <c r="T20" s="26" t="s">
        <v>438</v>
      </c>
      <c r="U20" s="4">
        <v>1</v>
      </c>
    </row>
    <row r="21" spans="3:24">
      <c r="C21" s="3"/>
      <c r="F21" s="12">
        <v>62</v>
      </c>
      <c r="G21" s="67" t="s">
        <v>3685</v>
      </c>
      <c r="H21" s="7">
        <f t="shared" si="0"/>
        <v>5</v>
      </c>
      <c r="I21" s="50">
        <v>40738.981249999997</v>
      </c>
      <c r="J21" s="58" t="s">
        <v>3347</v>
      </c>
      <c r="K21" s="4">
        <f t="shared" si="1"/>
        <v>4</v>
      </c>
      <c r="L21" s="4">
        <v>13</v>
      </c>
      <c r="M21" s="4">
        <v>4</v>
      </c>
      <c r="Q21">
        <v>5</v>
      </c>
      <c r="S21" s="8"/>
      <c r="T21" s="26" t="s">
        <v>1871</v>
      </c>
      <c r="U21" s="4">
        <v>30</v>
      </c>
    </row>
    <row r="22" spans="3:24">
      <c r="C22" s="3"/>
      <c r="F22" s="12">
        <v>18</v>
      </c>
      <c r="G22" s="67" t="s">
        <v>2591</v>
      </c>
      <c r="H22" s="7">
        <f t="shared" si="0"/>
        <v>6</v>
      </c>
      <c r="I22" s="50">
        <v>40661.643055555556</v>
      </c>
      <c r="J22" s="58" t="s">
        <v>3549</v>
      </c>
      <c r="K22" s="4">
        <f t="shared" si="1"/>
        <v>1</v>
      </c>
      <c r="L22" s="4">
        <v>2</v>
      </c>
      <c r="M22" s="4">
        <v>1</v>
      </c>
      <c r="Q22">
        <v>6</v>
      </c>
      <c r="S22" s="8"/>
    </row>
    <row r="23" spans="3:24">
      <c r="C23" s="3"/>
      <c r="F23" s="12">
        <v>19</v>
      </c>
      <c r="G23" s="62" t="s">
        <v>2591</v>
      </c>
      <c r="H23" s="7">
        <f t="shared" si="0"/>
        <v>6</v>
      </c>
      <c r="I23" s="50">
        <v>40661.643055555556</v>
      </c>
      <c r="J23" s="58" t="s">
        <v>2785</v>
      </c>
      <c r="K23" s="4">
        <f t="shared" si="1"/>
        <v>2</v>
      </c>
      <c r="L23" s="4">
        <v>2</v>
      </c>
      <c r="M23" s="4">
        <v>2</v>
      </c>
      <c r="Q23">
        <v>6</v>
      </c>
      <c r="S23" s="8"/>
    </row>
    <row r="24" spans="3:24">
      <c r="C24" s="3"/>
      <c r="F24" s="12">
        <v>34</v>
      </c>
      <c r="G24" s="62" t="s">
        <v>2591</v>
      </c>
      <c r="H24" s="7">
        <f t="shared" si="0"/>
        <v>6</v>
      </c>
      <c r="I24" s="50">
        <v>40665.572222222225</v>
      </c>
      <c r="J24" s="58" t="s">
        <v>3141</v>
      </c>
      <c r="K24" s="4">
        <f t="shared" si="1"/>
        <v>3</v>
      </c>
      <c r="L24" s="4">
        <v>2</v>
      </c>
      <c r="M24" s="4">
        <v>3</v>
      </c>
      <c r="Q24">
        <v>6</v>
      </c>
      <c r="S24" s="8"/>
    </row>
    <row r="25" spans="3:24">
      <c r="C25" s="3"/>
      <c r="F25" s="12">
        <v>21</v>
      </c>
      <c r="G25" s="62" t="s">
        <v>2591</v>
      </c>
      <c r="H25" s="7">
        <f t="shared" si="0"/>
        <v>6</v>
      </c>
      <c r="I25" s="50">
        <v>40675.609027777777</v>
      </c>
      <c r="J25" s="58" t="s">
        <v>3546</v>
      </c>
      <c r="K25" s="4">
        <f t="shared" si="1"/>
        <v>4</v>
      </c>
      <c r="L25" s="4">
        <v>2</v>
      </c>
      <c r="M25" s="4">
        <v>4</v>
      </c>
      <c r="Q25">
        <v>6</v>
      </c>
      <c r="S25" s="8"/>
      <c r="T25" s="10"/>
    </row>
    <row r="26" spans="3:24">
      <c r="C26" s="3"/>
      <c r="F26" s="12">
        <v>26</v>
      </c>
      <c r="G26" s="67" t="s">
        <v>2591</v>
      </c>
      <c r="H26" s="7">
        <f t="shared" si="0"/>
        <v>6</v>
      </c>
      <c r="I26" s="50">
        <v>40675.802777777775</v>
      </c>
      <c r="J26" s="58" t="s">
        <v>3327</v>
      </c>
      <c r="K26" s="4">
        <f t="shared" si="1"/>
        <v>5</v>
      </c>
      <c r="L26" s="4">
        <v>2</v>
      </c>
      <c r="M26" s="4">
        <v>5</v>
      </c>
      <c r="Q26">
        <v>6</v>
      </c>
      <c r="S26" s="8"/>
      <c r="T26" s="10"/>
    </row>
    <row r="27" spans="3:24">
      <c r="C27" s="3"/>
      <c r="F27" s="12">
        <v>28</v>
      </c>
      <c r="G27" s="67" t="s">
        <v>2591</v>
      </c>
      <c r="H27" s="7">
        <f t="shared" si="0"/>
        <v>6</v>
      </c>
      <c r="I27" s="50">
        <v>40682.606249999997</v>
      </c>
      <c r="J27" s="58" t="s">
        <v>3211</v>
      </c>
      <c r="K27" s="4">
        <f t="shared" si="1"/>
        <v>6</v>
      </c>
      <c r="L27" s="4">
        <v>2</v>
      </c>
      <c r="M27" s="4">
        <v>6</v>
      </c>
      <c r="Q27">
        <v>6</v>
      </c>
      <c r="S27" s="8"/>
      <c r="T27" s="10"/>
    </row>
    <row r="28" spans="3:24">
      <c r="C28" s="3"/>
      <c r="F28" s="12">
        <v>29</v>
      </c>
      <c r="G28" s="62" t="s">
        <v>2591</v>
      </c>
      <c r="H28" s="7">
        <f t="shared" si="0"/>
        <v>6</v>
      </c>
      <c r="I28" s="50">
        <v>40682.629861111112</v>
      </c>
      <c r="J28" s="58" t="s">
        <v>2938</v>
      </c>
      <c r="K28" s="4">
        <f t="shared" si="1"/>
        <v>7</v>
      </c>
      <c r="L28" s="4">
        <v>2</v>
      </c>
      <c r="M28" s="4">
        <v>7</v>
      </c>
      <c r="Q28">
        <v>6</v>
      </c>
      <c r="S28" s="8"/>
      <c r="T28" s="10"/>
    </row>
    <row r="29" spans="3:24">
      <c r="C29" s="3"/>
      <c r="F29" s="12">
        <v>37</v>
      </c>
      <c r="G29" s="67" t="s">
        <v>2591</v>
      </c>
      <c r="H29" s="7">
        <f t="shared" si="0"/>
        <v>6</v>
      </c>
      <c r="I29" s="50">
        <v>40694.802777777775</v>
      </c>
      <c r="J29" s="58" t="s">
        <v>3411</v>
      </c>
      <c r="K29" s="4">
        <f t="shared" si="1"/>
        <v>8</v>
      </c>
      <c r="L29" s="4">
        <v>4</v>
      </c>
      <c r="M29" s="4">
        <v>8</v>
      </c>
      <c r="Q29">
        <v>6</v>
      </c>
      <c r="S29" s="8"/>
      <c r="T29" s="10"/>
    </row>
    <row r="30" spans="3:24">
      <c r="C30" s="3"/>
      <c r="F30" s="12">
        <v>39</v>
      </c>
      <c r="G30" s="67" t="s">
        <v>2591</v>
      </c>
      <c r="H30" s="7">
        <f t="shared" si="0"/>
        <v>6</v>
      </c>
      <c r="I30" s="50">
        <v>40703.938194444447</v>
      </c>
      <c r="J30" s="58" t="s">
        <v>3261</v>
      </c>
      <c r="K30" s="4">
        <f t="shared" si="1"/>
        <v>9</v>
      </c>
      <c r="L30" s="4">
        <v>5</v>
      </c>
      <c r="M30" s="4">
        <v>9</v>
      </c>
      <c r="Q30">
        <v>6</v>
      </c>
      <c r="S30" s="8"/>
      <c r="T30" s="10"/>
    </row>
    <row r="31" spans="3:24">
      <c r="C31" s="3"/>
      <c r="F31" s="12">
        <v>40</v>
      </c>
      <c r="G31" s="62" t="s">
        <v>2591</v>
      </c>
      <c r="H31" s="7">
        <f t="shared" si="0"/>
        <v>6</v>
      </c>
      <c r="I31" s="50">
        <v>40704.663888888892</v>
      </c>
      <c r="J31" s="58" t="s">
        <v>2844</v>
      </c>
      <c r="K31" s="4">
        <f t="shared" si="1"/>
        <v>10</v>
      </c>
      <c r="L31" s="4">
        <v>3</v>
      </c>
      <c r="M31" s="4">
        <v>10</v>
      </c>
      <c r="Q31">
        <v>6</v>
      </c>
      <c r="S31" s="8"/>
      <c r="T31" s="10"/>
    </row>
    <row r="32" spans="3:24">
      <c r="C32" s="3"/>
      <c r="F32" s="12">
        <v>45</v>
      </c>
      <c r="G32" s="67" t="s">
        <v>2591</v>
      </c>
      <c r="H32" s="7">
        <f t="shared" si="0"/>
        <v>6</v>
      </c>
      <c r="I32" s="50">
        <v>40709.01458333333</v>
      </c>
      <c r="J32" s="58" t="s">
        <v>2690</v>
      </c>
      <c r="K32" s="4">
        <f t="shared" si="1"/>
        <v>11</v>
      </c>
      <c r="L32" s="16">
        <v>3</v>
      </c>
      <c r="M32" s="4">
        <v>11</v>
      </c>
      <c r="Q32">
        <v>6</v>
      </c>
      <c r="S32" s="8"/>
      <c r="T32" s="10"/>
    </row>
    <row r="33" spans="3:20">
      <c r="C33" s="3"/>
      <c r="F33" s="12">
        <v>52</v>
      </c>
      <c r="G33" s="62" t="s">
        <v>2591</v>
      </c>
      <c r="H33" s="7">
        <f t="shared" si="0"/>
        <v>6</v>
      </c>
      <c r="I33" s="50">
        <v>40709.015277777777</v>
      </c>
      <c r="J33" s="58" t="s">
        <v>2963</v>
      </c>
      <c r="K33" s="4">
        <f t="shared" si="1"/>
        <v>12</v>
      </c>
      <c r="L33" s="4">
        <v>3</v>
      </c>
      <c r="M33" s="4">
        <v>12</v>
      </c>
      <c r="Q33">
        <v>6</v>
      </c>
      <c r="S33" s="8"/>
      <c r="T33" s="10"/>
    </row>
    <row r="34" spans="3:20">
      <c r="C34" s="3"/>
      <c r="F34" s="12">
        <v>51</v>
      </c>
      <c r="G34" s="67" t="s">
        <v>2591</v>
      </c>
      <c r="H34" s="7">
        <f t="shared" ref="H34:H65" si="2">LOOKUP(G34,$N$2:$N$9,$O$2:$O$9)</f>
        <v>6</v>
      </c>
      <c r="I34" s="50">
        <v>40717.949305555558</v>
      </c>
      <c r="J34" s="58" t="s">
        <v>2980</v>
      </c>
      <c r="K34" s="4">
        <f t="shared" ref="K34:K65" si="3">IF(Q34&gt;Q33,1,K33+1)</f>
        <v>13</v>
      </c>
      <c r="L34" s="4">
        <v>13</v>
      </c>
      <c r="M34" s="4">
        <v>13</v>
      </c>
      <c r="Q34">
        <v>6</v>
      </c>
      <c r="S34" s="8"/>
      <c r="T34" s="10"/>
    </row>
    <row r="35" spans="3:20">
      <c r="C35" s="3"/>
      <c r="F35" s="12">
        <v>59</v>
      </c>
      <c r="G35" s="62" t="s">
        <v>2591</v>
      </c>
      <c r="H35" s="7">
        <f t="shared" si="2"/>
        <v>6</v>
      </c>
      <c r="I35" s="50">
        <v>40717.967361111114</v>
      </c>
      <c r="J35" s="58" t="s">
        <v>3136</v>
      </c>
      <c r="K35" s="4">
        <f t="shared" si="3"/>
        <v>14</v>
      </c>
      <c r="L35" s="4">
        <v>13</v>
      </c>
      <c r="M35" s="4">
        <v>14</v>
      </c>
      <c r="Q35">
        <v>6</v>
      </c>
      <c r="S35" s="8"/>
      <c r="T35" s="10"/>
    </row>
    <row r="36" spans="3:20">
      <c r="C36" s="3"/>
      <c r="F36" s="12">
        <v>57</v>
      </c>
      <c r="G36" s="62" t="s">
        <v>2591</v>
      </c>
      <c r="H36" s="7">
        <f t="shared" si="2"/>
        <v>6</v>
      </c>
      <c r="I36" s="50">
        <v>40722.045138888891</v>
      </c>
      <c r="J36" s="58" t="s">
        <v>2686</v>
      </c>
      <c r="K36" s="4">
        <f t="shared" si="3"/>
        <v>15</v>
      </c>
      <c r="L36" s="4">
        <v>2</v>
      </c>
      <c r="M36" s="4">
        <v>15</v>
      </c>
      <c r="Q36">
        <v>6</v>
      </c>
      <c r="S36" s="8"/>
      <c r="T36" s="10"/>
    </row>
    <row r="37" spans="3:20">
      <c r="C37" s="3"/>
      <c r="F37" s="12">
        <v>61</v>
      </c>
      <c r="G37" s="62" t="s">
        <v>2591</v>
      </c>
      <c r="H37" s="7">
        <f t="shared" si="2"/>
        <v>6</v>
      </c>
      <c r="I37" s="50">
        <v>40737.872916666667</v>
      </c>
      <c r="J37" s="58" t="s">
        <v>3346</v>
      </c>
      <c r="K37" s="4">
        <f t="shared" si="3"/>
        <v>16</v>
      </c>
      <c r="L37" s="4">
        <v>86</v>
      </c>
      <c r="M37" s="4">
        <v>16</v>
      </c>
      <c r="Q37">
        <v>6</v>
      </c>
      <c r="S37" s="8"/>
      <c r="T37" s="10"/>
    </row>
    <row r="38" spans="3:20">
      <c r="C38" s="3"/>
      <c r="F38" s="12">
        <v>65</v>
      </c>
      <c r="G38" s="62" t="s">
        <v>2591</v>
      </c>
      <c r="H38" s="7">
        <f t="shared" si="2"/>
        <v>6</v>
      </c>
      <c r="I38" s="50">
        <v>40739.946527777778</v>
      </c>
      <c r="J38" s="58" t="s">
        <v>2777</v>
      </c>
      <c r="K38" s="4">
        <f t="shared" si="3"/>
        <v>17</v>
      </c>
      <c r="L38" s="4">
        <v>13</v>
      </c>
      <c r="M38" s="4">
        <v>17</v>
      </c>
      <c r="Q38">
        <v>6</v>
      </c>
      <c r="S38" s="8"/>
      <c r="T38" s="10"/>
    </row>
    <row r="39" spans="3:20">
      <c r="C39" s="3"/>
      <c r="F39" s="12">
        <v>77</v>
      </c>
      <c r="G39" s="62" t="s">
        <v>2591</v>
      </c>
      <c r="H39" s="7">
        <f t="shared" si="2"/>
        <v>6</v>
      </c>
      <c r="I39" s="50">
        <v>40788.474999999999</v>
      </c>
      <c r="J39" s="58" t="s">
        <v>3438</v>
      </c>
      <c r="K39" s="4">
        <f t="shared" si="3"/>
        <v>18</v>
      </c>
      <c r="L39" s="4">
        <v>4</v>
      </c>
      <c r="M39" s="4">
        <v>18</v>
      </c>
      <c r="Q39">
        <v>6</v>
      </c>
      <c r="S39" s="8"/>
      <c r="T39" s="10"/>
    </row>
    <row r="40" spans="3:20">
      <c r="C40" s="3"/>
      <c r="F40" s="12">
        <v>2</v>
      </c>
      <c r="G40" s="67" t="s">
        <v>3676</v>
      </c>
      <c r="H40" s="7">
        <f t="shared" si="2"/>
        <v>7</v>
      </c>
      <c r="I40" s="50">
        <v>40634.65</v>
      </c>
      <c r="J40" s="58" t="s">
        <v>2825</v>
      </c>
      <c r="K40" s="4">
        <f t="shared" si="3"/>
        <v>1</v>
      </c>
      <c r="L40" s="4">
        <v>3</v>
      </c>
      <c r="M40" s="4">
        <v>1</v>
      </c>
      <c r="Q40">
        <v>7</v>
      </c>
      <c r="S40" s="8"/>
      <c r="T40" s="10"/>
    </row>
    <row r="41" spans="3:20">
      <c r="C41" s="3"/>
      <c r="F41" s="12">
        <v>6</v>
      </c>
      <c r="G41" s="67" t="s">
        <v>3676</v>
      </c>
      <c r="H41" s="7">
        <f t="shared" si="2"/>
        <v>7</v>
      </c>
      <c r="I41" s="50">
        <v>40634.654166666667</v>
      </c>
      <c r="J41" s="58" t="s">
        <v>2961</v>
      </c>
      <c r="K41" s="4">
        <f t="shared" si="3"/>
        <v>2</v>
      </c>
      <c r="L41" s="4">
        <v>3</v>
      </c>
      <c r="M41" s="4">
        <v>2</v>
      </c>
      <c r="Q41">
        <v>7</v>
      </c>
      <c r="S41" s="8"/>
      <c r="T41" s="10"/>
    </row>
    <row r="42" spans="3:20">
      <c r="C42" s="3"/>
      <c r="F42" s="12">
        <v>10</v>
      </c>
      <c r="G42" s="67" t="s">
        <v>3676</v>
      </c>
      <c r="H42" s="7">
        <f t="shared" si="2"/>
        <v>7</v>
      </c>
      <c r="I42" s="50">
        <v>40637.569444444445</v>
      </c>
      <c r="J42" s="58" t="s">
        <v>3542</v>
      </c>
      <c r="K42" s="4">
        <f t="shared" si="3"/>
        <v>3</v>
      </c>
      <c r="L42" s="4">
        <v>3</v>
      </c>
      <c r="M42" s="4">
        <v>3</v>
      </c>
      <c r="Q42">
        <v>7</v>
      </c>
      <c r="S42" s="8"/>
      <c r="T42" s="10"/>
    </row>
    <row r="43" spans="3:20">
      <c r="C43" s="3"/>
      <c r="F43" s="12">
        <v>14</v>
      </c>
      <c r="G43" s="67" t="s">
        <v>3676</v>
      </c>
      <c r="H43" s="7">
        <f t="shared" si="2"/>
        <v>7</v>
      </c>
      <c r="I43" s="50">
        <v>40652.529861111114</v>
      </c>
      <c r="J43" s="58" t="s">
        <v>3425</v>
      </c>
      <c r="K43" s="4">
        <f t="shared" si="3"/>
        <v>4</v>
      </c>
      <c r="L43" s="4">
        <v>4</v>
      </c>
      <c r="M43" s="4">
        <v>4</v>
      </c>
      <c r="Q43">
        <v>7</v>
      </c>
      <c r="S43" s="8"/>
      <c r="T43" s="10"/>
    </row>
    <row r="44" spans="3:20">
      <c r="C44" s="3"/>
      <c r="F44" s="12">
        <v>16</v>
      </c>
      <c r="G44" s="67" t="s">
        <v>3676</v>
      </c>
      <c r="H44" s="7">
        <f t="shared" si="2"/>
        <v>7</v>
      </c>
      <c r="I44" s="50">
        <v>40660.638888888891</v>
      </c>
      <c r="J44" s="58" t="s">
        <v>2574</v>
      </c>
      <c r="K44" s="4">
        <f t="shared" si="3"/>
        <v>5</v>
      </c>
      <c r="L44" s="4">
        <v>2</v>
      </c>
      <c r="M44" s="4">
        <v>5</v>
      </c>
      <c r="Q44">
        <v>7</v>
      </c>
      <c r="S44" s="8"/>
      <c r="T44" s="10"/>
    </row>
    <row r="45" spans="3:20">
      <c r="C45" s="3"/>
      <c r="F45" s="12">
        <v>33</v>
      </c>
      <c r="G45" s="67" t="s">
        <v>3676</v>
      </c>
      <c r="H45" s="7">
        <f t="shared" si="2"/>
        <v>7</v>
      </c>
      <c r="I45" s="50">
        <v>40682.800000000003</v>
      </c>
      <c r="J45" s="58" t="s">
        <v>3672</v>
      </c>
      <c r="K45" s="4">
        <f t="shared" si="3"/>
        <v>6</v>
      </c>
      <c r="L45" s="4">
        <v>2</v>
      </c>
      <c r="M45" s="4">
        <v>6</v>
      </c>
      <c r="Q45">
        <v>7</v>
      </c>
      <c r="S45" s="8"/>
      <c r="T45" s="10"/>
    </row>
    <row r="46" spans="3:20">
      <c r="C46" s="3"/>
      <c r="F46" s="12">
        <v>47</v>
      </c>
      <c r="G46" s="67" t="s">
        <v>3676</v>
      </c>
      <c r="H46" s="7">
        <f t="shared" si="2"/>
        <v>7</v>
      </c>
      <c r="I46" s="50">
        <v>40709.470138888886</v>
      </c>
      <c r="J46" s="58" t="s">
        <v>3530</v>
      </c>
      <c r="K46" s="4">
        <f t="shared" si="3"/>
        <v>7</v>
      </c>
      <c r="L46" s="4">
        <v>17</v>
      </c>
      <c r="M46" s="4">
        <v>7</v>
      </c>
      <c r="Q46">
        <v>7</v>
      </c>
      <c r="S46" s="8"/>
      <c r="T46" s="10"/>
    </row>
    <row r="47" spans="3:20">
      <c r="C47" s="3"/>
      <c r="F47" s="12">
        <v>49</v>
      </c>
      <c r="G47" s="67" t="s">
        <v>3676</v>
      </c>
      <c r="H47" s="7">
        <f t="shared" si="2"/>
        <v>7</v>
      </c>
      <c r="I47" s="50">
        <v>40717.543055555558</v>
      </c>
      <c r="J47" s="58" t="s">
        <v>2979</v>
      </c>
      <c r="K47" s="4">
        <f t="shared" si="3"/>
        <v>8</v>
      </c>
      <c r="L47" s="4">
        <v>4</v>
      </c>
      <c r="M47" s="4">
        <v>8</v>
      </c>
      <c r="Q47">
        <v>7</v>
      </c>
      <c r="S47" s="8"/>
      <c r="T47" s="10"/>
    </row>
    <row r="48" spans="3:20">
      <c r="C48" s="3"/>
      <c r="F48" s="12">
        <v>55</v>
      </c>
      <c r="G48" s="67" t="s">
        <v>3676</v>
      </c>
      <c r="H48" s="7">
        <f t="shared" si="2"/>
        <v>7</v>
      </c>
      <c r="I48" s="50">
        <v>40737.826388888891</v>
      </c>
      <c r="J48" s="58" t="s">
        <v>2722</v>
      </c>
      <c r="K48" s="4">
        <f t="shared" si="3"/>
        <v>9</v>
      </c>
      <c r="L48" s="4">
        <v>86</v>
      </c>
      <c r="M48" s="4">
        <v>9</v>
      </c>
      <c r="Q48">
        <v>7</v>
      </c>
      <c r="S48" s="8"/>
      <c r="T48" s="10"/>
    </row>
    <row r="49" spans="3:20">
      <c r="C49" s="3"/>
      <c r="F49" s="12">
        <v>64</v>
      </c>
      <c r="G49" s="67" t="s">
        <v>3676</v>
      </c>
      <c r="H49" s="7">
        <f t="shared" si="2"/>
        <v>7</v>
      </c>
      <c r="I49" s="50">
        <v>40739.955555555556</v>
      </c>
      <c r="J49" s="58" t="s">
        <v>2801</v>
      </c>
      <c r="K49" s="4">
        <f t="shared" si="3"/>
        <v>10</v>
      </c>
      <c r="L49" s="4">
        <v>9</v>
      </c>
      <c r="M49" s="4">
        <v>10</v>
      </c>
      <c r="Q49">
        <v>7</v>
      </c>
      <c r="S49" s="8"/>
      <c r="T49" s="10"/>
    </row>
    <row r="50" spans="3:20">
      <c r="C50" s="3"/>
      <c r="F50" s="12">
        <v>68</v>
      </c>
      <c r="G50" s="67" t="s">
        <v>3676</v>
      </c>
      <c r="H50" s="7">
        <f t="shared" si="2"/>
        <v>7</v>
      </c>
      <c r="I50" s="50">
        <v>40746.772916666669</v>
      </c>
      <c r="J50" s="58" t="s">
        <v>3004</v>
      </c>
      <c r="K50" s="4">
        <f t="shared" si="3"/>
        <v>11</v>
      </c>
      <c r="L50" s="4">
        <v>2</v>
      </c>
      <c r="M50" s="4">
        <v>11</v>
      </c>
      <c r="Q50">
        <v>7</v>
      </c>
      <c r="S50" s="8"/>
      <c r="T50" s="10"/>
    </row>
    <row r="51" spans="3:20">
      <c r="C51" s="3"/>
      <c r="F51" s="12">
        <v>46</v>
      </c>
      <c r="G51" s="62" t="s">
        <v>2572</v>
      </c>
      <c r="H51" s="7">
        <f t="shared" si="2"/>
        <v>8</v>
      </c>
      <c r="I51" s="50">
        <v>40599.729861111111</v>
      </c>
      <c r="J51" s="58" t="s">
        <v>3529</v>
      </c>
      <c r="K51" s="4">
        <f t="shared" si="3"/>
        <v>1</v>
      </c>
      <c r="L51" s="4">
        <v>3</v>
      </c>
      <c r="M51" s="4">
        <v>1</v>
      </c>
      <c r="Q51">
        <v>8</v>
      </c>
      <c r="S51" s="8"/>
      <c r="T51" s="10"/>
    </row>
    <row r="52" spans="3:20">
      <c r="C52" s="3"/>
      <c r="F52" s="12">
        <v>5</v>
      </c>
      <c r="G52" s="62" t="s">
        <v>2572</v>
      </c>
      <c r="H52" s="7">
        <f t="shared" si="2"/>
        <v>8</v>
      </c>
      <c r="I52" s="50">
        <v>40632.652083333334</v>
      </c>
      <c r="J52" s="58" t="s">
        <v>3588</v>
      </c>
      <c r="K52" s="4">
        <f t="shared" si="3"/>
        <v>2</v>
      </c>
      <c r="L52" s="4">
        <v>8</v>
      </c>
      <c r="M52" s="4">
        <v>2</v>
      </c>
      <c r="Q52">
        <v>8</v>
      </c>
      <c r="S52" s="8"/>
      <c r="T52" s="10"/>
    </row>
    <row r="53" spans="3:20">
      <c r="C53" s="3"/>
      <c r="F53" s="12">
        <v>1</v>
      </c>
      <c r="G53" s="62" t="s">
        <v>2572</v>
      </c>
      <c r="H53" s="7">
        <f t="shared" si="2"/>
        <v>8</v>
      </c>
      <c r="I53" s="50">
        <v>40633.797222222223</v>
      </c>
      <c r="J53" s="58" t="s">
        <v>2824</v>
      </c>
      <c r="K53" s="4">
        <f t="shared" si="3"/>
        <v>3</v>
      </c>
      <c r="L53" s="4">
        <v>2</v>
      </c>
      <c r="M53" s="4">
        <v>3</v>
      </c>
      <c r="Q53">
        <v>8</v>
      </c>
      <c r="S53" s="8"/>
      <c r="T53" s="10"/>
    </row>
    <row r="54" spans="3:20">
      <c r="C54" s="3"/>
      <c r="F54" s="12">
        <v>4</v>
      </c>
      <c r="G54" s="67" t="s">
        <v>2572</v>
      </c>
      <c r="H54" s="7">
        <f t="shared" si="2"/>
        <v>8</v>
      </c>
      <c r="I54" s="50">
        <v>40634.654166666667</v>
      </c>
      <c r="J54" s="58" t="s">
        <v>2961</v>
      </c>
      <c r="K54" s="4">
        <f t="shared" si="3"/>
        <v>4</v>
      </c>
      <c r="L54" s="4">
        <v>3</v>
      </c>
      <c r="M54" s="4">
        <v>4</v>
      </c>
      <c r="Q54">
        <v>8</v>
      </c>
      <c r="S54" s="8"/>
      <c r="T54" s="10"/>
    </row>
    <row r="55" spans="3:20">
      <c r="C55" s="3"/>
      <c r="F55" s="12">
        <v>7</v>
      </c>
      <c r="G55" s="62" t="s">
        <v>2572</v>
      </c>
      <c r="H55" s="7">
        <f t="shared" si="2"/>
        <v>8</v>
      </c>
      <c r="I55" s="50">
        <v>40634.751388888886</v>
      </c>
      <c r="J55" s="58" t="s">
        <v>3324</v>
      </c>
      <c r="K55" s="4">
        <f t="shared" si="3"/>
        <v>5</v>
      </c>
      <c r="L55" s="4">
        <v>7</v>
      </c>
      <c r="M55" s="4">
        <v>5</v>
      </c>
      <c r="Q55">
        <v>8</v>
      </c>
      <c r="S55" s="8"/>
      <c r="T55" s="10"/>
    </row>
    <row r="56" spans="3:20">
      <c r="C56" s="3"/>
      <c r="D56" s="1"/>
      <c r="F56" s="12">
        <v>9</v>
      </c>
      <c r="G56" s="62" t="s">
        <v>2572</v>
      </c>
      <c r="H56" s="7">
        <f t="shared" si="2"/>
        <v>8</v>
      </c>
      <c r="I56" s="50">
        <v>40636.425000000003</v>
      </c>
      <c r="J56" s="58" t="s">
        <v>3541</v>
      </c>
      <c r="K56" s="4">
        <f t="shared" si="3"/>
        <v>6</v>
      </c>
      <c r="L56" s="4">
        <v>2</v>
      </c>
      <c r="M56" s="4">
        <v>6</v>
      </c>
      <c r="Q56">
        <v>8</v>
      </c>
      <c r="S56" s="8"/>
      <c r="T56" s="10"/>
    </row>
    <row r="57" spans="3:20">
      <c r="C57" s="3"/>
      <c r="F57" s="12">
        <v>12</v>
      </c>
      <c r="G57" s="67" t="s">
        <v>2572</v>
      </c>
      <c r="H57" s="7">
        <f t="shared" si="2"/>
        <v>8</v>
      </c>
      <c r="I57" s="50">
        <v>40640.877083333333</v>
      </c>
      <c r="J57" s="58" t="s">
        <v>2988</v>
      </c>
      <c r="K57" s="4">
        <f t="shared" si="3"/>
        <v>7</v>
      </c>
      <c r="L57" s="4">
        <v>3</v>
      </c>
      <c r="M57" s="4">
        <v>7</v>
      </c>
      <c r="Q57">
        <v>8</v>
      </c>
      <c r="S57" s="8"/>
      <c r="T57" s="10"/>
    </row>
    <row r="58" spans="3:20">
      <c r="C58" s="3"/>
      <c r="F58" s="12">
        <v>13</v>
      </c>
      <c r="G58" s="62" t="s">
        <v>2572</v>
      </c>
      <c r="H58" s="7">
        <f t="shared" si="2"/>
        <v>8</v>
      </c>
      <c r="I58" s="50">
        <v>40650.986805555556</v>
      </c>
      <c r="J58" s="58" t="s">
        <v>3424</v>
      </c>
      <c r="K58" s="4">
        <f t="shared" si="3"/>
        <v>8</v>
      </c>
      <c r="L58" s="4">
        <v>5</v>
      </c>
      <c r="M58" s="4">
        <v>8</v>
      </c>
      <c r="Q58">
        <v>8</v>
      </c>
      <c r="S58" s="8"/>
      <c r="T58" s="10"/>
    </row>
    <row r="59" spans="3:20">
      <c r="C59" s="3"/>
      <c r="F59" s="12">
        <v>15</v>
      </c>
      <c r="G59" s="62" t="s">
        <v>2572</v>
      </c>
      <c r="H59" s="7">
        <f t="shared" si="2"/>
        <v>8</v>
      </c>
      <c r="I59" s="50">
        <v>40659.031944444447</v>
      </c>
      <c r="J59" s="58" t="s">
        <v>2573</v>
      </c>
      <c r="K59" s="4">
        <f t="shared" si="3"/>
        <v>9</v>
      </c>
      <c r="L59" s="4">
        <v>11</v>
      </c>
      <c r="M59" s="4">
        <v>9</v>
      </c>
      <c r="Q59">
        <v>8</v>
      </c>
      <c r="S59" s="8"/>
      <c r="T59" s="10"/>
    </row>
    <row r="60" spans="3:20">
      <c r="C60" s="3"/>
      <c r="F60" s="12">
        <v>17</v>
      </c>
      <c r="G60" s="62" t="s">
        <v>2572</v>
      </c>
      <c r="H60" s="7">
        <f t="shared" si="2"/>
        <v>8</v>
      </c>
      <c r="I60" s="50">
        <v>40660.638888888891</v>
      </c>
      <c r="J60" s="58" t="s">
        <v>2574</v>
      </c>
      <c r="K60" s="4">
        <f t="shared" si="3"/>
        <v>10</v>
      </c>
      <c r="L60" s="4">
        <v>2</v>
      </c>
      <c r="M60" s="4">
        <v>10</v>
      </c>
      <c r="Q60">
        <v>8</v>
      </c>
      <c r="S60" s="8"/>
      <c r="T60" s="10"/>
    </row>
    <row r="61" spans="3:20">
      <c r="C61" s="3"/>
      <c r="F61" s="12">
        <v>23</v>
      </c>
      <c r="G61" s="62" t="s">
        <v>2572</v>
      </c>
      <c r="H61" s="7">
        <f t="shared" si="2"/>
        <v>8</v>
      </c>
      <c r="I61" s="50">
        <v>40674.799305555556</v>
      </c>
      <c r="J61" s="58" t="s">
        <v>3305</v>
      </c>
      <c r="K61" s="4">
        <f t="shared" si="3"/>
        <v>11</v>
      </c>
      <c r="L61" s="4">
        <v>4</v>
      </c>
      <c r="M61" s="4">
        <v>11</v>
      </c>
      <c r="Q61">
        <v>8</v>
      </c>
      <c r="S61" s="8"/>
      <c r="T61" s="10"/>
    </row>
    <row r="62" spans="3:20">
      <c r="C62" s="3"/>
      <c r="F62" s="12">
        <v>25</v>
      </c>
      <c r="G62" s="62" t="s">
        <v>2572</v>
      </c>
      <c r="H62" s="7">
        <f t="shared" si="2"/>
        <v>8</v>
      </c>
      <c r="I62" s="50">
        <v>40675.750694444447</v>
      </c>
      <c r="J62" s="58" t="s">
        <v>3433</v>
      </c>
      <c r="K62" s="4">
        <f t="shared" si="3"/>
        <v>12</v>
      </c>
      <c r="L62" s="4">
        <v>3</v>
      </c>
      <c r="M62" s="4">
        <v>12</v>
      </c>
      <c r="Q62">
        <v>8</v>
      </c>
      <c r="S62" s="8"/>
      <c r="T62" s="10"/>
    </row>
    <row r="63" spans="3:20">
      <c r="C63" s="3"/>
      <c r="F63" s="12">
        <v>27</v>
      </c>
      <c r="G63" s="62" t="s">
        <v>2572</v>
      </c>
      <c r="H63" s="7">
        <f t="shared" si="2"/>
        <v>8</v>
      </c>
      <c r="I63" s="50">
        <v>40682.592361111114</v>
      </c>
      <c r="J63" s="58" t="s">
        <v>3210</v>
      </c>
      <c r="K63" s="4">
        <f t="shared" si="3"/>
        <v>13</v>
      </c>
      <c r="L63" s="4">
        <v>2</v>
      </c>
      <c r="M63" s="4">
        <v>13</v>
      </c>
      <c r="Q63">
        <v>8</v>
      </c>
      <c r="S63" s="8"/>
      <c r="T63" s="10"/>
    </row>
    <row r="64" spans="3:20">
      <c r="C64" s="3"/>
      <c r="F64" s="12">
        <v>30</v>
      </c>
      <c r="G64" s="67" t="s">
        <v>2572</v>
      </c>
      <c r="H64" s="7">
        <f t="shared" si="2"/>
        <v>8</v>
      </c>
      <c r="I64" s="50">
        <v>40682.714583333334</v>
      </c>
      <c r="J64" s="58" t="s">
        <v>2939</v>
      </c>
      <c r="K64" s="4">
        <f t="shared" si="3"/>
        <v>14</v>
      </c>
      <c r="L64" s="4">
        <v>2</v>
      </c>
      <c r="M64" s="4">
        <v>14</v>
      </c>
      <c r="Q64">
        <v>8</v>
      </c>
      <c r="S64" s="8"/>
      <c r="T64" s="10"/>
    </row>
    <row r="65" spans="3:20">
      <c r="C65" s="3"/>
      <c r="F65" s="12">
        <v>32</v>
      </c>
      <c r="G65" s="62" t="s">
        <v>2572</v>
      </c>
      <c r="H65" s="7">
        <f t="shared" si="2"/>
        <v>8</v>
      </c>
      <c r="I65" s="50">
        <v>40682.79791666667</v>
      </c>
      <c r="J65" s="58" t="s">
        <v>3303</v>
      </c>
      <c r="K65" s="4">
        <f t="shared" si="3"/>
        <v>15</v>
      </c>
      <c r="L65" s="4">
        <v>4</v>
      </c>
      <c r="M65" s="4">
        <v>15</v>
      </c>
      <c r="Q65">
        <v>8</v>
      </c>
      <c r="S65" s="8"/>
      <c r="T65" s="10"/>
    </row>
    <row r="66" spans="3:20">
      <c r="C66" s="3"/>
      <c r="F66" s="12">
        <v>35</v>
      </c>
      <c r="G66" s="67" t="s">
        <v>2572</v>
      </c>
      <c r="H66" s="7">
        <f t="shared" ref="H66:H79" si="4">LOOKUP(G66,$N$2:$N$9,$O$2:$O$9)</f>
        <v>8</v>
      </c>
      <c r="I66" s="50">
        <v>40694.797222222223</v>
      </c>
      <c r="J66" s="58" t="s">
        <v>3142</v>
      </c>
      <c r="K66" s="4">
        <f t="shared" ref="K66:K79" si="5">IF(Q66&gt;Q65,1,K65+1)</f>
        <v>16</v>
      </c>
      <c r="L66" s="4">
        <v>4</v>
      </c>
      <c r="M66" s="4">
        <v>16</v>
      </c>
      <c r="Q66">
        <v>8</v>
      </c>
      <c r="S66" s="8"/>
      <c r="T66" s="10"/>
    </row>
    <row r="67" spans="3:20">
      <c r="C67" s="3"/>
      <c r="F67" s="12">
        <v>36</v>
      </c>
      <c r="G67" s="62" t="s">
        <v>2572</v>
      </c>
      <c r="H67" s="7">
        <f t="shared" si="4"/>
        <v>8</v>
      </c>
      <c r="I67" s="50">
        <v>40694.801388888889</v>
      </c>
      <c r="J67" s="58" t="s">
        <v>3410</v>
      </c>
      <c r="K67" s="4">
        <f t="shared" si="5"/>
        <v>17</v>
      </c>
      <c r="L67" s="4">
        <v>3</v>
      </c>
      <c r="M67" s="4">
        <v>17</v>
      </c>
      <c r="Q67">
        <v>8</v>
      </c>
      <c r="S67" s="8"/>
      <c r="T67" s="10"/>
    </row>
    <row r="68" spans="3:20">
      <c r="C68" s="3"/>
      <c r="F68" s="12">
        <v>38</v>
      </c>
      <c r="G68" s="62" t="s">
        <v>2572</v>
      </c>
      <c r="H68" s="7">
        <f t="shared" si="4"/>
        <v>8</v>
      </c>
      <c r="I68" s="50">
        <v>40703.720833333333</v>
      </c>
      <c r="J68" s="58" t="s">
        <v>3260</v>
      </c>
      <c r="K68" s="4">
        <f t="shared" si="5"/>
        <v>18</v>
      </c>
      <c r="L68" s="4">
        <v>14</v>
      </c>
      <c r="M68" s="4">
        <v>18</v>
      </c>
      <c r="Q68">
        <v>8</v>
      </c>
      <c r="S68" s="8"/>
      <c r="T68" s="10"/>
    </row>
    <row r="69" spans="3:20">
      <c r="C69" s="3"/>
      <c r="F69" s="12">
        <v>43</v>
      </c>
      <c r="G69" s="67" t="s">
        <v>2572</v>
      </c>
      <c r="H69" s="7">
        <f t="shared" si="4"/>
        <v>8</v>
      </c>
      <c r="I69" s="50">
        <v>40708.459722222222</v>
      </c>
      <c r="J69" s="58" t="s">
        <v>2666</v>
      </c>
      <c r="K69" s="4">
        <f t="shared" si="5"/>
        <v>19</v>
      </c>
      <c r="L69" s="4">
        <v>10</v>
      </c>
      <c r="M69" s="4">
        <v>19</v>
      </c>
      <c r="Q69">
        <v>8</v>
      </c>
      <c r="S69" s="8"/>
      <c r="T69" s="10"/>
    </row>
    <row r="70" spans="3:20">
      <c r="C70" s="3"/>
      <c r="F70" s="12">
        <v>48</v>
      </c>
      <c r="G70" s="62" t="s">
        <v>2572</v>
      </c>
      <c r="H70" s="7">
        <f t="shared" si="4"/>
        <v>8</v>
      </c>
      <c r="I70" s="50">
        <v>40710.586805555555</v>
      </c>
      <c r="J70" s="58" t="s">
        <v>3527</v>
      </c>
      <c r="K70" s="4">
        <f t="shared" si="5"/>
        <v>20</v>
      </c>
      <c r="L70" s="4">
        <v>2</v>
      </c>
      <c r="M70" s="4">
        <v>20</v>
      </c>
      <c r="Q70">
        <v>8</v>
      </c>
      <c r="S70" s="8"/>
      <c r="T70" s="10"/>
    </row>
    <row r="71" spans="3:20">
      <c r="C71" s="3"/>
      <c r="F71" s="12">
        <v>50</v>
      </c>
      <c r="G71" s="62" t="s">
        <v>2572</v>
      </c>
      <c r="H71" s="7">
        <f t="shared" si="4"/>
        <v>8</v>
      </c>
      <c r="I71" s="50">
        <v>40717.543055555558</v>
      </c>
      <c r="J71" s="58" t="s">
        <v>2979</v>
      </c>
      <c r="K71" s="4">
        <f t="shared" si="5"/>
        <v>21</v>
      </c>
      <c r="L71" s="4">
        <v>4</v>
      </c>
      <c r="M71" s="4">
        <v>21</v>
      </c>
      <c r="Q71">
        <v>8</v>
      </c>
      <c r="S71" s="8"/>
      <c r="T71" s="10"/>
    </row>
    <row r="72" spans="3:20">
      <c r="C72" s="3"/>
      <c r="F72" s="12">
        <v>54</v>
      </c>
      <c r="G72" s="62" t="s">
        <v>2572</v>
      </c>
      <c r="H72" s="7">
        <f t="shared" si="4"/>
        <v>8</v>
      </c>
      <c r="I72" s="50">
        <v>40717.605555555558</v>
      </c>
      <c r="J72" s="58" t="s">
        <v>2721</v>
      </c>
      <c r="K72" s="4">
        <f t="shared" si="5"/>
        <v>22</v>
      </c>
      <c r="L72" s="4">
        <v>4</v>
      </c>
      <c r="M72" s="4">
        <v>22</v>
      </c>
      <c r="Q72">
        <v>8</v>
      </c>
      <c r="S72" s="8"/>
      <c r="T72" s="10"/>
    </row>
    <row r="73" spans="3:20">
      <c r="C73" s="3"/>
      <c r="F73" s="12">
        <v>56</v>
      </c>
      <c r="G73" s="62" t="s">
        <v>2572</v>
      </c>
      <c r="H73" s="7">
        <f t="shared" si="4"/>
        <v>8</v>
      </c>
      <c r="I73" s="50">
        <v>40736.720138888886</v>
      </c>
      <c r="J73" s="58" t="s">
        <v>3234</v>
      </c>
      <c r="K73" s="4">
        <f t="shared" si="5"/>
        <v>23</v>
      </c>
      <c r="L73" s="4">
        <v>8</v>
      </c>
      <c r="M73" s="4">
        <v>23</v>
      </c>
      <c r="Q73">
        <v>8</v>
      </c>
      <c r="S73" s="8"/>
      <c r="T73" s="10"/>
    </row>
    <row r="74" spans="3:20">
      <c r="C74" s="3"/>
      <c r="F74" s="12">
        <v>58</v>
      </c>
      <c r="G74" s="67" t="s">
        <v>2572</v>
      </c>
      <c r="H74" s="7">
        <f t="shared" si="4"/>
        <v>8</v>
      </c>
      <c r="I74" s="50">
        <v>40737.827777777777</v>
      </c>
      <c r="J74" s="58" t="s">
        <v>2687</v>
      </c>
      <c r="K74" s="4">
        <f t="shared" si="5"/>
        <v>24</v>
      </c>
      <c r="L74" s="4">
        <v>86</v>
      </c>
      <c r="M74" s="4">
        <v>24</v>
      </c>
      <c r="Q74">
        <v>8</v>
      </c>
      <c r="S74" s="8"/>
      <c r="T74" s="10"/>
    </row>
    <row r="75" spans="3:20">
      <c r="C75" s="3"/>
      <c r="F75" s="12">
        <v>63</v>
      </c>
      <c r="G75" s="62" t="s">
        <v>2572</v>
      </c>
      <c r="H75" s="7">
        <f t="shared" si="4"/>
        <v>8</v>
      </c>
      <c r="I75" s="50">
        <v>40738.752083333333</v>
      </c>
      <c r="J75" s="58" t="s">
        <v>2800</v>
      </c>
      <c r="K75" s="4">
        <f t="shared" si="5"/>
        <v>25</v>
      </c>
      <c r="L75" s="4">
        <v>2</v>
      </c>
      <c r="M75" s="4">
        <v>25</v>
      </c>
      <c r="Q75">
        <v>8</v>
      </c>
      <c r="S75" s="8"/>
      <c r="T75" s="10"/>
    </row>
    <row r="76" spans="3:20">
      <c r="C76" s="3"/>
      <c r="F76" s="12">
        <v>66</v>
      </c>
      <c r="G76" s="67" t="s">
        <v>2572</v>
      </c>
      <c r="H76" s="7">
        <f t="shared" si="4"/>
        <v>8</v>
      </c>
      <c r="I76" s="50">
        <v>40740.382638888892</v>
      </c>
      <c r="J76" s="58" t="s">
        <v>2778</v>
      </c>
      <c r="K76" s="4">
        <f t="shared" si="5"/>
        <v>26</v>
      </c>
      <c r="L76" s="4">
        <v>2</v>
      </c>
      <c r="M76" s="4">
        <v>26</v>
      </c>
      <c r="Q76">
        <v>8</v>
      </c>
      <c r="S76" s="8"/>
      <c r="T76" s="10"/>
    </row>
    <row r="77" spans="3:20">
      <c r="C77" s="3"/>
      <c r="F77" s="12">
        <v>67</v>
      </c>
      <c r="G77" s="62" t="s">
        <v>2572</v>
      </c>
      <c r="H77" s="7">
        <f t="shared" si="4"/>
        <v>8</v>
      </c>
      <c r="I77" s="50">
        <v>40746.725694444445</v>
      </c>
      <c r="J77" s="58" t="s">
        <v>3003</v>
      </c>
      <c r="K77" s="4">
        <f t="shared" si="5"/>
        <v>27</v>
      </c>
      <c r="L77" s="4">
        <v>2</v>
      </c>
      <c r="M77" s="4">
        <v>27</v>
      </c>
      <c r="Q77">
        <v>8</v>
      </c>
      <c r="S77" s="8"/>
      <c r="T77" s="10"/>
    </row>
    <row r="78" spans="3:20">
      <c r="C78" s="3"/>
      <c r="F78" s="12">
        <v>70</v>
      </c>
      <c r="G78" s="67" t="s">
        <v>2572</v>
      </c>
      <c r="H78" s="7">
        <f t="shared" si="4"/>
        <v>8</v>
      </c>
      <c r="I78" s="50">
        <v>40750.68472222222</v>
      </c>
      <c r="J78" s="58" t="s">
        <v>3414</v>
      </c>
      <c r="K78" s="4">
        <f t="shared" si="5"/>
        <v>28</v>
      </c>
      <c r="L78" s="4">
        <v>2</v>
      </c>
      <c r="M78" s="4">
        <v>28</v>
      </c>
      <c r="Q78">
        <v>8</v>
      </c>
      <c r="S78" s="8"/>
      <c r="T78" s="10"/>
    </row>
    <row r="79" spans="3:20">
      <c r="C79" s="3"/>
      <c r="F79" s="12">
        <v>72</v>
      </c>
      <c r="G79" s="67" t="s">
        <v>2572</v>
      </c>
      <c r="H79" s="7">
        <f t="shared" si="4"/>
        <v>8</v>
      </c>
      <c r="I79" s="50">
        <v>40752.459027777775</v>
      </c>
      <c r="J79" s="58" t="s">
        <v>3181</v>
      </c>
      <c r="K79" s="4">
        <f t="shared" si="5"/>
        <v>29</v>
      </c>
      <c r="L79" s="4">
        <v>3</v>
      </c>
      <c r="M79" s="4">
        <v>29</v>
      </c>
      <c r="Q79">
        <v>8</v>
      </c>
      <c r="S79" s="8"/>
      <c r="T79" s="10"/>
    </row>
    <row r="80" spans="3:20">
      <c r="C80" s="3"/>
      <c r="G80" s="39"/>
      <c r="H80" s="43"/>
      <c r="I80" s="3"/>
      <c r="L80" s="4">
        <f>AVERAGE(L2:L79)</f>
        <v>7.8974358974358978</v>
      </c>
      <c r="S80" s="8"/>
      <c r="T80" s="10"/>
    </row>
    <row r="81" spans="3:20">
      <c r="C81" s="3"/>
      <c r="G81" s="40"/>
      <c r="H81" s="43"/>
      <c r="I81" s="3"/>
      <c r="S81" s="8"/>
      <c r="T81" s="10"/>
    </row>
    <row r="82" spans="3:20">
      <c r="C82" s="3"/>
      <c r="D82" s="1"/>
      <c r="G82" s="39"/>
      <c r="H82" s="43"/>
      <c r="I82" s="3"/>
      <c r="S82" s="8"/>
      <c r="T82" s="10"/>
    </row>
    <row r="83" spans="3:20">
      <c r="C83" s="3"/>
      <c r="G83" s="40"/>
      <c r="H83" s="43"/>
      <c r="I83" s="3"/>
      <c r="S83" s="8"/>
      <c r="T83" s="10"/>
    </row>
    <row r="84" spans="3:20">
      <c r="C84" s="3"/>
      <c r="G84" s="39"/>
      <c r="H84" s="43"/>
      <c r="I84" s="3"/>
      <c r="J84" s="8" t="s">
        <v>1873</v>
      </c>
      <c r="K84" s="4">
        <f>78/8</f>
        <v>9.75</v>
      </c>
      <c r="S84" s="8"/>
      <c r="T84" s="10"/>
    </row>
    <row r="85" spans="3:20">
      <c r="C85" s="3"/>
      <c r="G85" s="39"/>
      <c r="H85" s="43"/>
      <c r="I85" s="3"/>
      <c r="S85" s="8"/>
      <c r="T85" s="10"/>
    </row>
    <row r="86" spans="3:20">
      <c r="C86" s="3"/>
      <c r="G86" s="40"/>
      <c r="H86" s="43"/>
      <c r="I86" s="3"/>
      <c r="S86" s="8"/>
    </row>
    <row r="87" spans="3:20">
      <c r="C87" s="3"/>
      <c r="G87" s="40"/>
      <c r="H87" s="43"/>
      <c r="I87" s="3"/>
      <c r="S87" s="8"/>
      <c r="T87" s="10"/>
    </row>
    <row r="88" spans="3:20">
      <c r="C88" s="3"/>
      <c r="G88" s="40"/>
      <c r="H88" s="43"/>
      <c r="I88" s="3"/>
      <c r="S88" s="8"/>
      <c r="T88" s="10"/>
    </row>
    <row r="89" spans="3:20">
      <c r="C89" s="3"/>
      <c r="G89" s="40"/>
      <c r="H89" s="43"/>
      <c r="I89" s="3"/>
      <c r="S89" s="8"/>
      <c r="T89" s="10"/>
    </row>
    <row r="90" spans="3:20">
      <c r="C90" s="3"/>
      <c r="G90" s="40"/>
      <c r="H90" s="43"/>
      <c r="I90" s="3"/>
      <c r="S90" s="8"/>
      <c r="T90" s="10"/>
    </row>
    <row r="91" spans="3:20">
      <c r="C91" s="3"/>
      <c r="G91" s="40"/>
      <c r="H91" s="43"/>
      <c r="I91" s="3"/>
      <c r="S91" s="8"/>
      <c r="T91" s="10"/>
    </row>
    <row r="92" spans="3:20">
      <c r="C92" s="3"/>
      <c r="G92" s="39"/>
      <c r="H92" s="43"/>
      <c r="I92" s="3"/>
      <c r="S92" s="8"/>
      <c r="T92" s="10"/>
    </row>
    <row r="93" spans="3:20">
      <c r="C93" s="3"/>
      <c r="G93" s="40"/>
      <c r="H93" s="43"/>
      <c r="I93" s="3"/>
      <c r="S93" s="8"/>
      <c r="T93" s="10"/>
    </row>
    <row r="94" spans="3:20">
      <c r="C94" s="3"/>
      <c r="G94" s="40"/>
      <c r="H94" s="43"/>
      <c r="I94" s="3"/>
      <c r="S94" s="8"/>
      <c r="T94" s="10"/>
    </row>
    <row r="95" spans="3:20">
      <c r="C95" s="3"/>
      <c r="G95" s="40"/>
      <c r="H95" s="43"/>
      <c r="I95" s="3"/>
      <c r="S95" s="8"/>
      <c r="T95" s="10"/>
    </row>
    <row r="96" spans="3:20">
      <c r="C96" s="3"/>
      <c r="G96" s="40"/>
      <c r="H96" s="43"/>
      <c r="I96" s="3"/>
      <c r="S96" s="8"/>
      <c r="T96" s="10"/>
    </row>
    <row r="97" spans="3:20">
      <c r="C97" s="3"/>
      <c r="G97" s="39"/>
      <c r="H97" s="43"/>
      <c r="I97" s="3"/>
      <c r="S97" s="8"/>
      <c r="T97" s="10"/>
    </row>
    <row r="98" spans="3:20">
      <c r="C98" s="3"/>
      <c r="G98" s="40"/>
      <c r="H98" s="43"/>
      <c r="I98" s="3"/>
      <c r="S98" s="8"/>
      <c r="T98" s="10"/>
    </row>
    <row r="99" spans="3:20">
      <c r="C99" s="3"/>
      <c r="G99" s="40"/>
      <c r="H99" s="43"/>
      <c r="I99" s="3"/>
      <c r="S99" s="8"/>
      <c r="T99" s="10"/>
    </row>
    <row r="100" spans="3:20">
      <c r="C100" s="3"/>
      <c r="G100" s="40"/>
      <c r="H100" s="43"/>
      <c r="I100" s="3"/>
      <c r="S100" s="8"/>
      <c r="T100" s="10"/>
    </row>
    <row r="101" spans="3:20">
      <c r="C101" s="3"/>
      <c r="G101" s="39"/>
      <c r="H101" s="43"/>
      <c r="I101" s="3"/>
      <c r="S101" s="8"/>
      <c r="T101" s="10"/>
    </row>
    <row r="102" spans="3:20">
      <c r="C102" s="3"/>
      <c r="G102" s="40"/>
      <c r="H102" s="43"/>
      <c r="I102" s="3"/>
      <c r="S102" s="8"/>
      <c r="T102" s="10"/>
    </row>
    <row r="103" spans="3:20">
      <c r="C103" s="3"/>
      <c r="G103" s="40"/>
      <c r="H103" s="43"/>
      <c r="I103" s="3"/>
      <c r="S103" s="8"/>
      <c r="T103" s="10"/>
    </row>
    <row r="104" spans="3:20">
      <c r="C104" s="3"/>
      <c r="G104" s="39"/>
      <c r="H104" s="43"/>
      <c r="I104" s="3"/>
      <c r="S104" s="8"/>
      <c r="T104" s="10"/>
    </row>
    <row r="105" spans="3:20">
      <c r="C105" s="3"/>
      <c r="G105" s="40"/>
      <c r="H105" s="43"/>
      <c r="I105" s="3"/>
      <c r="S105" s="8"/>
      <c r="T105" s="10"/>
    </row>
    <row r="106" spans="3:20">
      <c r="C106" s="3"/>
      <c r="G106" s="40"/>
      <c r="H106" s="43"/>
      <c r="I106" s="3"/>
      <c r="S106" s="8"/>
      <c r="T106" s="10"/>
    </row>
    <row r="107" spans="3:20">
      <c r="C107" s="3"/>
      <c r="G107" s="39"/>
      <c r="H107" s="43"/>
      <c r="I107" s="3"/>
      <c r="S107" s="8"/>
      <c r="T107" s="10"/>
    </row>
    <row r="108" spans="3:20">
      <c r="C108" s="3"/>
      <c r="G108" s="39"/>
      <c r="H108" s="43"/>
      <c r="I108" s="3"/>
      <c r="S108" s="8"/>
      <c r="T108" s="10"/>
    </row>
    <row r="109" spans="3:20">
      <c r="C109" s="3"/>
      <c r="G109" s="40"/>
      <c r="H109" s="43"/>
      <c r="I109" s="3"/>
      <c r="S109" s="8"/>
      <c r="T109" s="10"/>
    </row>
    <row r="110" spans="3:20">
      <c r="C110" s="3"/>
      <c r="G110" s="39"/>
      <c r="H110" s="43"/>
      <c r="I110" s="3"/>
      <c r="S110" s="8"/>
      <c r="T110" s="10"/>
    </row>
    <row r="111" spans="3:20">
      <c r="C111" s="3"/>
      <c r="G111" s="40"/>
      <c r="H111" s="43"/>
      <c r="I111" s="3"/>
      <c r="S111" s="8"/>
      <c r="T111" s="10"/>
    </row>
    <row r="112" spans="3:20">
      <c r="C112" s="3"/>
      <c r="G112" s="39"/>
      <c r="H112" s="43"/>
      <c r="I112" s="3"/>
      <c r="S112" s="8"/>
      <c r="T112" s="10"/>
    </row>
    <row r="113" spans="3:20">
      <c r="C113" s="3"/>
      <c r="G113" s="39"/>
      <c r="H113" s="43"/>
      <c r="I113" s="3"/>
      <c r="S113" s="8"/>
      <c r="T113" s="10"/>
    </row>
    <row r="114" spans="3:20">
      <c r="C114" s="3"/>
      <c r="G114" s="40"/>
      <c r="H114" s="43"/>
      <c r="I114" s="3"/>
      <c r="S114" s="8"/>
      <c r="T114" s="10"/>
    </row>
    <row r="115" spans="3:20">
      <c r="C115" s="3"/>
      <c r="G115" s="40"/>
      <c r="H115" s="43"/>
      <c r="I115" s="3"/>
      <c r="S115" s="8"/>
      <c r="T115" s="10"/>
    </row>
    <row r="116" spans="3:20">
      <c r="C116" s="3"/>
      <c r="G116" s="39"/>
      <c r="H116" s="43"/>
      <c r="I116" s="3"/>
      <c r="S116" s="8"/>
      <c r="T116" s="10"/>
    </row>
    <row r="117" spans="3:20">
      <c r="C117" s="3"/>
      <c r="G117" s="40"/>
      <c r="H117" s="43"/>
      <c r="I117" s="3"/>
      <c r="S117" s="8"/>
      <c r="T117" s="10"/>
    </row>
    <row r="118" spans="3:20">
      <c r="C118" s="3"/>
      <c r="G118" s="40"/>
      <c r="H118" s="43"/>
      <c r="I118" s="3"/>
      <c r="S118" s="8"/>
      <c r="T118" s="10"/>
    </row>
    <row r="119" spans="3:20">
      <c r="C119" s="3"/>
      <c r="G119" s="39"/>
      <c r="H119" s="43"/>
      <c r="I119" s="3"/>
      <c r="S119" s="8"/>
      <c r="T119" s="10"/>
    </row>
    <row r="120" spans="3:20">
      <c r="C120" s="3"/>
      <c r="G120" s="39"/>
      <c r="H120" s="43"/>
      <c r="I120" s="3"/>
      <c r="S120" s="8"/>
      <c r="T120" s="10"/>
    </row>
    <row r="121" spans="3:20">
      <c r="C121" s="3"/>
      <c r="G121" s="40"/>
      <c r="H121" s="43"/>
      <c r="I121" s="3"/>
      <c r="S121" s="8"/>
      <c r="T121" s="10"/>
    </row>
    <row r="122" spans="3:20">
      <c r="C122" s="3"/>
      <c r="G122" s="39"/>
      <c r="H122" s="43"/>
      <c r="I122" s="3"/>
      <c r="S122" s="8"/>
      <c r="T122" s="10"/>
    </row>
    <row r="123" spans="3:20">
      <c r="C123" s="3"/>
      <c r="G123" s="40"/>
      <c r="H123" s="43"/>
      <c r="I123" s="3"/>
      <c r="S123" s="8"/>
      <c r="T123" s="10"/>
    </row>
    <row r="124" spans="3:20">
      <c r="C124" s="3"/>
      <c r="G124" s="39"/>
      <c r="H124" s="43"/>
      <c r="I124" s="3"/>
      <c r="S124" s="8"/>
      <c r="T124" s="10"/>
    </row>
    <row r="125" spans="3:20">
      <c r="C125" s="3"/>
      <c r="G125" s="42"/>
      <c r="H125" s="43"/>
      <c r="I125" s="3"/>
      <c r="S125" s="8"/>
      <c r="T125" s="10"/>
    </row>
    <row r="126" spans="3:20">
      <c r="C126" s="3"/>
      <c r="G126" s="42"/>
      <c r="H126" s="43"/>
      <c r="I126" s="3"/>
      <c r="S126" s="8"/>
      <c r="T126" s="10"/>
    </row>
    <row r="127" spans="3:20">
      <c r="C127" s="3"/>
      <c r="G127" s="41"/>
      <c r="H127" s="43"/>
      <c r="I127" s="3"/>
      <c r="S127" s="8"/>
      <c r="T127" s="10"/>
    </row>
    <row r="128" spans="3:20">
      <c r="C128" s="3"/>
      <c r="G128" s="40"/>
      <c r="H128" s="43"/>
      <c r="I128" s="3"/>
      <c r="S128" s="8"/>
      <c r="T128" s="10"/>
    </row>
    <row r="129" spans="3:20">
      <c r="C129" s="3"/>
      <c r="G129" s="40"/>
      <c r="H129" s="43"/>
      <c r="I129" s="3"/>
      <c r="S129" s="8"/>
      <c r="T129" s="10"/>
    </row>
    <row r="130" spans="3:20">
      <c r="C130" s="3"/>
      <c r="G130" s="39"/>
      <c r="H130" s="43"/>
      <c r="I130" s="3"/>
      <c r="S130" s="8"/>
      <c r="T130" s="10"/>
    </row>
    <row r="131" spans="3:20">
      <c r="C131" s="3"/>
      <c r="G131" s="40"/>
      <c r="H131" s="43"/>
      <c r="I131" s="3"/>
      <c r="S131" s="8"/>
      <c r="T131" s="10"/>
    </row>
    <row r="132" spans="3:20">
      <c r="C132" s="3"/>
      <c r="G132" s="40"/>
      <c r="H132" s="43"/>
      <c r="I132" s="3"/>
      <c r="S132" s="8"/>
      <c r="T132" s="10"/>
    </row>
    <row r="133" spans="3:20">
      <c r="C133" s="3"/>
      <c r="G133" s="40"/>
      <c r="H133" s="43"/>
      <c r="I133" s="3"/>
      <c r="S133" s="8"/>
      <c r="T133" s="10"/>
    </row>
    <row r="134" spans="3:20">
      <c r="C134" s="3"/>
      <c r="G134" s="40"/>
      <c r="H134" s="43"/>
      <c r="I134" s="3"/>
      <c r="S134" s="8"/>
      <c r="T134" s="10"/>
    </row>
    <row r="135" spans="3:20">
      <c r="C135" s="3"/>
      <c r="G135" s="40"/>
      <c r="H135" s="43"/>
      <c r="I135" s="3"/>
      <c r="S135" s="8"/>
      <c r="T135" s="10"/>
    </row>
    <row r="136" spans="3:20">
      <c r="C136" s="3"/>
      <c r="G136" s="39"/>
      <c r="H136" s="43"/>
      <c r="I136" s="3"/>
      <c r="S136" s="8"/>
      <c r="T136" s="10"/>
    </row>
    <row r="137" spans="3:20">
      <c r="C137" s="3"/>
      <c r="G137" s="40"/>
      <c r="H137" s="43"/>
      <c r="I137" s="3"/>
      <c r="S137" s="8"/>
      <c r="T137" s="10"/>
    </row>
    <row r="138" spans="3:20">
      <c r="C138" s="3"/>
      <c r="G138" s="39"/>
      <c r="H138" s="43"/>
      <c r="I138" s="3"/>
      <c r="S138" s="8"/>
      <c r="T138" s="10"/>
    </row>
    <row r="139" spans="3:20">
      <c r="C139" s="3"/>
      <c r="G139" s="39"/>
      <c r="H139" s="43"/>
      <c r="I139" s="3"/>
      <c r="S139" s="8"/>
      <c r="T139" s="10"/>
    </row>
    <row r="140" spans="3:20">
      <c r="C140" s="3"/>
      <c r="G140" s="40"/>
      <c r="H140" s="43"/>
      <c r="I140" s="3"/>
      <c r="S140" s="8"/>
      <c r="T140" s="10"/>
    </row>
    <row r="141" spans="3:20">
      <c r="C141" s="3"/>
      <c r="G141" s="40"/>
      <c r="H141" s="43"/>
      <c r="I141" s="3"/>
      <c r="S141" s="8"/>
      <c r="T141" s="10"/>
    </row>
    <row r="142" spans="3:20">
      <c r="C142" s="3"/>
      <c r="G142" s="40"/>
      <c r="H142" s="43"/>
      <c r="I142" s="3"/>
      <c r="S142" s="8"/>
      <c r="T142" s="10"/>
    </row>
    <row r="143" spans="3:20">
      <c r="C143" s="3"/>
      <c r="G143" s="40"/>
      <c r="H143" s="43"/>
      <c r="I143" s="3"/>
      <c r="S143" s="8"/>
      <c r="T143" s="10"/>
    </row>
    <row r="144" spans="3:20">
      <c r="C144" s="3"/>
      <c r="D144" s="1"/>
      <c r="G144" s="40"/>
      <c r="H144" s="43"/>
      <c r="I144" s="3"/>
      <c r="S144" s="8"/>
      <c r="T144" s="10"/>
    </row>
    <row r="145" spans="3:20">
      <c r="C145" s="3"/>
      <c r="G145" s="40"/>
      <c r="H145" s="43"/>
      <c r="I145" s="3"/>
      <c r="S145" s="8"/>
      <c r="T145" s="10"/>
    </row>
    <row r="146" spans="3:20">
      <c r="C146" s="3"/>
      <c r="G146" s="40"/>
      <c r="H146" s="43"/>
      <c r="I146" s="3"/>
      <c r="S146" s="8"/>
      <c r="T146" s="10"/>
    </row>
    <row r="147" spans="3:20">
      <c r="C147" s="3"/>
      <c r="G147" s="40"/>
      <c r="H147" s="43"/>
      <c r="I147" s="3"/>
      <c r="S147" s="8"/>
      <c r="T147" s="10"/>
    </row>
    <row r="148" spans="3:20">
      <c r="C148" s="3"/>
      <c r="G148" s="39"/>
      <c r="H148" s="43"/>
      <c r="I148" s="3"/>
      <c r="S148" s="8"/>
      <c r="T148" s="10"/>
    </row>
    <row r="149" spans="3:20">
      <c r="C149" s="3"/>
      <c r="G149" s="40"/>
      <c r="H149" s="43"/>
      <c r="I149" s="3"/>
      <c r="S149" s="8"/>
      <c r="T149" s="10"/>
    </row>
    <row r="150" spans="3:20">
      <c r="C150" s="3"/>
      <c r="G150" s="39"/>
      <c r="H150" s="43"/>
      <c r="I150" s="3"/>
      <c r="S150" s="8"/>
      <c r="T150" s="10"/>
    </row>
    <row r="151" spans="3:20">
      <c r="C151" s="3"/>
      <c r="G151" s="40"/>
      <c r="H151" s="43"/>
      <c r="I151" s="3"/>
      <c r="S151" s="8"/>
      <c r="T151" s="10"/>
    </row>
    <row r="152" spans="3:20">
      <c r="C152" s="3"/>
      <c r="G152" s="39"/>
      <c r="H152" s="43"/>
      <c r="I152" s="3"/>
      <c r="S152" s="8"/>
      <c r="T152" s="10"/>
    </row>
    <row r="153" spans="3:20">
      <c r="C153" s="3"/>
      <c r="G153" s="39"/>
      <c r="H153" s="43"/>
      <c r="I153" s="3"/>
      <c r="S153" s="8"/>
      <c r="T153" s="10"/>
    </row>
    <row r="154" spans="3:20">
      <c r="C154" s="3"/>
      <c r="G154" s="40"/>
      <c r="H154" s="43"/>
      <c r="I154" s="3"/>
      <c r="S154" s="8"/>
      <c r="T154" s="10"/>
    </row>
    <row r="155" spans="3:20">
      <c r="C155" s="3"/>
      <c r="G155" s="40"/>
      <c r="H155" s="43"/>
      <c r="I155" s="3"/>
      <c r="S155" s="8"/>
      <c r="T155" s="10"/>
    </row>
    <row r="156" spans="3:20">
      <c r="C156" s="3"/>
      <c r="G156" s="39"/>
      <c r="H156" s="43"/>
      <c r="I156" s="3"/>
      <c r="S156" s="8"/>
      <c r="T156" s="10"/>
    </row>
    <row r="157" spans="3:20">
      <c r="C157" s="3"/>
      <c r="G157" s="39"/>
      <c r="H157" s="43"/>
      <c r="I157" s="3"/>
      <c r="S157" s="8"/>
      <c r="T157" s="10"/>
    </row>
    <row r="158" spans="3:20">
      <c r="C158" s="3"/>
      <c r="G158" s="39"/>
      <c r="H158" s="43"/>
      <c r="I158" s="3"/>
      <c r="S158" s="8"/>
      <c r="T158" s="10"/>
    </row>
    <row r="159" spans="3:20">
      <c r="C159" s="3"/>
      <c r="G159" s="40"/>
      <c r="H159" s="43"/>
      <c r="I159" s="3"/>
      <c r="S159" s="8"/>
      <c r="T159" s="10"/>
    </row>
    <row r="160" spans="3:20">
      <c r="C160" s="3"/>
      <c r="G160" s="39"/>
      <c r="H160" s="43"/>
      <c r="I160" s="3"/>
      <c r="S160" s="8"/>
      <c r="T160" s="10"/>
    </row>
    <row r="161" spans="3:20">
      <c r="C161" s="3"/>
      <c r="G161" s="40"/>
      <c r="H161" s="43"/>
      <c r="I161" s="3"/>
      <c r="S161" s="8"/>
      <c r="T161" s="10"/>
    </row>
    <row r="162" spans="3:20">
      <c r="C162" s="3"/>
      <c r="G162" s="40"/>
      <c r="H162" s="43"/>
      <c r="I162" s="3"/>
      <c r="S162" s="8"/>
      <c r="T162" s="10"/>
    </row>
    <row r="163" spans="3:20">
      <c r="C163" s="3"/>
      <c r="G163" s="39"/>
      <c r="H163" s="43"/>
      <c r="I163" s="3"/>
      <c r="S163" s="8"/>
      <c r="T163" s="10"/>
    </row>
    <row r="164" spans="3:20">
      <c r="C164" s="3"/>
      <c r="G164" s="39"/>
      <c r="H164" s="43"/>
      <c r="I164" s="3"/>
      <c r="S164" s="8"/>
      <c r="T164" s="10"/>
    </row>
    <row r="165" spans="3:20">
      <c r="C165" s="3"/>
      <c r="G165" s="41"/>
      <c r="H165" s="43"/>
      <c r="I165" s="3"/>
      <c r="S165" s="8"/>
      <c r="T165" s="10"/>
    </row>
    <row r="166" spans="3:20">
      <c r="C166" s="3"/>
      <c r="G166" s="39"/>
      <c r="H166" s="43"/>
      <c r="I166" s="3"/>
      <c r="S166" s="8"/>
      <c r="T166" s="10"/>
    </row>
    <row r="167" spans="3:20">
      <c r="C167" s="3"/>
      <c r="G167" s="39"/>
      <c r="H167" s="43"/>
      <c r="I167" s="3"/>
      <c r="S167" s="8"/>
      <c r="T167" s="10"/>
    </row>
    <row r="168" spans="3:20">
      <c r="C168" s="3"/>
      <c r="G168" s="41"/>
      <c r="H168" s="43"/>
      <c r="I168" s="3"/>
      <c r="S168" s="8"/>
      <c r="T168" s="10"/>
    </row>
    <row r="169" spans="3:20">
      <c r="C169" s="3"/>
      <c r="G169" s="40"/>
      <c r="H169" s="43"/>
      <c r="I169" s="3"/>
      <c r="S169" s="8"/>
      <c r="T169" s="10"/>
    </row>
    <row r="170" spans="3:20">
      <c r="C170" s="3"/>
      <c r="G170" s="40"/>
      <c r="H170" s="43"/>
      <c r="I170" s="3"/>
      <c r="S170" s="8"/>
      <c r="T170" s="10"/>
    </row>
    <row r="171" spans="3:20">
      <c r="C171" s="3"/>
      <c r="G171" s="40"/>
      <c r="H171" s="43"/>
      <c r="I171" s="3"/>
      <c r="S171" s="8"/>
      <c r="T171" s="10"/>
    </row>
    <row r="172" spans="3:20">
      <c r="C172" s="3"/>
      <c r="G172" s="39"/>
      <c r="H172" s="43"/>
      <c r="I172" s="3"/>
      <c r="S172" s="8"/>
      <c r="T172" s="10"/>
    </row>
    <row r="173" spans="3:20">
      <c r="C173" s="3"/>
      <c r="G173" s="39"/>
      <c r="H173" s="43"/>
      <c r="I173" s="3"/>
      <c r="S173" s="8"/>
      <c r="T173" s="10"/>
    </row>
    <row r="174" spans="3:20">
      <c r="C174" s="3"/>
      <c r="G174" s="40"/>
      <c r="H174" s="43"/>
      <c r="I174" s="3"/>
      <c r="S174" s="8"/>
      <c r="T174" s="10"/>
    </row>
    <row r="175" spans="3:20">
      <c r="C175" s="3"/>
      <c r="G175" s="39"/>
      <c r="H175" s="43"/>
      <c r="I175" s="3"/>
      <c r="S175" s="8"/>
      <c r="T175" s="10"/>
    </row>
    <row r="176" spans="3:20">
      <c r="C176" s="3"/>
      <c r="G176" s="39"/>
      <c r="H176" s="43"/>
      <c r="I176" s="3"/>
      <c r="S176" s="8"/>
      <c r="T176" s="10"/>
    </row>
    <row r="177" spans="3:20">
      <c r="C177" s="3"/>
      <c r="G177" s="40"/>
      <c r="H177" s="43"/>
      <c r="I177" s="3"/>
      <c r="S177" s="8"/>
      <c r="T177" s="10"/>
    </row>
    <row r="178" spans="3:20">
      <c r="C178" s="3"/>
      <c r="G178" s="40"/>
      <c r="H178" s="43"/>
      <c r="I178" s="3"/>
      <c r="S178" s="8"/>
      <c r="T178" s="10"/>
    </row>
    <row r="179" spans="3:20">
      <c r="C179" s="3"/>
      <c r="G179" s="40"/>
      <c r="H179" s="43"/>
      <c r="I179" s="3"/>
      <c r="S179" s="8"/>
      <c r="T179" s="10"/>
    </row>
    <row r="180" spans="3:20">
      <c r="C180" s="3"/>
      <c r="G180" s="40"/>
      <c r="H180" s="43"/>
      <c r="I180" s="3"/>
      <c r="S180" s="8"/>
      <c r="T180" s="10"/>
    </row>
    <row r="181" spans="3:20">
      <c r="C181" s="3"/>
      <c r="G181" s="39"/>
      <c r="H181" s="43"/>
      <c r="I181" s="3"/>
      <c r="S181" s="8"/>
      <c r="T181" s="10"/>
    </row>
    <row r="182" spans="3:20">
      <c r="C182" s="3"/>
      <c r="G182" s="39"/>
      <c r="H182" s="43"/>
      <c r="I182" s="3"/>
      <c r="S182" s="8"/>
      <c r="T182" s="10"/>
    </row>
    <row r="183" spans="3:20">
      <c r="C183" s="3"/>
      <c r="G183" s="39"/>
      <c r="H183" s="43"/>
      <c r="I183" s="3"/>
      <c r="S183" s="8"/>
      <c r="T183" s="10"/>
    </row>
    <row r="184" spans="3:20">
      <c r="C184" s="3"/>
      <c r="G184" s="40"/>
      <c r="H184" s="43"/>
      <c r="I184" s="3"/>
      <c r="S184" s="8"/>
      <c r="T184" s="10"/>
    </row>
    <row r="185" spans="3:20">
      <c r="C185" s="3"/>
      <c r="G185" s="40"/>
      <c r="H185" s="43"/>
      <c r="I185" s="3"/>
      <c r="S185" s="8"/>
      <c r="T185" s="10"/>
    </row>
    <row r="186" spans="3:20">
      <c r="C186" s="3"/>
      <c r="G186" s="40"/>
      <c r="H186" s="43"/>
      <c r="I186" s="3"/>
      <c r="S186" s="8"/>
      <c r="T186" s="10"/>
    </row>
    <row r="187" spans="3:20">
      <c r="C187" s="3"/>
      <c r="G187" s="40"/>
      <c r="H187" s="43"/>
      <c r="I187" s="3"/>
      <c r="S187" s="8"/>
      <c r="T187" s="10"/>
    </row>
    <row r="188" spans="3:20">
      <c r="C188" s="3"/>
      <c r="G188" s="39"/>
      <c r="H188" s="43"/>
      <c r="I188" s="3"/>
      <c r="S188" s="8"/>
      <c r="T188" s="10"/>
    </row>
    <row r="189" spans="3:20">
      <c r="C189" s="3"/>
      <c r="G189" s="39"/>
      <c r="H189" s="43"/>
      <c r="I189" s="3"/>
      <c r="S189" s="8"/>
      <c r="T189" s="10"/>
    </row>
    <row r="190" spans="3:20">
      <c r="C190" s="3"/>
      <c r="G190" s="42"/>
      <c r="H190" s="43"/>
      <c r="I190" s="3"/>
      <c r="S190" s="8"/>
      <c r="T190" s="10"/>
    </row>
    <row r="191" spans="3:20">
      <c r="C191" s="3"/>
      <c r="G191" s="44"/>
      <c r="H191" s="43"/>
      <c r="I191" s="3"/>
      <c r="S191" s="8"/>
      <c r="T191" s="10"/>
    </row>
    <row r="192" spans="3:20">
      <c r="C192" s="3"/>
      <c r="G192" s="44"/>
      <c r="H192" s="43"/>
      <c r="I192" s="3"/>
      <c r="S192" s="8"/>
      <c r="T192" s="10"/>
    </row>
    <row r="193" spans="3:20">
      <c r="C193" s="3"/>
      <c r="G193" s="44"/>
      <c r="H193" s="43"/>
      <c r="I193" s="3"/>
      <c r="S193" s="8"/>
      <c r="T193" s="10"/>
    </row>
    <row r="194" spans="3:20">
      <c r="C194" s="3"/>
      <c r="G194" s="8"/>
      <c r="H194" s="7"/>
      <c r="I194" s="3"/>
      <c r="S194" s="8"/>
      <c r="T194" s="10"/>
    </row>
    <row r="195" spans="3:20">
      <c r="C195" s="3"/>
      <c r="G195" s="8"/>
      <c r="H195" s="7"/>
      <c r="I195" s="3"/>
      <c r="S195" s="8"/>
      <c r="T195" s="10"/>
    </row>
    <row r="196" spans="3:20">
      <c r="C196" s="3"/>
      <c r="G196" s="8"/>
      <c r="H196" s="7"/>
      <c r="I196" s="3"/>
    </row>
    <row r="197" spans="3:20">
      <c r="C197" s="3"/>
      <c r="G197" s="8"/>
      <c r="H197" s="7"/>
      <c r="I197" s="3"/>
    </row>
    <row r="198" spans="3:20">
      <c r="C198" s="3"/>
      <c r="G198" s="8"/>
      <c r="H198" s="7"/>
      <c r="I198" s="3"/>
    </row>
    <row r="199" spans="3:20">
      <c r="C199" s="3"/>
      <c r="G199" s="8"/>
      <c r="H199" s="7"/>
      <c r="I199" s="3"/>
    </row>
    <row r="200" spans="3:20">
      <c r="C200" s="3"/>
      <c r="G200" s="8"/>
      <c r="H200" s="7"/>
      <c r="I200" s="3"/>
    </row>
    <row r="201" spans="3:20">
      <c r="C201" s="3"/>
      <c r="G201" s="8"/>
      <c r="H201" s="7"/>
      <c r="I201" s="3"/>
    </row>
    <row r="202" spans="3:20">
      <c r="G202" s="8"/>
      <c r="H202" s="7"/>
      <c r="I202" s="3"/>
    </row>
    <row r="203" spans="3:20">
      <c r="G203" s="8"/>
      <c r="H203" s="7"/>
      <c r="I203" s="3"/>
    </row>
    <row r="204" spans="3:20">
      <c r="G204" s="8"/>
      <c r="H204" s="7"/>
      <c r="I204" s="3"/>
    </row>
    <row r="205" spans="3:20">
      <c r="G205" s="8"/>
      <c r="H205" s="7"/>
      <c r="I205" s="3"/>
    </row>
    <row r="206" spans="3:20">
      <c r="G206" s="8"/>
      <c r="H206" s="7"/>
      <c r="I206" s="3"/>
    </row>
    <row r="207" spans="3:20">
      <c r="G207" s="8"/>
      <c r="H207" s="7"/>
      <c r="I207" s="3"/>
    </row>
    <row r="208" spans="3:20">
      <c r="G208" s="8"/>
      <c r="H208" s="7"/>
      <c r="I208" s="3"/>
    </row>
    <row r="209" spans="7:9">
      <c r="G209" s="8"/>
      <c r="H209" s="7"/>
      <c r="I209" s="3"/>
    </row>
    <row r="210" spans="7:9">
      <c r="G210" s="8"/>
      <c r="H210" s="7"/>
      <c r="I210" s="3"/>
    </row>
    <row r="211" spans="7:9">
      <c r="G211" s="8"/>
      <c r="H211" s="7"/>
      <c r="I211" s="3"/>
    </row>
    <row r="212" spans="7:9">
      <c r="G212" s="8"/>
      <c r="H212" s="7"/>
      <c r="I212" s="3"/>
    </row>
    <row r="213" spans="7:9">
      <c r="G213" s="8"/>
      <c r="H213" s="7"/>
      <c r="I213" s="3"/>
    </row>
    <row r="214" spans="7:9">
      <c r="G214" s="8"/>
      <c r="H214" s="7"/>
      <c r="I214" s="3"/>
    </row>
    <row r="215" spans="7:9">
      <c r="G215" s="8"/>
      <c r="H215" s="7"/>
      <c r="I215" s="3"/>
    </row>
    <row r="216" spans="7:9">
      <c r="G216" s="8"/>
      <c r="H216" s="7"/>
      <c r="I216" s="3"/>
    </row>
    <row r="217" spans="7:9">
      <c r="G217" s="8"/>
      <c r="H217" s="7"/>
      <c r="I217" s="3"/>
    </row>
    <row r="218" spans="7:9">
      <c r="G218" s="8"/>
      <c r="H218" s="7"/>
      <c r="I218" s="3"/>
    </row>
    <row r="219" spans="7:9">
      <c r="G219" s="8"/>
      <c r="H219" s="7"/>
      <c r="I219" s="3"/>
    </row>
    <row r="220" spans="7:9">
      <c r="G220" s="8"/>
      <c r="H220" s="7"/>
      <c r="I220" s="3"/>
    </row>
    <row r="221" spans="7:9">
      <c r="G221" s="8"/>
      <c r="H221" s="7"/>
      <c r="I221" s="3"/>
    </row>
    <row r="222" spans="7:9">
      <c r="G222" s="8"/>
      <c r="H222" s="7"/>
      <c r="I222" s="3"/>
    </row>
    <row r="223" spans="7:9">
      <c r="G223" s="8"/>
      <c r="H223" s="7"/>
      <c r="I223" s="3"/>
    </row>
    <row r="224" spans="7:9">
      <c r="G224" s="8"/>
      <c r="H224" s="7"/>
      <c r="I224" s="3"/>
    </row>
    <row r="225" spans="7:9">
      <c r="G225" s="8"/>
      <c r="H225" s="7"/>
      <c r="I225" s="3"/>
    </row>
    <row r="226" spans="7:9">
      <c r="G226" s="8"/>
      <c r="H226" s="7"/>
      <c r="I226" s="3"/>
    </row>
    <row r="227" spans="7:9">
      <c r="G227" s="8"/>
      <c r="H227" s="7"/>
      <c r="I227" s="3"/>
    </row>
    <row r="228" spans="7:9">
      <c r="G228" s="8"/>
      <c r="H228" s="7"/>
      <c r="I228" s="3"/>
    </row>
    <row r="229" spans="7:9">
      <c r="G229" s="8"/>
      <c r="H229" s="7"/>
      <c r="I229" s="3"/>
    </row>
    <row r="230" spans="7:9">
      <c r="G230" s="8"/>
      <c r="H230" s="7"/>
      <c r="I230" s="3"/>
    </row>
    <row r="231" spans="7:9">
      <c r="G231" s="8"/>
      <c r="H231" s="7"/>
      <c r="I231" s="3"/>
    </row>
    <row r="232" spans="7:9">
      <c r="G232" s="8"/>
      <c r="H232" s="7"/>
      <c r="I232" s="3"/>
    </row>
    <row r="233" spans="7:9">
      <c r="G233" s="8"/>
      <c r="H233" s="7"/>
      <c r="I233" s="3"/>
    </row>
    <row r="234" spans="7:9">
      <c r="G234" s="8"/>
      <c r="H234" s="7"/>
      <c r="I234" s="3"/>
    </row>
    <row r="235" spans="7:9">
      <c r="G235" s="8"/>
      <c r="H235" s="7"/>
      <c r="I235" s="3"/>
    </row>
    <row r="236" spans="7:9">
      <c r="G236" s="8"/>
      <c r="H236" s="7"/>
      <c r="I236" s="3"/>
    </row>
    <row r="237" spans="7:9">
      <c r="G237" s="8"/>
      <c r="H237" s="7"/>
      <c r="I237" s="3"/>
    </row>
    <row r="238" spans="7:9">
      <c r="G238" s="8"/>
      <c r="H238" s="7"/>
      <c r="I238" s="3"/>
    </row>
    <row r="239" spans="7:9">
      <c r="G239" s="8"/>
      <c r="H239" s="7"/>
      <c r="I239" s="3"/>
    </row>
    <row r="240" spans="7:9">
      <c r="G240" s="8"/>
      <c r="H240" s="7"/>
      <c r="I240" s="3"/>
    </row>
    <row r="241" spans="7:9">
      <c r="G241" s="8"/>
      <c r="H241" s="7"/>
      <c r="I241" s="3"/>
    </row>
    <row r="242" spans="7:9">
      <c r="G242" s="8"/>
      <c r="H242" s="7"/>
      <c r="I242" s="3"/>
    </row>
    <row r="243" spans="7:9">
      <c r="G243" s="8"/>
      <c r="H243" s="7"/>
      <c r="I243" s="3"/>
    </row>
    <row r="244" spans="7:9">
      <c r="G244" s="8"/>
      <c r="H244" s="7"/>
      <c r="I244" s="3"/>
    </row>
    <row r="245" spans="7:9">
      <c r="G245" s="8"/>
      <c r="H245" s="7"/>
      <c r="I245" s="3"/>
    </row>
    <row r="246" spans="7:9">
      <c r="G246" s="8"/>
      <c r="H246" s="7"/>
      <c r="I246" s="3"/>
    </row>
    <row r="247" spans="7:9">
      <c r="G247" s="8"/>
      <c r="H247" s="7"/>
      <c r="I247" s="3"/>
    </row>
    <row r="248" spans="7:9">
      <c r="G248" s="8"/>
      <c r="H248" s="7"/>
      <c r="I248" s="3"/>
    </row>
    <row r="249" spans="7:9">
      <c r="G249" s="8"/>
      <c r="H249" s="7"/>
      <c r="I249" s="3"/>
    </row>
    <row r="250" spans="7:9">
      <c r="G250" s="8"/>
      <c r="H250" s="7"/>
      <c r="I250" s="3"/>
    </row>
    <row r="251" spans="7:9">
      <c r="G251" s="8"/>
      <c r="H251" s="7"/>
      <c r="I251" s="3"/>
    </row>
    <row r="252" spans="7:9">
      <c r="G252" s="8"/>
      <c r="H252" s="7"/>
      <c r="I252" s="3"/>
    </row>
    <row r="253" spans="7:9">
      <c r="G253" s="8"/>
      <c r="H253" s="7"/>
      <c r="I253" s="3"/>
    </row>
    <row r="254" spans="7:9">
      <c r="G254" s="8"/>
      <c r="H254" s="7"/>
      <c r="I254" s="3"/>
    </row>
    <row r="255" spans="7:9">
      <c r="G255" s="8"/>
      <c r="H255" s="7"/>
      <c r="I255" s="3"/>
    </row>
    <row r="256" spans="7:9">
      <c r="G256" s="8"/>
      <c r="H256" s="7"/>
      <c r="I256" s="3"/>
    </row>
    <row r="257" spans="7:12">
      <c r="G257" s="8"/>
      <c r="H257" s="7"/>
      <c r="I257" s="3"/>
    </row>
    <row r="258" spans="7:12">
      <c r="G258" s="8"/>
      <c r="H258" s="7"/>
      <c r="I258" s="3"/>
    </row>
    <row r="259" spans="7:12">
      <c r="G259" s="8"/>
      <c r="H259" s="7"/>
      <c r="I259" s="3"/>
    </row>
    <row r="260" spans="7:12">
      <c r="G260" s="8"/>
      <c r="H260" s="7"/>
      <c r="I260" s="3"/>
    </row>
    <row r="261" spans="7:12">
      <c r="G261" s="8"/>
      <c r="H261" s="7"/>
      <c r="I261" s="3"/>
    </row>
    <row r="262" spans="7:12">
      <c r="G262" s="8"/>
      <c r="H262" s="7"/>
      <c r="I262" s="3"/>
    </row>
    <row r="263" spans="7:12">
      <c r="G263" s="8"/>
      <c r="H263" s="7"/>
      <c r="I263" s="3"/>
    </row>
    <row r="264" spans="7:12">
      <c r="G264" s="8"/>
      <c r="H264" s="7"/>
      <c r="I264" s="3"/>
    </row>
    <row r="265" spans="7:12">
      <c r="G265" s="8"/>
      <c r="H265" s="7"/>
      <c r="I265" s="3"/>
    </row>
    <row r="266" spans="7:12">
      <c r="G266" s="8"/>
      <c r="H266" s="7"/>
      <c r="I266" s="3"/>
    </row>
    <row r="267" spans="7:12">
      <c r="G267" s="8"/>
      <c r="H267" s="7"/>
      <c r="I267" s="3"/>
    </row>
    <row r="268" spans="7:12">
      <c r="G268" s="8"/>
      <c r="H268" s="7"/>
      <c r="I268" s="3"/>
    </row>
    <row r="269" spans="7:12">
      <c r="G269" s="8"/>
      <c r="H269" s="7"/>
      <c r="I269" s="3"/>
    </row>
    <row r="270" spans="7:12">
      <c r="G270" s="8"/>
      <c r="H270" s="7"/>
      <c r="I270" s="3"/>
    </row>
    <row r="271" spans="7:12">
      <c r="G271" s="3"/>
      <c r="L271" s="16"/>
    </row>
    <row r="272" spans="7:12">
      <c r="G272" s="3"/>
    </row>
    <row r="273" spans="7:7">
      <c r="G273"/>
    </row>
    <row r="274" spans="7:7">
      <c r="G274" s="3"/>
    </row>
    <row r="275" spans="7:7">
      <c r="G275" s="3"/>
    </row>
    <row r="276" spans="7:7">
      <c r="G276" s="3"/>
    </row>
    <row r="277" spans="7:7">
      <c r="G277"/>
    </row>
    <row r="278" spans="7:7">
      <c r="G278" s="3"/>
    </row>
    <row r="279" spans="7:7">
      <c r="G279" s="3"/>
    </row>
    <row r="280" spans="7:7">
      <c r="G280"/>
    </row>
    <row r="281" spans="7:7">
      <c r="G281" s="3"/>
    </row>
    <row r="282" spans="7:7">
      <c r="G282"/>
    </row>
    <row r="283" spans="7:7">
      <c r="G283"/>
    </row>
    <row r="284" spans="7:7">
      <c r="G284" s="3"/>
    </row>
    <row r="285" spans="7:7">
      <c r="G285"/>
    </row>
    <row r="286" spans="7:7">
      <c r="G286"/>
    </row>
    <row r="287" spans="7:7">
      <c r="G287"/>
    </row>
    <row r="288" spans="7:7">
      <c r="G288"/>
    </row>
    <row r="289" spans="7:7">
      <c r="G289" s="3"/>
    </row>
    <row r="290" spans="7:7">
      <c r="G290" s="3"/>
    </row>
    <row r="291" spans="7:7">
      <c r="G291"/>
    </row>
    <row r="292" spans="7:7">
      <c r="G292" s="3"/>
    </row>
    <row r="293" spans="7:7">
      <c r="G293"/>
    </row>
    <row r="294" spans="7:7">
      <c r="G294" s="3"/>
    </row>
    <row r="295" spans="7:7">
      <c r="G295" s="3"/>
    </row>
    <row r="296" spans="7:7">
      <c r="G296"/>
    </row>
    <row r="297" spans="7:7">
      <c r="G297" s="3"/>
    </row>
    <row r="298" spans="7:7">
      <c r="G298"/>
    </row>
    <row r="299" spans="7:7">
      <c r="G299" s="3"/>
    </row>
    <row r="300" spans="7:7">
      <c r="G300"/>
    </row>
    <row r="301" spans="7:7">
      <c r="G301"/>
    </row>
    <row r="302" spans="7:7">
      <c r="G302"/>
    </row>
    <row r="303" spans="7:7">
      <c r="G303" s="3"/>
    </row>
    <row r="304" spans="7:7">
      <c r="G304"/>
    </row>
    <row r="305" spans="7:7">
      <c r="G305"/>
    </row>
    <row r="306" spans="7:7">
      <c r="G306" s="3"/>
    </row>
    <row r="307" spans="7:7">
      <c r="G307" s="3"/>
    </row>
    <row r="308" spans="7:7">
      <c r="G308"/>
    </row>
    <row r="309" spans="7:7">
      <c r="G309" s="3"/>
    </row>
    <row r="310" spans="7:7">
      <c r="G310" s="3"/>
    </row>
    <row r="311" spans="7:7">
      <c r="G311"/>
    </row>
    <row r="312" spans="7:7">
      <c r="G312" s="3"/>
    </row>
    <row r="313" spans="7:7">
      <c r="G313" s="3"/>
    </row>
    <row r="314" spans="7:7">
      <c r="G314"/>
    </row>
    <row r="315" spans="7:7">
      <c r="G315" s="3"/>
    </row>
    <row r="316" spans="7:7">
      <c r="G316"/>
    </row>
    <row r="317" spans="7:7">
      <c r="G317" s="3"/>
    </row>
    <row r="318" spans="7:7">
      <c r="G318" s="3"/>
    </row>
    <row r="319" spans="7:7">
      <c r="G319" s="3"/>
    </row>
    <row r="320" spans="7:7">
      <c r="G320" s="3"/>
    </row>
    <row r="321" spans="7:7">
      <c r="G321" s="3"/>
    </row>
    <row r="322" spans="7:7">
      <c r="G322"/>
    </row>
    <row r="323" spans="7:7">
      <c r="G323"/>
    </row>
    <row r="324" spans="7:7">
      <c r="G324"/>
    </row>
    <row r="325" spans="7:7">
      <c r="G325" s="3"/>
    </row>
    <row r="326" spans="7:7">
      <c r="G326" s="3"/>
    </row>
    <row r="327" spans="7:7">
      <c r="G327" s="3"/>
    </row>
    <row r="328" spans="7:7">
      <c r="G328" s="3"/>
    </row>
    <row r="329" spans="7:7">
      <c r="G329" s="3"/>
    </row>
    <row r="330" spans="7:7">
      <c r="G330" s="3"/>
    </row>
    <row r="331" spans="7:7">
      <c r="G331"/>
    </row>
    <row r="332" spans="7:7">
      <c r="G332"/>
    </row>
    <row r="333" spans="7:7">
      <c r="G333" s="3"/>
    </row>
    <row r="334" spans="7:7">
      <c r="G334"/>
    </row>
    <row r="335" spans="7:7">
      <c r="G335" s="3"/>
    </row>
    <row r="336" spans="7:7">
      <c r="G336"/>
    </row>
    <row r="337" spans="7:7">
      <c r="G337"/>
    </row>
    <row r="338" spans="7:7">
      <c r="G338" s="3"/>
    </row>
    <row r="339" spans="7:7">
      <c r="G339"/>
    </row>
    <row r="340" spans="7:7">
      <c r="G340" s="3"/>
    </row>
    <row r="341" spans="7:7">
      <c r="G341" s="3"/>
    </row>
    <row r="342" spans="7:7">
      <c r="G342"/>
    </row>
    <row r="343" spans="7:7">
      <c r="G343"/>
    </row>
    <row r="344" spans="7:7">
      <c r="G344" s="3"/>
    </row>
    <row r="345" spans="7:7">
      <c r="G345"/>
    </row>
    <row r="346" spans="7:7">
      <c r="G346"/>
    </row>
    <row r="347" spans="7:7">
      <c r="G347"/>
    </row>
    <row r="348" spans="7:7">
      <c r="G348" s="2"/>
    </row>
    <row r="349" spans="7:7">
      <c r="G349" s="3"/>
    </row>
    <row r="350" spans="7:7">
      <c r="G350" s="3"/>
    </row>
    <row r="351" spans="7:7">
      <c r="G351"/>
    </row>
    <row r="352" spans="7:7">
      <c r="G352" s="3"/>
    </row>
    <row r="353" spans="7:7">
      <c r="G353" s="3"/>
    </row>
    <row r="354" spans="7:7">
      <c r="G354"/>
    </row>
    <row r="355" spans="7:7">
      <c r="G355"/>
    </row>
    <row r="356" spans="7:7">
      <c r="G356"/>
    </row>
    <row r="357" spans="7:7">
      <c r="G357"/>
    </row>
    <row r="358" spans="7:7">
      <c r="G358" s="3"/>
    </row>
    <row r="359" spans="7:7">
      <c r="G359" s="3"/>
    </row>
    <row r="360" spans="7:7">
      <c r="G360" s="3"/>
    </row>
    <row r="361" spans="7:7">
      <c r="G361" s="3"/>
    </row>
    <row r="362" spans="7:7">
      <c r="G362"/>
    </row>
    <row r="363" spans="7:7">
      <c r="G363" s="3"/>
    </row>
    <row r="364" spans="7:7">
      <c r="G364" s="3"/>
    </row>
    <row r="365" spans="7:7">
      <c r="G365" s="3"/>
    </row>
    <row r="366" spans="7:7">
      <c r="G366"/>
    </row>
    <row r="367" spans="7:7">
      <c r="G367"/>
    </row>
    <row r="368" spans="7:7">
      <c r="G368"/>
    </row>
    <row r="369" spans="7:7">
      <c r="G369"/>
    </row>
    <row r="370" spans="7:7">
      <c r="G370"/>
    </row>
    <row r="371" spans="7:7">
      <c r="G371"/>
    </row>
    <row r="372" spans="7:7">
      <c r="G372"/>
    </row>
    <row r="373" spans="7:7">
      <c r="G373"/>
    </row>
    <row r="374" spans="7:7">
      <c r="G374"/>
    </row>
    <row r="375" spans="7:7">
      <c r="G375"/>
    </row>
    <row r="376" spans="7:7">
      <c r="G376"/>
    </row>
    <row r="377" spans="7:7">
      <c r="G377" s="3"/>
    </row>
    <row r="378" spans="7:7">
      <c r="G378"/>
    </row>
    <row r="379" spans="7:7">
      <c r="G379" s="3"/>
    </row>
    <row r="380" spans="7:7">
      <c r="G380" s="3"/>
    </row>
    <row r="381" spans="7:7">
      <c r="G381" s="3"/>
    </row>
    <row r="382" spans="7:7">
      <c r="G382"/>
    </row>
    <row r="383" spans="7:7">
      <c r="G383"/>
    </row>
    <row r="384" spans="7:7">
      <c r="G384"/>
    </row>
    <row r="385" spans="7:10">
      <c r="G385" s="3"/>
    </row>
    <row r="386" spans="7:10">
      <c r="G386" s="3"/>
    </row>
    <row r="387" spans="7:10">
      <c r="G387"/>
    </row>
    <row r="388" spans="7:10">
      <c r="G388" s="3"/>
    </row>
    <row r="389" spans="7:10">
      <c r="G389" s="3"/>
    </row>
    <row r="390" spans="7:10">
      <c r="G390"/>
    </row>
    <row r="391" spans="7:10">
      <c r="G391" s="3"/>
    </row>
    <row r="392" spans="7:10">
      <c r="G392"/>
      <c r="H392"/>
      <c r="I392"/>
      <c r="J392"/>
    </row>
    <row r="393" spans="7:10">
      <c r="G393"/>
      <c r="H393"/>
      <c r="I393"/>
      <c r="J393"/>
    </row>
    <row r="394" spans="7:10">
      <c r="G394"/>
      <c r="H394"/>
      <c r="I394"/>
      <c r="J394"/>
    </row>
    <row r="395" spans="7:10">
      <c r="G395"/>
      <c r="H395"/>
      <c r="I395"/>
      <c r="J395"/>
    </row>
    <row r="396" spans="7:10">
      <c r="G396"/>
      <c r="H396"/>
      <c r="I396"/>
      <c r="J396"/>
    </row>
  </sheetData>
  <sortState ref="F2:M79">
    <sortCondition ref="H2:H79"/>
    <sortCondition ref="M2:M79"/>
  </sortState>
  <dataConsolidate/>
  <conditionalFormatting sqref="D2:D101">
    <cfRule type="duplicateValues" dxfId="57" priority="14"/>
  </conditionalFormatting>
  <conditionalFormatting sqref="D102:D201">
    <cfRule type="duplicateValues" dxfId="56" priority="13"/>
  </conditionalFormatting>
  <conditionalFormatting sqref="J298:J391">
    <cfRule type="cellIs" dxfId="55" priority="12" operator="lessThan">
      <formula>0</formula>
    </cfRule>
  </conditionalFormatting>
  <conditionalFormatting sqref="J271:J391">
    <cfRule type="duplicateValues" dxfId="54" priority="15"/>
  </conditionalFormatting>
  <conditionalFormatting sqref="S102:S195">
    <cfRule type="cellIs" dxfId="53" priority="10" operator="lessThan">
      <formula>0</formula>
    </cfRule>
  </conditionalFormatting>
  <conditionalFormatting sqref="S2:S11 S13:S195">
    <cfRule type="duplicateValues" dxfId="52" priority="11"/>
  </conditionalFormatting>
  <conditionalFormatting sqref="S12">
    <cfRule type="duplicateValues" dxfId="51" priority="9"/>
  </conditionalFormatting>
  <conditionalFormatting sqref="I191:I270">
    <cfRule type="duplicateValues" dxfId="50" priority="8"/>
  </conditionalFormatting>
  <conditionalFormatting sqref="I80:I190">
    <cfRule type="duplicateValues" dxfId="49" priority="7"/>
  </conditionalFormatting>
  <conditionalFormatting sqref="J80:J190">
    <cfRule type="duplicateValues" dxfId="48" priority="6"/>
  </conditionalFormatting>
  <conditionalFormatting sqref="J192:J270">
    <cfRule type="duplicateValues" dxfId="47" priority="16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428"/>
  <sheetViews>
    <sheetView topLeftCell="A1255" workbookViewId="0">
      <selection activeCell="A1262" sqref="A1262:G1428"/>
    </sheetView>
  </sheetViews>
  <sheetFormatPr baseColWidth="10" defaultRowHeight="15" x14ac:dyDescent="0"/>
  <cols>
    <col min="1" max="1" width="8" bestFit="1" customWidth="1"/>
    <col min="2" max="2" width="1.6640625" style="9" bestFit="1" customWidth="1"/>
    <col min="3" max="3" width="18.1640625" style="9" bestFit="1" customWidth="1"/>
    <col min="4" max="4" width="1.6640625" style="9" bestFit="1" customWidth="1"/>
    <col min="6" max="6" width="1.6640625" style="9" bestFit="1" customWidth="1"/>
    <col min="7" max="7" width="10.33203125" bestFit="1" customWidth="1"/>
    <col min="13" max="13" width="18.1640625" style="9" bestFit="1" customWidth="1"/>
    <col min="17" max="17" width="41.1640625" bestFit="1" customWidth="1"/>
  </cols>
  <sheetData>
    <row r="1" spans="1:17" s="18" customFormat="1" ht="20">
      <c r="A1" s="18" t="s">
        <v>1864</v>
      </c>
      <c r="B1" s="20"/>
      <c r="C1" s="20" t="s">
        <v>333</v>
      </c>
      <c r="D1" s="20"/>
      <c r="E1" s="18" t="s">
        <v>1865</v>
      </c>
      <c r="F1" s="20"/>
      <c r="G1" s="18" t="s">
        <v>1866</v>
      </c>
      <c r="L1" s="18" t="s">
        <v>1868</v>
      </c>
      <c r="M1" s="20"/>
    </row>
    <row r="2" spans="1:17">
      <c r="A2">
        <v>1</v>
      </c>
      <c r="B2" s="9" t="s">
        <v>335</v>
      </c>
      <c r="C2" s="9">
        <v>40518.567939814813</v>
      </c>
      <c r="D2" s="9" t="s">
        <v>335</v>
      </c>
      <c r="E2" t="str">
        <f>CONCATENATE("'",L2,"'")</f>
        <v>'56ebe8f'</v>
      </c>
      <c r="F2" s="9" t="s">
        <v>335</v>
      </c>
      <c r="G2" s="4">
        <v>1</v>
      </c>
      <c r="H2" t="s">
        <v>1951</v>
      </c>
      <c r="L2" s="8" t="s">
        <v>406</v>
      </c>
    </row>
    <row r="3" spans="1:17">
      <c r="A3">
        <v>2</v>
      </c>
      <c r="B3" s="9" t="s">
        <v>335</v>
      </c>
      <c r="C3" s="9">
        <v>40519.596168981479</v>
      </c>
      <c r="D3" s="9" t="s">
        <v>335</v>
      </c>
      <c r="E3" t="str">
        <f t="shared" ref="E3:E43" si="0">CONCATENATE("'",L3,"'")</f>
        <v>'9a45f78'</v>
      </c>
      <c r="F3" s="9" t="s">
        <v>335</v>
      </c>
      <c r="G3" s="4">
        <v>1</v>
      </c>
      <c r="L3" s="8" t="s">
        <v>1342</v>
      </c>
    </row>
    <row r="4" spans="1:17">
      <c r="A4">
        <v>3</v>
      </c>
      <c r="B4" s="9" t="s">
        <v>335</v>
      </c>
      <c r="C4" s="9">
        <v>40522.539201388892</v>
      </c>
      <c r="D4" s="9" t="s">
        <v>335</v>
      </c>
      <c r="E4" t="str">
        <f t="shared" si="0"/>
        <v>'e78bd45'</v>
      </c>
      <c r="F4" s="9" t="s">
        <v>335</v>
      </c>
      <c r="G4" s="4">
        <v>1</v>
      </c>
      <c r="L4" s="8" t="s">
        <v>552</v>
      </c>
    </row>
    <row r="5" spans="1:17">
      <c r="A5">
        <v>4</v>
      </c>
      <c r="B5" s="9" t="s">
        <v>335</v>
      </c>
      <c r="C5" s="9">
        <v>40522.554756944446</v>
      </c>
      <c r="D5" s="9" t="s">
        <v>335</v>
      </c>
      <c r="E5" t="str">
        <f t="shared" si="0"/>
        <v>'6629e49'</v>
      </c>
      <c r="F5" s="9" t="s">
        <v>335</v>
      </c>
      <c r="G5" s="4">
        <v>1</v>
      </c>
      <c r="L5" s="8" t="s">
        <v>1575</v>
      </c>
    </row>
    <row r="6" spans="1:17">
      <c r="A6">
        <v>4</v>
      </c>
      <c r="B6" s="9" t="s">
        <v>335</v>
      </c>
      <c r="C6" s="9">
        <v>40523.921863425923</v>
      </c>
      <c r="D6" s="9" t="s">
        <v>335</v>
      </c>
      <c r="E6" t="str">
        <f t="shared" si="0"/>
        <v>'89f159f'</v>
      </c>
      <c r="F6" s="9" t="s">
        <v>335</v>
      </c>
      <c r="G6" s="4">
        <v>2</v>
      </c>
      <c r="L6" s="8" t="s">
        <v>862</v>
      </c>
    </row>
    <row r="7" spans="1:17">
      <c r="A7">
        <v>5</v>
      </c>
      <c r="B7" s="9" t="s">
        <v>335</v>
      </c>
      <c r="C7" s="9">
        <v>40519.638553240744</v>
      </c>
      <c r="D7" s="9" t="s">
        <v>335</v>
      </c>
      <c r="E7" t="str">
        <f t="shared" si="0"/>
        <v>'6be060a'</v>
      </c>
      <c r="F7" s="9" t="s">
        <v>335</v>
      </c>
      <c r="G7" s="4">
        <v>1</v>
      </c>
      <c r="L7" s="8" t="s">
        <v>1343</v>
      </c>
    </row>
    <row r="8" spans="1:17">
      <c r="A8">
        <v>5</v>
      </c>
      <c r="B8" s="9" t="s">
        <v>335</v>
      </c>
      <c r="C8" s="9">
        <v>40522.390347222223</v>
      </c>
      <c r="D8" s="9" t="s">
        <v>335</v>
      </c>
      <c r="E8" t="str">
        <f t="shared" si="0"/>
        <v>'10e9f8f'</v>
      </c>
      <c r="F8" s="9" t="s">
        <v>335</v>
      </c>
      <c r="G8" s="4">
        <v>2</v>
      </c>
      <c r="L8" s="8" t="s">
        <v>551</v>
      </c>
    </row>
    <row r="9" spans="1:17">
      <c r="A9">
        <v>5</v>
      </c>
      <c r="B9" s="9" t="s">
        <v>335</v>
      </c>
      <c r="C9" s="9">
        <v>40523.504479166666</v>
      </c>
      <c r="D9" s="9" t="s">
        <v>335</v>
      </c>
      <c r="E9" t="str">
        <f t="shared" si="0"/>
        <v>'fb38fc1'</v>
      </c>
      <c r="F9" s="9" t="s">
        <v>335</v>
      </c>
      <c r="G9" s="4">
        <v>3</v>
      </c>
      <c r="L9" s="8" t="s">
        <v>861</v>
      </c>
    </row>
    <row r="10" spans="1:17">
      <c r="A10">
        <v>6</v>
      </c>
      <c r="B10" s="9" t="s">
        <v>335</v>
      </c>
      <c r="C10" s="9">
        <v>40518.891203703701</v>
      </c>
      <c r="D10" s="9" t="s">
        <v>335</v>
      </c>
      <c r="E10" t="str">
        <f t="shared" si="0"/>
        <v>'bdb4df1'</v>
      </c>
      <c r="F10" s="9" t="s">
        <v>335</v>
      </c>
      <c r="G10" s="4">
        <v>1</v>
      </c>
      <c r="L10" s="8" t="s">
        <v>407</v>
      </c>
    </row>
    <row r="11" spans="1:17">
      <c r="A11">
        <v>7</v>
      </c>
      <c r="B11" s="9" t="s">
        <v>335</v>
      </c>
      <c r="C11" s="9">
        <v>40524.062430555554</v>
      </c>
      <c r="D11" s="9" t="s">
        <v>335</v>
      </c>
      <c r="E11" t="str">
        <f t="shared" si="0"/>
        <v>'5d1ea36'</v>
      </c>
      <c r="F11" s="9" t="s">
        <v>335</v>
      </c>
      <c r="G11" s="4">
        <v>1</v>
      </c>
      <c r="L11" s="8" t="s">
        <v>459</v>
      </c>
    </row>
    <row r="12" spans="1:17">
      <c r="A12">
        <v>8</v>
      </c>
      <c r="B12" s="9" t="s">
        <v>335</v>
      </c>
      <c r="C12" s="9">
        <v>40444.905590277776</v>
      </c>
      <c r="D12" s="9" t="s">
        <v>335</v>
      </c>
      <c r="E12" t="str">
        <f t="shared" si="0"/>
        <v>'2e7989f'</v>
      </c>
      <c r="F12" s="9" t="s">
        <v>335</v>
      </c>
      <c r="G12" s="4">
        <v>1</v>
      </c>
      <c r="L12" s="8" t="s">
        <v>458</v>
      </c>
    </row>
    <row r="13" spans="1:17">
      <c r="B13" s="9" t="s">
        <v>335</v>
      </c>
      <c r="D13" s="9" t="s">
        <v>335</v>
      </c>
      <c r="E13" t="str">
        <f t="shared" si="0"/>
        <v>''</v>
      </c>
      <c r="F13" s="9" t="s">
        <v>335</v>
      </c>
      <c r="G13" s="4"/>
      <c r="L13" s="8"/>
      <c r="Q13" s="1"/>
    </row>
    <row r="14" spans="1:17">
      <c r="A14">
        <v>1</v>
      </c>
      <c r="B14" s="9" t="s">
        <v>335</v>
      </c>
      <c r="C14" s="3">
        <v>40629.981099537035</v>
      </c>
      <c r="D14" s="9" t="s">
        <v>335</v>
      </c>
      <c r="E14" t="str">
        <f t="shared" si="0"/>
        <v>'e9992be'</v>
      </c>
      <c r="F14" s="9" t="s">
        <v>335</v>
      </c>
      <c r="G14" s="4">
        <v>1</v>
      </c>
      <c r="H14" t="s">
        <v>1952</v>
      </c>
      <c r="L14" s="8" t="s">
        <v>476</v>
      </c>
    </row>
    <row r="15" spans="1:17">
      <c r="A15">
        <v>1</v>
      </c>
      <c r="B15" s="9" t="s">
        <v>335</v>
      </c>
      <c r="C15" s="3">
        <v>40633.069467592592</v>
      </c>
      <c r="D15" s="9" t="s">
        <v>335</v>
      </c>
      <c r="E15" t="str">
        <f t="shared" si="0"/>
        <v>'821bf00'</v>
      </c>
      <c r="F15" s="9" t="s">
        <v>335</v>
      </c>
      <c r="G15" s="4">
        <v>2</v>
      </c>
      <c r="L15" s="8" t="s">
        <v>1424</v>
      </c>
    </row>
    <row r="16" spans="1:17">
      <c r="A16">
        <v>2</v>
      </c>
      <c r="B16" s="9" t="s">
        <v>335</v>
      </c>
      <c r="C16" s="3">
        <v>40630.592453703706</v>
      </c>
      <c r="D16" s="9" t="s">
        <v>335</v>
      </c>
      <c r="E16" t="str">
        <f t="shared" si="0"/>
        <v>'af04d72'</v>
      </c>
      <c r="F16" s="9" t="s">
        <v>335</v>
      </c>
      <c r="G16" s="4">
        <v>1</v>
      </c>
      <c r="L16" s="8" t="s">
        <v>1385</v>
      </c>
    </row>
    <row r="17" spans="1:17">
      <c r="A17">
        <v>2</v>
      </c>
      <c r="B17" s="9" t="s">
        <v>335</v>
      </c>
      <c r="C17" s="3">
        <v>40631.432581018518</v>
      </c>
      <c r="D17" s="9" t="s">
        <v>335</v>
      </c>
      <c r="E17" t="str">
        <f t="shared" si="0"/>
        <v>'51562a2'</v>
      </c>
      <c r="F17" s="9" t="s">
        <v>335</v>
      </c>
      <c r="G17" s="4">
        <v>2</v>
      </c>
      <c r="L17" s="8" t="s">
        <v>1187</v>
      </c>
    </row>
    <row r="18" spans="1:17">
      <c r="A18">
        <v>2</v>
      </c>
      <c r="B18" s="9" t="s">
        <v>335</v>
      </c>
      <c r="C18" s="3">
        <v>40632.423449074071</v>
      </c>
      <c r="D18" s="9" t="s">
        <v>335</v>
      </c>
      <c r="E18" t="str">
        <f t="shared" si="0"/>
        <v>'92e7aa0'</v>
      </c>
      <c r="F18" s="9" t="s">
        <v>335</v>
      </c>
      <c r="G18" s="4">
        <v>3</v>
      </c>
      <c r="L18" s="8" t="s">
        <v>571</v>
      </c>
    </row>
    <row r="19" spans="1:17">
      <c r="A19">
        <v>2</v>
      </c>
      <c r="B19" s="9" t="s">
        <v>335</v>
      </c>
      <c r="C19" s="3">
        <v>40633.790567129632</v>
      </c>
      <c r="D19" s="9" t="s">
        <v>335</v>
      </c>
      <c r="E19" t="str">
        <f t="shared" si="0"/>
        <v>'6b3b555'</v>
      </c>
      <c r="F19" s="9" t="s">
        <v>335</v>
      </c>
      <c r="G19" s="4">
        <v>4</v>
      </c>
      <c r="L19" s="8" t="s">
        <v>1333</v>
      </c>
    </row>
    <row r="20" spans="1:17">
      <c r="A20">
        <v>2</v>
      </c>
      <c r="B20" s="9" t="s">
        <v>335</v>
      </c>
      <c r="C20" s="3">
        <v>40633.793113425927</v>
      </c>
      <c r="D20" s="9" t="s">
        <v>335</v>
      </c>
      <c r="E20" t="str">
        <f t="shared" si="0"/>
        <v>'427a8ab'</v>
      </c>
      <c r="F20" s="9" t="s">
        <v>335</v>
      </c>
      <c r="G20" s="4">
        <v>5</v>
      </c>
      <c r="L20" s="8" t="s">
        <v>1156</v>
      </c>
    </row>
    <row r="21" spans="1:17">
      <c r="A21">
        <v>2</v>
      </c>
      <c r="B21" s="9" t="s">
        <v>335</v>
      </c>
      <c r="C21" s="3">
        <v>40634.634675925925</v>
      </c>
      <c r="D21" s="9" t="s">
        <v>335</v>
      </c>
      <c r="E21" t="str">
        <f t="shared" si="0"/>
        <v>'9b03bf4'</v>
      </c>
      <c r="F21" s="9" t="s">
        <v>335</v>
      </c>
      <c r="G21" s="4">
        <v>6</v>
      </c>
      <c r="L21" s="8" t="s">
        <v>433</v>
      </c>
    </row>
    <row r="22" spans="1:17">
      <c r="A22">
        <v>3</v>
      </c>
      <c r="B22" s="9" t="s">
        <v>335</v>
      </c>
      <c r="C22" s="3">
        <v>40628.903831018521</v>
      </c>
      <c r="D22" s="9" t="s">
        <v>335</v>
      </c>
      <c r="E22" t="str">
        <f t="shared" si="0"/>
        <v>'39eb87c'</v>
      </c>
      <c r="F22" s="9" t="s">
        <v>335</v>
      </c>
      <c r="G22" s="4">
        <v>1</v>
      </c>
      <c r="L22" s="8" t="s">
        <v>1384</v>
      </c>
    </row>
    <row r="23" spans="1:17">
      <c r="A23">
        <v>3</v>
      </c>
      <c r="B23" s="9" t="s">
        <v>335</v>
      </c>
      <c r="C23" s="3">
        <v>40630.592569444445</v>
      </c>
      <c r="D23" s="9" t="s">
        <v>335</v>
      </c>
      <c r="E23" t="str">
        <f t="shared" si="0"/>
        <v>'2b9b4d0'</v>
      </c>
      <c r="F23" s="9" t="s">
        <v>335</v>
      </c>
      <c r="G23" s="4">
        <v>2</v>
      </c>
      <c r="L23" s="8" t="s">
        <v>670</v>
      </c>
    </row>
    <row r="24" spans="1:17">
      <c r="A24">
        <v>3</v>
      </c>
      <c r="B24" s="9" t="s">
        <v>335</v>
      </c>
      <c r="C24" s="3">
        <v>40631.375208333331</v>
      </c>
      <c r="D24" s="9" t="s">
        <v>335</v>
      </c>
      <c r="E24" t="str">
        <f t="shared" si="0"/>
        <v>'40983ba'</v>
      </c>
      <c r="F24" s="9" t="s">
        <v>335</v>
      </c>
      <c r="G24" s="4">
        <v>3</v>
      </c>
      <c r="L24" s="8" t="s">
        <v>1186</v>
      </c>
      <c r="Q24" s="1"/>
    </row>
    <row r="25" spans="1:17">
      <c r="A25">
        <v>3</v>
      </c>
      <c r="B25" s="9" t="s">
        <v>335</v>
      </c>
      <c r="C25" s="3">
        <v>40632.41678240741</v>
      </c>
      <c r="D25" s="9" t="s">
        <v>335</v>
      </c>
      <c r="E25" t="str">
        <f t="shared" si="0"/>
        <v>'55debe8'</v>
      </c>
      <c r="F25" s="9" t="s">
        <v>335</v>
      </c>
      <c r="G25" s="4">
        <v>4</v>
      </c>
      <c r="L25" s="8" t="s">
        <v>570</v>
      </c>
    </row>
    <row r="26" spans="1:17">
      <c r="A26">
        <v>3</v>
      </c>
      <c r="B26" s="9" t="s">
        <v>335</v>
      </c>
      <c r="C26" s="3">
        <v>40632.606296296297</v>
      </c>
      <c r="D26" s="9" t="s">
        <v>335</v>
      </c>
      <c r="E26" t="str">
        <f t="shared" si="0"/>
        <v>'4129ac5'</v>
      </c>
      <c r="F26" s="9" t="s">
        <v>335</v>
      </c>
      <c r="G26" s="4">
        <v>5</v>
      </c>
      <c r="L26" s="8" t="s">
        <v>477</v>
      </c>
    </row>
    <row r="27" spans="1:17">
      <c r="A27">
        <v>3</v>
      </c>
      <c r="B27" s="9" t="s">
        <v>335</v>
      </c>
      <c r="C27" s="3">
        <v>40632.423449074071</v>
      </c>
      <c r="D27" s="9" t="s">
        <v>335</v>
      </c>
      <c r="E27" t="str">
        <f t="shared" si="0"/>
        <v>'205fea6'</v>
      </c>
      <c r="F27" s="9" t="s">
        <v>335</v>
      </c>
      <c r="G27" s="4">
        <v>6</v>
      </c>
      <c r="L27" s="8" t="s">
        <v>676</v>
      </c>
    </row>
    <row r="28" spans="1:17">
      <c r="A28">
        <v>3</v>
      </c>
      <c r="B28" s="9" t="s">
        <v>335</v>
      </c>
      <c r="C28" s="3">
        <v>40632.901886574073</v>
      </c>
      <c r="D28" s="9" t="s">
        <v>335</v>
      </c>
      <c r="E28" t="str">
        <f t="shared" si="0"/>
        <v>'ff05abe'</v>
      </c>
      <c r="F28" s="9" t="s">
        <v>335</v>
      </c>
      <c r="G28" s="4">
        <v>7</v>
      </c>
      <c r="L28" s="8" t="s">
        <v>665</v>
      </c>
    </row>
    <row r="29" spans="1:17">
      <c r="A29">
        <v>3</v>
      </c>
      <c r="B29" s="9" t="s">
        <v>335</v>
      </c>
      <c r="C29" s="3">
        <v>40633.791666666664</v>
      </c>
      <c r="D29" s="9" t="s">
        <v>335</v>
      </c>
      <c r="E29" t="str">
        <f t="shared" si="0"/>
        <v>'5bbc78f'</v>
      </c>
      <c r="F29" s="9" t="s">
        <v>335</v>
      </c>
      <c r="G29" s="4">
        <v>8</v>
      </c>
      <c r="L29" s="8" t="s">
        <v>586</v>
      </c>
    </row>
    <row r="30" spans="1:17">
      <c r="A30">
        <v>3</v>
      </c>
      <c r="B30" s="9" t="s">
        <v>335</v>
      </c>
      <c r="C30" s="3">
        <v>40633.763344907406</v>
      </c>
      <c r="D30" s="9" t="s">
        <v>335</v>
      </c>
      <c r="E30" t="str">
        <f t="shared" si="0"/>
        <v>'55d1f1f'</v>
      </c>
      <c r="F30" s="9" t="s">
        <v>335</v>
      </c>
      <c r="G30" s="4">
        <v>9</v>
      </c>
      <c r="L30" s="8" t="s">
        <v>1155</v>
      </c>
    </row>
    <row r="31" spans="1:17">
      <c r="A31">
        <v>3</v>
      </c>
      <c r="B31" s="9" t="s">
        <v>335</v>
      </c>
      <c r="C31" s="3">
        <v>40634.62972222222</v>
      </c>
      <c r="D31" s="9" t="s">
        <v>335</v>
      </c>
      <c r="E31" t="str">
        <f t="shared" si="0"/>
        <v>'9a9ac35'</v>
      </c>
      <c r="F31" s="9" t="s">
        <v>335</v>
      </c>
      <c r="G31" s="4">
        <v>10</v>
      </c>
      <c r="L31" s="8" t="s">
        <v>579</v>
      </c>
    </row>
    <row r="32" spans="1:17">
      <c r="A32">
        <v>3</v>
      </c>
      <c r="B32" s="9" t="s">
        <v>335</v>
      </c>
      <c r="C32" s="3">
        <v>40634.601226851853</v>
      </c>
      <c r="D32" s="9" t="s">
        <v>335</v>
      </c>
      <c r="E32" t="str">
        <f t="shared" si="0"/>
        <v>'ad343a6'</v>
      </c>
      <c r="F32" s="9" t="s">
        <v>335</v>
      </c>
      <c r="G32" s="4">
        <v>11</v>
      </c>
      <c r="L32" s="8" t="s">
        <v>1108</v>
      </c>
    </row>
    <row r="33" spans="1:12">
      <c r="A33">
        <v>4</v>
      </c>
      <c r="B33" s="9" t="s">
        <v>335</v>
      </c>
      <c r="C33" s="3">
        <v>40633.951550925929</v>
      </c>
      <c r="D33" s="9" t="s">
        <v>335</v>
      </c>
      <c r="E33" t="str">
        <f t="shared" si="0"/>
        <v>'bafc4f6'</v>
      </c>
      <c r="F33" s="9" t="s">
        <v>335</v>
      </c>
      <c r="G33" s="4">
        <v>1</v>
      </c>
      <c r="L33" s="8" t="s">
        <v>712</v>
      </c>
    </row>
    <row r="34" spans="1:12">
      <c r="A34">
        <v>5</v>
      </c>
      <c r="B34" s="9" t="s">
        <v>335</v>
      </c>
      <c r="C34" s="3">
        <v>40635.272743055553</v>
      </c>
      <c r="D34" s="9" t="s">
        <v>335</v>
      </c>
      <c r="E34" t="str">
        <f t="shared" si="0"/>
        <v>'995f402'</v>
      </c>
      <c r="F34" s="9" t="s">
        <v>335</v>
      </c>
      <c r="G34" s="4">
        <v>1</v>
      </c>
      <c r="L34" s="8" t="s">
        <v>1109</v>
      </c>
    </row>
    <row r="35" spans="1:12">
      <c r="A35">
        <v>5</v>
      </c>
      <c r="B35" s="9" t="s">
        <v>335</v>
      </c>
      <c r="C35" s="3">
        <v>40635.34306712963</v>
      </c>
      <c r="D35" s="9" t="s">
        <v>335</v>
      </c>
      <c r="E35" t="str">
        <f t="shared" si="0"/>
        <v>'2b7ebb5'</v>
      </c>
      <c r="F35" s="9" t="s">
        <v>335</v>
      </c>
      <c r="G35" s="4">
        <v>2</v>
      </c>
      <c r="L35" s="8" t="s">
        <v>434</v>
      </c>
    </row>
    <row r="36" spans="1:12">
      <c r="A36">
        <v>6</v>
      </c>
      <c r="B36" s="9" t="s">
        <v>335</v>
      </c>
      <c r="C36" s="3">
        <v>40632.723993055559</v>
      </c>
      <c r="D36" s="9" t="s">
        <v>335</v>
      </c>
      <c r="E36" t="str">
        <f t="shared" si="0"/>
        <v>'d8096f2'</v>
      </c>
      <c r="F36" s="9" t="s">
        <v>335</v>
      </c>
      <c r="G36" s="4">
        <v>1</v>
      </c>
      <c r="L36" s="8" t="s">
        <v>1455</v>
      </c>
    </row>
    <row r="37" spans="1:12">
      <c r="A37">
        <v>7</v>
      </c>
      <c r="B37" s="9" t="s">
        <v>335</v>
      </c>
      <c r="C37" s="3">
        <v>40625.667847222219</v>
      </c>
      <c r="D37" s="9" t="s">
        <v>335</v>
      </c>
      <c r="E37" t="str">
        <f t="shared" si="0"/>
        <v>'049c0ea'</v>
      </c>
      <c r="F37" s="9" t="s">
        <v>335</v>
      </c>
      <c r="G37" s="4">
        <v>1</v>
      </c>
      <c r="L37" s="8" t="s">
        <v>1239</v>
      </c>
    </row>
    <row r="38" spans="1:12">
      <c r="A38">
        <v>7</v>
      </c>
      <c r="B38" s="9" t="s">
        <v>335</v>
      </c>
      <c r="C38" s="3">
        <v>40632.50582175926</v>
      </c>
      <c r="D38" s="9" t="s">
        <v>335</v>
      </c>
      <c r="E38" t="str">
        <f t="shared" si="0"/>
        <v>'cd083bf'</v>
      </c>
      <c r="F38" s="9" t="s">
        <v>335</v>
      </c>
      <c r="G38" s="4">
        <v>2</v>
      </c>
      <c r="L38" s="8" t="s">
        <v>1454</v>
      </c>
    </row>
    <row r="39" spans="1:12">
      <c r="A39">
        <v>7</v>
      </c>
      <c r="B39" s="9" t="s">
        <v>335</v>
      </c>
      <c r="C39" s="3">
        <v>40632.724247685182</v>
      </c>
      <c r="D39" s="9" t="s">
        <v>335</v>
      </c>
      <c r="E39" t="str">
        <f t="shared" si="0"/>
        <v>'afa9e5b'</v>
      </c>
      <c r="F39" s="9" t="s">
        <v>335</v>
      </c>
      <c r="G39" s="4">
        <v>3</v>
      </c>
      <c r="L39" s="8" t="s">
        <v>1057</v>
      </c>
    </row>
    <row r="40" spans="1:12">
      <c r="A40">
        <v>7</v>
      </c>
      <c r="B40" s="9" t="s">
        <v>335</v>
      </c>
      <c r="C40" s="3">
        <v>40633.414953703701</v>
      </c>
      <c r="D40" s="9" t="s">
        <v>335</v>
      </c>
      <c r="E40" t="str">
        <f t="shared" si="0"/>
        <v>'9194d14'</v>
      </c>
      <c r="F40" s="9" t="s">
        <v>335</v>
      </c>
      <c r="G40" s="4">
        <v>4</v>
      </c>
      <c r="L40" s="8" t="s">
        <v>677</v>
      </c>
    </row>
    <row r="41" spans="1:12">
      <c r="A41">
        <v>7</v>
      </c>
      <c r="B41" s="9" t="s">
        <v>335</v>
      </c>
      <c r="C41" s="3">
        <v>40633.691030092596</v>
      </c>
      <c r="D41" s="9" t="s">
        <v>335</v>
      </c>
      <c r="E41" t="str">
        <f t="shared" si="0"/>
        <v>'97f1d02'</v>
      </c>
      <c r="F41" s="9" t="s">
        <v>335</v>
      </c>
      <c r="G41" s="4">
        <v>5</v>
      </c>
      <c r="L41" s="8" t="s">
        <v>1460</v>
      </c>
    </row>
    <row r="42" spans="1:12">
      <c r="A42">
        <v>7</v>
      </c>
      <c r="B42" s="9" t="s">
        <v>335</v>
      </c>
      <c r="C42" s="3">
        <v>40633.416678240741</v>
      </c>
      <c r="D42" s="9" t="s">
        <v>335</v>
      </c>
      <c r="E42" t="str">
        <f t="shared" si="0"/>
        <v>'782f7f7'</v>
      </c>
      <c r="F42" s="9" t="s">
        <v>335</v>
      </c>
      <c r="G42" s="4">
        <v>6</v>
      </c>
      <c r="L42" s="8" t="s">
        <v>585</v>
      </c>
    </row>
    <row r="43" spans="1:12">
      <c r="A43">
        <v>8</v>
      </c>
      <c r="B43" s="9" t="s">
        <v>335</v>
      </c>
      <c r="C43" s="3">
        <v>40630.606134259258</v>
      </c>
      <c r="D43" s="9" t="s">
        <v>335</v>
      </c>
      <c r="E43" t="str">
        <f t="shared" si="0"/>
        <v>'cf7bc42'</v>
      </c>
      <c r="F43" s="9" t="s">
        <v>335</v>
      </c>
      <c r="G43" s="4">
        <v>1</v>
      </c>
      <c r="L43" s="8" t="s">
        <v>671</v>
      </c>
    </row>
    <row r="44" spans="1:12">
      <c r="B44" s="9" t="s">
        <v>335</v>
      </c>
      <c r="D44" s="9" t="s">
        <v>335</v>
      </c>
      <c r="E44" t="str">
        <f t="shared" ref="E44:E107" si="1">CONCATENATE("'",L44,"'")</f>
        <v>''</v>
      </c>
      <c r="F44" s="9" t="s">
        <v>335</v>
      </c>
      <c r="G44" s="4"/>
      <c r="L44" s="8"/>
    </row>
    <row r="45" spans="1:12">
      <c r="A45">
        <v>1</v>
      </c>
      <c r="B45" s="9" t="s">
        <v>335</v>
      </c>
      <c r="C45" s="50">
        <v>40708.739583333336</v>
      </c>
      <c r="D45" s="9" t="s">
        <v>335</v>
      </c>
      <c r="E45" t="str">
        <f t="shared" si="1"/>
        <v>'2b14fe3'</v>
      </c>
      <c r="F45" s="9" t="s">
        <v>335</v>
      </c>
      <c r="G45" s="4">
        <v>1</v>
      </c>
      <c r="H45" t="s">
        <v>1953</v>
      </c>
      <c r="L45" s="10" t="s">
        <v>1305</v>
      </c>
    </row>
    <row r="46" spans="1:12">
      <c r="A46">
        <v>2</v>
      </c>
      <c r="B46" s="9" t="s">
        <v>335</v>
      </c>
      <c r="C46" s="50">
        <v>40707.270833333336</v>
      </c>
      <c r="D46" s="9" t="s">
        <v>335</v>
      </c>
      <c r="E46" t="str">
        <f t="shared" si="1"/>
        <v>'06770c3'</v>
      </c>
      <c r="F46" s="9" t="s">
        <v>335</v>
      </c>
      <c r="G46" s="4">
        <v>1</v>
      </c>
      <c r="L46" s="10" t="s">
        <v>949</v>
      </c>
    </row>
    <row r="47" spans="1:12">
      <c r="A47">
        <v>3</v>
      </c>
      <c r="B47" s="9" t="s">
        <v>335</v>
      </c>
      <c r="C47" s="50">
        <v>40695.972222222219</v>
      </c>
      <c r="D47" s="9" t="s">
        <v>335</v>
      </c>
      <c r="E47" t="str">
        <f t="shared" si="1"/>
        <v>'0454682'</v>
      </c>
      <c r="F47" s="9" t="s">
        <v>335</v>
      </c>
      <c r="G47" s="4">
        <v>1</v>
      </c>
      <c r="L47" s="10" t="s">
        <v>1915</v>
      </c>
    </row>
    <row r="48" spans="1:12">
      <c r="A48">
        <v>3</v>
      </c>
      <c r="B48" s="9" t="s">
        <v>335</v>
      </c>
      <c r="C48" s="50">
        <v>40717.464583333334</v>
      </c>
      <c r="D48" s="9" t="s">
        <v>335</v>
      </c>
      <c r="E48" t="str">
        <f t="shared" si="1"/>
        <v>'34e8a40'</v>
      </c>
      <c r="F48" s="9" t="s">
        <v>335</v>
      </c>
      <c r="G48" s="4">
        <v>2</v>
      </c>
      <c r="L48" s="10" t="s">
        <v>940</v>
      </c>
    </row>
    <row r="49" spans="1:12">
      <c r="A49">
        <v>4</v>
      </c>
      <c r="B49" s="9" t="s">
        <v>335</v>
      </c>
      <c r="C49" s="47">
        <v>40684.611805555556</v>
      </c>
      <c r="D49" s="9" t="s">
        <v>335</v>
      </c>
      <c r="E49" t="str">
        <f t="shared" si="1"/>
        <v>'c4d9fe8'</v>
      </c>
      <c r="F49" s="9" t="s">
        <v>335</v>
      </c>
      <c r="G49" s="4">
        <v>1</v>
      </c>
      <c r="L49" s="10" t="s">
        <v>464</v>
      </c>
    </row>
    <row r="50" spans="1:12">
      <c r="A50">
        <v>4</v>
      </c>
      <c r="B50" s="9" t="s">
        <v>335</v>
      </c>
      <c r="C50" s="47">
        <v>40697.852777777778</v>
      </c>
      <c r="D50" s="9" t="s">
        <v>335</v>
      </c>
      <c r="E50" t="str">
        <f t="shared" si="1"/>
        <v>'495779d'</v>
      </c>
      <c r="F50" s="9" t="s">
        <v>335</v>
      </c>
      <c r="G50" s="4">
        <v>2</v>
      </c>
      <c r="L50" s="10" t="s">
        <v>897</v>
      </c>
    </row>
    <row r="51" spans="1:12">
      <c r="A51">
        <v>5</v>
      </c>
      <c r="B51" s="9" t="s">
        <v>335</v>
      </c>
      <c r="C51" s="50">
        <v>40696.686111111114</v>
      </c>
      <c r="D51" s="9" t="s">
        <v>335</v>
      </c>
      <c r="E51" t="str">
        <f t="shared" si="1"/>
        <v>'d5b8cf4'</v>
      </c>
      <c r="F51" s="9" t="s">
        <v>335</v>
      </c>
      <c r="G51" s="4">
        <v>1</v>
      </c>
      <c r="L51" s="10" t="s">
        <v>465</v>
      </c>
    </row>
    <row r="52" spans="1:12">
      <c r="A52">
        <v>5</v>
      </c>
      <c r="B52" s="9" t="s">
        <v>335</v>
      </c>
      <c r="C52" s="50">
        <v>40718.918749999997</v>
      </c>
      <c r="D52" s="9" t="s">
        <v>335</v>
      </c>
      <c r="E52" t="str">
        <f t="shared" si="1"/>
        <v>'89bd7cd'</v>
      </c>
      <c r="F52" s="9" t="s">
        <v>335</v>
      </c>
      <c r="G52" s="4">
        <v>2</v>
      </c>
      <c r="L52" s="10" t="s">
        <v>814</v>
      </c>
    </row>
    <row r="53" spans="1:12">
      <c r="A53">
        <v>6</v>
      </c>
      <c r="B53" s="9" t="s">
        <v>335</v>
      </c>
      <c r="C53" s="47">
        <v>40716.208333333336</v>
      </c>
      <c r="D53" s="9" t="s">
        <v>335</v>
      </c>
      <c r="E53" t="str">
        <f t="shared" si="1"/>
        <v>'591cbfd'</v>
      </c>
      <c r="F53" s="9" t="s">
        <v>335</v>
      </c>
      <c r="G53" s="4">
        <v>1</v>
      </c>
      <c r="L53" s="10" t="s">
        <v>858</v>
      </c>
    </row>
    <row r="54" spans="1:12">
      <c r="A54">
        <v>7</v>
      </c>
      <c r="B54" s="9" t="s">
        <v>335</v>
      </c>
      <c r="C54" s="47">
        <v>40699.54791666667</v>
      </c>
      <c r="D54" s="9" t="s">
        <v>335</v>
      </c>
      <c r="E54" t="str">
        <f t="shared" si="1"/>
        <v>'e4a846d'</v>
      </c>
      <c r="F54" s="9" t="s">
        <v>335</v>
      </c>
      <c r="G54" s="4">
        <v>1</v>
      </c>
      <c r="L54" s="10" t="s">
        <v>888</v>
      </c>
    </row>
    <row r="55" spans="1:12">
      <c r="A55">
        <v>8</v>
      </c>
      <c r="B55" s="9" t="s">
        <v>335</v>
      </c>
      <c r="C55" s="47">
        <v>40703.654861111114</v>
      </c>
      <c r="D55" s="9" t="s">
        <v>335</v>
      </c>
      <c r="E55" t="str">
        <f t="shared" si="1"/>
        <v>'17a835d'</v>
      </c>
      <c r="F55" s="9" t="s">
        <v>335</v>
      </c>
      <c r="G55" s="4">
        <v>1</v>
      </c>
      <c r="L55" s="10" t="s">
        <v>1345</v>
      </c>
    </row>
    <row r="56" spans="1:12">
      <c r="A56">
        <v>8</v>
      </c>
      <c r="B56" s="9" t="s">
        <v>335</v>
      </c>
      <c r="C56" s="47">
        <v>40707.866666666669</v>
      </c>
      <c r="D56" s="9" t="s">
        <v>335</v>
      </c>
      <c r="E56" t="str">
        <f t="shared" si="1"/>
        <v>'985f378'</v>
      </c>
      <c r="F56" s="9" t="s">
        <v>335</v>
      </c>
      <c r="G56" s="4">
        <v>2</v>
      </c>
      <c r="L56" s="10" t="s">
        <v>1512</v>
      </c>
    </row>
    <row r="57" spans="1:12">
      <c r="A57">
        <v>9</v>
      </c>
      <c r="B57" s="9" t="s">
        <v>335</v>
      </c>
      <c r="C57" s="47">
        <v>40700.961805555555</v>
      </c>
      <c r="D57" s="9" t="s">
        <v>335</v>
      </c>
      <c r="E57" t="str">
        <f t="shared" si="1"/>
        <v>'8ce6893'</v>
      </c>
      <c r="F57" s="9" t="s">
        <v>335</v>
      </c>
      <c r="G57" s="4">
        <v>1</v>
      </c>
      <c r="L57" s="10" t="s">
        <v>800</v>
      </c>
    </row>
    <row r="58" spans="1:12">
      <c r="A58">
        <v>9</v>
      </c>
      <c r="B58" s="9" t="s">
        <v>335</v>
      </c>
      <c r="C58" s="47">
        <v>40714.54791666667</v>
      </c>
      <c r="D58" s="9" t="s">
        <v>335</v>
      </c>
      <c r="E58" t="str">
        <f t="shared" si="1"/>
        <v>'6be5275'</v>
      </c>
      <c r="F58" s="9" t="s">
        <v>335</v>
      </c>
      <c r="G58" s="4">
        <v>2</v>
      </c>
      <c r="L58" s="10" t="s">
        <v>732</v>
      </c>
    </row>
    <row r="59" spans="1:12">
      <c r="A59">
        <v>10</v>
      </c>
      <c r="B59" s="9" t="s">
        <v>335</v>
      </c>
      <c r="C59" s="50">
        <v>40707.93472222222</v>
      </c>
      <c r="D59" s="9" t="s">
        <v>335</v>
      </c>
      <c r="E59" t="str">
        <f t="shared" si="1"/>
        <v>'2cd6960'</v>
      </c>
      <c r="F59" s="9" t="s">
        <v>335</v>
      </c>
      <c r="G59" s="4">
        <v>1</v>
      </c>
      <c r="L59" s="10" t="s">
        <v>1498</v>
      </c>
    </row>
    <row r="60" spans="1:12">
      <c r="A60">
        <v>11</v>
      </c>
      <c r="B60" s="9" t="s">
        <v>335</v>
      </c>
      <c r="C60" s="50">
        <v>40698.474999999999</v>
      </c>
      <c r="D60" s="9" t="s">
        <v>335</v>
      </c>
      <c r="E60" t="str">
        <f t="shared" si="1"/>
        <v>'82a26a5'</v>
      </c>
      <c r="F60" s="9" t="s">
        <v>335</v>
      </c>
      <c r="G60" s="4">
        <v>1</v>
      </c>
      <c r="L60" s="10" t="s">
        <v>892</v>
      </c>
    </row>
    <row r="61" spans="1:12">
      <c r="A61">
        <v>11</v>
      </c>
      <c r="B61" s="9" t="s">
        <v>335</v>
      </c>
      <c r="C61" s="50">
        <v>40701.622916666667</v>
      </c>
      <c r="D61" s="9" t="s">
        <v>335</v>
      </c>
      <c r="E61" t="str">
        <f t="shared" si="1"/>
        <v>'6de74a5'</v>
      </c>
      <c r="F61" s="9" t="s">
        <v>335</v>
      </c>
      <c r="G61" s="4">
        <v>2</v>
      </c>
      <c r="L61" s="10" t="s">
        <v>1262</v>
      </c>
    </row>
    <row r="62" spans="1:12">
      <c r="A62">
        <v>11</v>
      </c>
      <c r="B62" s="9" t="s">
        <v>335</v>
      </c>
      <c r="C62" s="50">
        <v>40711.575694444444</v>
      </c>
      <c r="D62" s="9" t="s">
        <v>335</v>
      </c>
      <c r="E62" t="str">
        <f t="shared" si="1"/>
        <v>'7b20516'</v>
      </c>
      <c r="F62" s="9" t="s">
        <v>335</v>
      </c>
      <c r="G62" s="4">
        <v>3</v>
      </c>
      <c r="L62" s="10" t="s">
        <v>1192</v>
      </c>
    </row>
    <row r="63" spans="1:12">
      <c r="A63">
        <v>11</v>
      </c>
      <c r="B63" s="9" t="s">
        <v>335</v>
      </c>
      <c r="C63" s="50">
        <v>40711.911805555559</v>
      </c>
      <c r="D63" s="9" t="s">
        <v>335</v>
      </c>
      <c r="E63" t="str">
        <f t="shared" si="1"/>
        <v>'5dddebc'</v>
      </c>
      <c r="F63" s="9" t="s">
        <v>335</v>
      </c>
      <c r="G63" s="4">
        <v>4</v>
      </c>
      <c r="L63" s="10" t="s">
        <v>1005</v>
      </c>
    </row>
    <row r="64" spans="1:12">
      <c r="A64">
        <v>11</v>
      </c>
      <c r="B64" s="9" t="s">
        <v>335</v>
      </c>
      <c r="C64" s="50">
        <v>40711.97152777778</v>
      </c>
      <c r="D64" s="9" t="s">
        <v>335</v>
      </c>
      <c r="E64" t="str">
        <f t="shared" si="1"/>
        <v>'312861f'</v>
      </c>
      <c r="F64" s="9" t="s">
        <v>335</v>
      </c>
      <c r="G64" s="4">
        <v>5</v>
      </c>
      <c r="L64" s="10" t="s">
        <v>1314</v>
      </c>
    </row>
    <row r="65" spans="1:12">
      <c r="A65">
        <v>11</v>
      </c>
      <c r="B65" s="9" t="s">
        <v>335</v>
      </c>
      <c r="C65" s="50">
        <v>40712.394444444442</v>
      </c>
      <c r="D65" s="9" t="s">
        <v>335</v>
      </c>
      <c r="E65" t="str">
        <f t="shared" si="1"/>
        <v>'b2a9ccd'</v>
      </c>
      <c r="F65" s="9" t="s">
        <v>335</v>
      </c>
      <c r="G65" s="4">
        <v>6</v>
      </c>
      <c r="L65" s="10" t="s">
        <v>810</v>
      </c>
    </row>
    <row r="66" spans="1:12">
      <c r="A66">
        <v>12</v>
      </c>
      <c r="B66" s="9" t="s">
        <v>335</v>
      </c>
      <c r="C66" s="50">
        <v>40697.648611111108</v>
      </c>
      <c r="D66" s="9" t="s">
        <v>335</v>
      </c>
      <c r="E66" t="str">
        <f t="shared" si="1"/>
        <v>'2ca3836'</v>
      </c>
      <c r="F66" s="9" t="s">
        <v>335</v>
      </c>
      <c r="G66" s="4">
        <v>1</v>
      </c>
      <c r="L66" s="10" t="s">
        <v>1014</v>
      </c>
    </row>
    <row r="67" spans="1:12">
      <c r="A67">
        <v>12</v>
      </c>
      <c r="B67" s="9" t="s">
        <v>335</v>
      </c>
      <c r="C67" s="47">
        <v>40676.574999999997</v>
      </c>
      <c r="D67" s="9" t="s">
        <v>335</v>
      </c>
      <c r="E67" t="str">
        <f t="shared" si="1"/>
        <v>'e76b021'</v>
      </c>
      <c r="F67" s="9" t="s">
        <v>335</v>
      </c>
      <c r="G67" s="4">
        <v>2</v>
      </c>
      <c r="L67" s="10" t="s">
        <v>1086</v>
      </c>
    </row>
    <row r="68" spans="1:12">
      <c r="A68">
        <v>12</v>
      </c>
      <c r="B68" s="9" t="s">
        <v>335</v>
      </c>
      <c r="C68" s="50">
        <v>40698.442361111112</v>
      </c>
      <c r="D68" s="9" t="s">
        <v>335</v>
      </c>
      <c r="E68" t="str">
        <f t="shared" si="1"/>
        <v>'d2f90ce'</v>
      </c>
      <c r="F68" s="9" t="s">
        <v>335</v>
      </c>
      <c r="G68" s="4">
        <v>3</v>
      </c>
      <c r="L68" s="10" t="s">
        <v>898</v>
      </c>
    </row>
    <row r="69" spans="1:12">
      <c r="A69">
        <v>12</v>
      </c>
      <c r="B69" s="9" t="s">
        <v>335</v>
      </c>
      <c r="C69" s="47">
        <v>40697.484722222223</v>
      </c>
      <c r="D69" s="9" t="s">
        <v>335</v>
      </c>
      <c r="E69" t="str">
        <f t="shared" si="1"/>
        <v>'514b5fd'</v>
      </c>
      <c r="F69" s="9" t="s">
        <v>335</v>
      </c>
      <c r="G69" s="4">
        <v>4</v>
      </c>
      <c r="L69" s="10" t="s">
        <v>891</v>
      </c>
    </row>
    <row r="70" spans="1:12">
      <c r="A70">
        <v>12</v>
      </c>
      <c r="B70" s="9" t="s">
        <v>335</v>
      </c>
      <c r="C70" s="50">
        <v>40699.677083333336</v>
      </c>
      <c r="D70" s="9" t="s">
        <v>335</v>
      </c>
      <c r="E70" t="str">
        <f t="shared" si="1"/>
        <v>'2ff3cab'</v>
      </c>
      <c r="F70" s="9" t="s">
        <v>335</v>
      </c>
      <c r="G70" s="4">
        <v>5</v>
      </c>
      <c r="L70" s="10" t="s">
        <v>889</v>
      </c>
    </row>
    <row r="71" spans="1:12">
      <c r="A71">
        <v>12</v>
      </c>
      <c r="B71" s="9" t="s">
        <v>335</v>
      </c>
      <c r="C71" s="47">
        <v>40700.678472222222</v>
      </c>
      <c r="D71" s="9" t="s">
        <v>335</v>
      </c>
      <c r="E71" t="str">
        <f t="shared" si="1"/>
        <v>'77290b9'</v>
      </c>
      <c r="F71" s="9" t="s">
        <v>335</v>
      </c>
      <c r="G71" s="4">
        <v>6</v>
      </c>
      <c r="L71" s="10" t="s">
        <v>394</v>
      </c>
    </row>
    <row r="72" spans="1:12">
      <c r="A72">
        <v>12</v>
      </c>
      <c r="B72" s="9" t="s">
        <v>335</v>
      </c>
      <c r="C72" s="50">
        <v>40701.436805555553</v>
      </c>
      <c r="D72" s="9" t="s">
        <v>335</v>
      </c>
      <c r="E72" t="str">
        <f t="shared" si="1"/>
        <v>'8cd638a'</v>
      </c>
      <c r="F72" s="9" t="s">
        <v>335</v>
      </c>
      <c r="G72" s="4">
        <v>7</v>
      </c>
      <c r="L72" s="10" t="s">
        <v>425</v>
      </c>
    </row>
    <row r="73" spans="1:12">
      <c r="A73">
        <v>12</v>
      </c>
      <c r="B73" s="9" t="s">
        <v>335</v>
      </c>
      <c r="C73" s="47">
        <v>40701.602083333331</v>
      </c>
      <c r="D73" s="9" t="s">
        <v>335</v>
      </c>
      <c r="E73" t="str">
        <f t="shared" si="1"/>
        <v>'8291720'</v>
      </c>
      <c r="F73" s="9" t="s">
        <v>335</v>
      </c>
      <c r="G73" s="4">
        <v>8</v>
      </c>
      <c r="L73" s="10" t="s">
        <v>1912</v>
      </c>
    </row>
    <row r="74" spans="1:12">
      <c r="A74">
        <v>12</v>
      </c>
      <c r="B74" s="9" t="s">
        <v>335</v>
      </c>
      <c r="C74" s="47">
        <v>40700.768055555556</v>
      </c>
      <c r="D74" s="9" t="s">
        <v>335</v>
      </c>
      <c r="E74" t="str">
        <f t="shared" si="1"/>
        <v>'3fb0fb2'</v>
      </c>
      <c r="F74" s="9" t="s">
        <v>335</v>
      </c>
      <c r="G74" s="4">
        <v>9</v>
      </c>
      <c r="L74" s="10" t="s">
        <v>548</v>
      </c>
    </row>
    <row r="75" spans="1:12">
      <c r="A75">
        <v>12</v>
      </c>
      <c r="B75" s="9" t="s">
        <v>335</v>
      </c>
      <c r="C75" s="50">
        <v>40706.921527777777</v>
      </c>
      <c r="D75" s="9" t="s">
        <v>335</v>
      </c>
      <c r="E75" t="str">
        <f t="shared" si="1"/>
        <v>'ef05e4c'</v>
      </c>
      <c r="F75" s="9" t="s">
        <v>335</v>
      </c>
      <c r="G75" s="4">
        <v>10</v>
      </c>
      <c r="L75" s="10" t="s">
        <v>1346</v>
      </c>
    </row>
    <row r="76" spans="1:12">
      <c r="A76">
        <v>12</v>
      </c>
      <c r="B76" s="9" t="s">
        <v>335</v>
      </c>
      <c r="C76" s="47">
        <v>40705.777083333334</v>
      </c>
      <c r="D76" s="9" t="s">
        <v>335</v>
      </c>
      <c r="E76" t="str">
        <f t="shared" si="1"/>
        <v>'e03ba7d'</v>
      </c>
      <c r="F76" s="9" t="s">
        <v>335</v>
      </c>
      <c r="G76" s="4">
        <v>11</v>
      </c>
      <c r="L76" s="10" t="s">
        <v>948</v>
      </c>
    </row>
    <row r="77" spans="1:12">
      <c r="A77">
        <v>12</v>
      </c>
      <c r="B77" s="9" t="s">
        <v>335</v>
      </c>
      <c r="C77" s="50">
        <v>40707.390277777777</v>
      </c>
      <c r="D77" s="9" t="s">
        <v>335</v>
      </c>
      <c r="E77" t="str">
        <f t="shared" si="1"/>
        <v>'c61ffdd'</v>
      </c>
      <c r="F77" s="9" t="s">
        <v>335</v>
      </c>
      <c r="G77" s="4">
        <v>12</v>
      </c>
      <c r="L77" s="10" t="s">
        <v>646</v>
      </c>
    </row>
    <row r="78" spans="1:12">
      <c r="A78">
        <v>12</v>
      </c>
      <c r="B78" s="9" t="s">
        <v>335</v>
      </c>
      <c r="C78" s="47">
        <v>40707.402083333334</v>
      </c>
      <c r="D78" s="9" t="s">
        <v>335</v>
      </c>
      <c r="E78" t="str">
        <f t="shared" si="1"/>
        <v>'6464917'</v>
      </c>
      <c r="F78" s="9" t="s">
        <v>335</v>
      </c>
      <c r="G78" s="4">
        <v>13</v>
      </c>
      <c r="L78" s="10" t="s">
        <v>1913</v>
      </c>
    </row>
    <row r="79" spans="1:12">
      <c r="A79">
        <v>12</v>
      </c>
      <c r="B79" s="9" t="s">
        <v>335</v>
      </c>
      <c r="C79" s="47">
        <v>40711.476388888892</v>
      </c>
      <c r="D79" s="9" t="s">
        <v>335</v>
      </c>
      <c r="E79" t="str">
        <f t="shared" si="1"/>
        <v>'a3354b1'</v>
      </c>
      <c r="F79" s="9" t="s">
        <v>335</v>
      </c>
      <c r="G79" s="4">
        <v>14</v>
      </c>
      <c r="L79" s="10" t="s">
        <v>1191</v>
      </c>
    </row>
    <row r="80" spans="1:12">
      <c r="A80">
        <v>12</v>
      </c>
      <c r="B80" s="9" t="s">
        <v>335</v>
      </c>
      <c r="C80" s="47">
        <v>40711.777083333334</v>
      </c>
      <c r="D80" s="9" t="s">
        <v>335</v>
      </c>
      <c r="E80" t="str">
        <f t="shared" si="1"/>
        <v>'26fc0c8'</v>
      </c>
      <c r="F80" s="9" t="s">
        <v>335</v>
      </c>
      <c r="G80" s="4">
        <v>15</v>
      </c>
      <c r="L80" s="10" t="s">
        <v>1004</v>
      </c>
    </row>
    <row r="81" spans="1:12">
      <c r="A81">
        <v>12</v>
      </c>
      <c r="B81" s="9" t="s">
        <v>335</v>
      </c>
      <c r="C81" s="47">
        <v>40711.925000000003</v>
      </c>
      <c r="D81" s="9" t="s">
        <v>335</v>
      </c>
      <c r="E81" t="str">
        <f t="shared" si="1"/>
        <v>'40ffd56'</v>
      </c>
      <c r="F81" s="9" t="s">
        <v>335</v>
      </c>
      <c r="G81" s="4">
        <v>16</v>
      </c>
      <c r="L81" s="10" t="s">
        <v>1313</v>
      </c>
    </row>
    <row r="82" spans="1:12">
      <c r="A82">
        <v>12</v>
      </c>
      <c r="B82" s="9" t="s">
        <v>335</v>
      </c>
      <c r="C82" s="47">
        <v>40711.97152777778</v>
      </c>
      <c r="D82" s="9" t="s">
        <v>335</v>
      </c>
      <c r="E82" t="str">
        <f t="shared" si="1"/>
        <v>'cf3104d'</v>
      </c>
      <c r="F82" s="9" t="s">
        <v>335</v>
      </c>
      <c r="G82" s="4">
        <v>17</v>
      </c>
      <c r="L82" s="10" t="s">
        <v>809</v>
      </c>
    </row>
    <row r="83" spans="1:12">
      <c r="A83">
        <v>12</v>
      </c>
      <c r="B83" s="9" t="s">
        <v>335</v>
      </c>
      <c r="C83" s="50">
        <v>40714.463888888888</v>
      </c>
      <c r="D83" s="9" t="s">
        <v>335</v>
      </c>
      <c r="E83" t="str">
        <f t="shared" si="1"/>
        <v>'405f913'</v>
      </c>
      <c r="F83" s="9" t="s">
        <v>335</v>
      </c>
      <c r="G83" s="4">
        <v>18</v>
      </c>
      <c r="L83" s="10" t="s">
        <v>801</v>
      </c>
    </row>
    <row r="84" spans="1:12">
      <c r="A84">
        <v>12</v>
      </c>
      <c r="B84" s="9" t="s">
        <v>335</v>
      </c>
      <c r="C84" s="50">
        <v>40714.746527777781</v>
      </c>
      <c r="D84" s="9" t="s">
        <v>335</v>
      </c>
      <c r="E84" t="str">
        <f t="shared" si="1"/>
        <v>'78cdd29'</v>
      </c>
      <c r="F84" s="9" t="s">
        <v>335</v>
      </c>
      <c r="G84" s="4">
        <v>19</v>
      </c>
      <c r="L84" s="10" t="s">
        <v>733</v>
      </c>
    </row>
    <row r="85" spans="1:12">
      <c r="A85">
        <v>12</v>
      </c>
      <c r="B85" s="9" t="s">
        <v>335</v>
      </c>
      <c r="C85" s="47">
        <v>40714.463888888888</v>
      </c>
      <c r="D85" s="9" t="s">
        <v>335</v>
      </c>
      <c r="E85" t="str">
        <f t="shared" si="1"/>
        <v>'556ef07'</v>
      </c>
      <c r="F85" s="9" t="s">
        <v>335</v>
      </c>
      <c r="G85" s="4">
        <v>20</v>
      </c>
      <c r="L85" s="10" t="s">
        <v>381</v>
      </c>
    </row>
    <row r="86" spans="1:12">
      <c r="A86">
        <v>12</v>
      </c>
      <c r="B86" s="9" t="s">
        <v>335</v>
      </c>
      <c r="C86" s="47">
        <v>40712.396527777775</v>
      </c>
      <c r="D86" s="9" t="s">
        <v>335</v>
      </c>
      <c r="E86" t="str">
        <f t="shared" si="1"/>
        <v>'06b1009'</v>
      </c>
      <c r="F86" s="9" t="s">
        <v>335</v>
      </c>
      <c r="G86" s="4">
        <v>21</v>
      </c>
      <c r="L86" s="10" t="s">
        <v>1257</v>
      </c>
    </row>
    <row r="87" spans="1:12">
      <c r="A87">
        <v>12</v>
      </c>
      <c r="B87" s="9" t="s">
        <v>335</v>
      </c>
      <c r="C87" s="50">
        <v>40715.709722222222</v>
      </c>
      <c r="D87" s="9" t="s">
        <v>335</v>
      </c>
      <c r="E87" t="str">
        <f t="shared" si="1"/>
        <v>'63a2916'</v>
      </c>
      <c r="F87" s="9" t="s">
        <v>335</v>
      </c>
      <c r="G87" s="4">
        <v>22</v>
      </c>
      <c r="L87" s="10" t="s">
        <v>403</v>
      </c>
    </row>
    <row r="88" spans="1:12">
      <c r="A88">
        <v>12</v>
      </c>
      <c r="B88" s="9" t="s">
        <v>335</v>
      </c>
      <c r="C88" s="50">
        <v>40721.417361111111</v>
      </c>
      <c r="D88" s="9" t="s">
        <v>335</v>
      </c>
      <c r="E88" t="str">
        <f t="shared" si="1"/>
        <v>'9f526b3'</v>
      </c>
      <c r="F88" s="9" t="s">
        <v>335</v>
      </c>
      <c r="G88" s="4">
        <v>23</v>
      </c>
      <c r="L88" s="10" t="s">
        <v>859</v>
      </c>
    </row>
    <row r="89" spans="1:12">
      <c r="A89">
        <v>12</v>
      </c>
      <c r="B89" s="9" t="s">
        <v>335</v>
      </c>
      <c r="C89" s="47">
        <v>40722.973611111112</v>
      </c>
      <c r="D89" s="9" t="s">
        <v>335</v>
      </c>
      <c r="E89" t="str">
        <f t="shared" si="1"/>
        <v>'d741fd9'</v>
      </c>
      <c r="F89" s="9" t="s">
        <v>335</v>
      </c>
      <c r="G89" s="4">
        <v>24</v>
      </c>
      <c r="L89" s="10" t="s">
        <v>998</v>
      </c>
    </row>
    <row r="90" spans="1:12">
      <c r="A90">
        <v>13</v>
      </c>
      <c r="B90" s="9" t="s">
        <v>335</v>
      </c>
      <c r="C90" s="50">
        <v>40715.681944444441</v>
      </c>
      <c r="D90" s="9" t="s">
        <v>335</v>
      </c>
      <c r="E90" t="str">
        <f t="shared" si="1"/>
        <v>'c83d2cf'</v>
      </c>
      <c r="F90" s="9" t="s">
        <v>335</v>
      </c>
      <c r="G90" s="4">
        <v>1</v>
      </c>
      <c r="L90" s="10" t="s">
        <v>542</v>
      </c>
    </row>
    <row r="91" spans="1:12">
      <c r="A91">
        <v>14</v>
      </c>
      <c r="B91" s="9" t="s">
        <v>335</v>
      </c>
      <c r="C91" s="50">
        <v>40696.95208333333</v>
      </c>
      <c r="D91" s="9" t="s">
        <v>335</v>
      </c>
      <c r="E91" t="str">
        <f t="shared" si="1"/>
        <v>'c3eef5b'</v>
      </c>
      <c r="F91" s="9" t="s">
        <v>335</v>
      </c>
      <c r="G91" s="4">
        <v>1</v>
      </c>
      <c r="L91" s="10" t="s">
        <v>702</v>
      </c>
    </row>
    <row r="92" spans="1:12">
      <c r="A92">
        <v>15</v>
      </c>
      <c r="B92" s="9" t="s">
        <v>335</v>
      </c>
      <c r="C92" s="47">
        <v>40696.95208333333</v>
      </c>
      <c r="D92" s="9" t="s">
        <v>335</v>
      </c>
      <c r="E92" t="str">
        <f t="shared" si="1"/>
        <v>'3f13f6d'</v>
      </c>
      <c r="F92" s="9" t="s">
        <v>335</v>
      </c>
      <c r="G92" s="4">
        <v>1</v>
      </c>
      <c r="L92" s="10" t="s">
        <v>701</v>
      </c>
    </row>
    <row r="93" spans="1:12">
      <c r="A93">
        <v>15</v>
      </c>
      <c r="B93" s="9" t="s">
        <v>335</v>
      </c>
      <c r="C93" s="47">
        <v>40697.331250000003</v>
      </c>
      <c r="D93" s="9" t="s">
        <v>335</v>
      </c>
      <c r="E93" t="str">
        <f t="shared" si="1"/>
        <v>'005b75d'</v>
      </c>
      <c r="F93" s="9" t="s">
        <v>335</v>
      </c>
      <c r="G93" s="4">
        <v>2</v>
      </c>
      <c r="L93" s="10" t="s">
        <v>1013</v>
      </c>
    </row>
    <row r="94" spans="1:12">
      <c r="A94">
        <v>15</v>
      </c>
      <c r="B94" s="9" t="s">
        <v>335</v>
      </c>
      <c r="C94" s="50">
        <v>40715.60833333333</v>
      </c>
      <c r="D94" s="9" t="s">
        <v>335</v>
      </c>
      <c r="E94" t="str">
        <f t="shared" si="1"/>
        <v>'9323b34'</v>
      </c>
      <c r="F94" s="9" t="s">
        <v>335</v>
      </c>
      <c r="G94" s="4">
        <v>3</v>
      </c>
      <c r="L94" s="10" t="s">
        <v>541</v>
      </c>
    </row>
    <row r="95" spans="1:12">
      <c r="A95">
        <v>16</v>
      </c>
      <c r="B95" s="9" t="s">
        <v>335</v>
      </c>
      <c r="C95" s="47">
        <v>40692.461111111108</v>
      </c>
      <c r="D95" s="9" t="s">
        <v>335</v>
      </c>
      <c r="E95" t="str">
        <f t="shared" si="1"/>
        <v>'017e445'</v>
      </c>
      <c r="F95" s="9" t="s">
        <v>335</v>
      </c>
      <c r="G95" s="4">
        <v>1</v>
      </c>
      <c r="L95" s="10" t="s">
        <v>965</v>
      </c>
    </row>
    <row r="96" spans="1:12">
      <c r="A96">
        <v>16</v>
      </c>
      <c r="B96" s="9" t="s">
        <v>335</v>
      </c>
      <c r="C96" s="50">
        <v>40701.379166666666</v>
      </c>
      <c r="D96" s="9" t="s">
        <v>335</v>
      </c>
      <c r="E96" t="str">
        <f t="shared" si="1"/>
        <v>'79eb909'</v>
      </c>
      <c r="F96" s="9" t="s">
        <v>335</v>
      </c>
      <c r="G96" s="4">
        <v>2</v>
      </c>
      <c r="L96" s="10" t="s">
        <v>920</v>
      </c>
    </row>
    <row r="97" spans="1:12">
      <c r="A97">
        <v>16</v>
      </c>
      <c r="B97" s="9" t="s">
        <v>335</v>
      </c>
      <c r="C97" s="47">
        <v>40701.404166666667</v>
      </c>
      <c r="D97" s="9" t="s">
        <v>335</v>
      </c>
      <c r="E97" t="str">
        <f t="shared" si="1"/>
        <v>'dbe586c'</v>
      </c>
      <c r="F97" s="9" t="s">
        <v>335</v>
      </c>
      <c r="G97" s="4">
        <v>3</v>
      </c>
      <c r="L97" s="10" t="s">
        <v>424</v>
      </c>
    </row>
    <row r="98" spans="1:12">
      <c r="A98">
        <v>16</v>
      </c>
      <c r="B98" s="9" t="s">
        <v>335</v>
      </c>
      <c r="C98" s="47">
        <v>40702.422222222223</v>
      </c>
      <c r="D98" s="9" t="s">
        <v>335</v>
      </c>
      <c r="E98" t="str">
        <f t="shared" si="1"/>
        <v>'bb06bd1'</v>
      </c>
      <c r="F98" s="9" t="s">
        <v>335</v>
      </c>
      <c r="G98" s="4">
        <v>4</v>
      </c>
      <c r="L98" s="10" t="s">
        <v>1411</v>
      </c>
    </row>
    <row r="99" spans="1:12">
      <c r="A99">
        <v>17</v>
      </c>
      <c r="B99" s="9" t="s">
        <v>335</v>
      </c>
      <c r="C99" s="47">
        <v>40694.673611111109</v>
      </c>
      <c r="D99" s="9" t="s">
        <v>335</v>
      </c>
      <c r="E99" t="str">
        <f t="shared" si="1"/>
        <v>'b1926cf'</v>
      </c>
      <c r="F99" s="9" t="s">
        <v>335</v>
      </c>
      <c r="G99" s="4">
        <v>1</v>
      </c>
      <c r="L99" s="10" t="s">
        <v>384</v>
      </c>
    </row>
    <row r="100" spans="1:12">
      <c r="A100">
        <v>17</v>
      </c>
      <c r="B100" s="9" t="s">
        <v>335</v>
      </c>
      <c r="C100" s="50">
        <v>40700.009722222225</v>
      </c>
      <c r="D100" s="9" t="s">
        <v>335</v>
      </c>
      <c r="E100" t="str">
        <f t="shared" si="1"/>
        <v>'d9e6602'</v>
      </c>
      <c r="F100" s="9" t="s">
        <v>335</v>
      </c>
      <c r="G100" s="4">
        <v>2</v>
      </c>
      <c r="L100" s="10" t="s">
        <v>966</v>
      </c>
    </row>
    <row r="101" spans="1:12">
      <c r="A101">
        <v>17</v>
      </c>
      <c r="B101" s="9" t="s">
        <v>335</v>
      </c>
      <c r="C101" s="50">
        <v>40700.931944444441</v>
      </c>
      <c r="D101" s="9" t="s">
        <v>335</v>
      </c>
      <c r="E101" t="str">
        <f t="shared" si="1"/>
        <v>'5ea48db'</v>
      </c>
      <c r="F101" s="9" t="s">
        <v>335</v>
      </c>
      <c r="G101" s="4">
        <v>3</v>
      </c>
      <c r="L101" s="10" t="s">
        <v>395</v>
      </c>
    </row>
    <row r="102" spans="1:12">
      <c r="A102">
        <v>17</v>
      </c>
      <c r="B102" s="9" t="s">
        <v>335</v>
      </c>
      <c r="C102" s="50">
        <v>40702.461805555555</v>
      </c>
      <c r="D102" s="9" t="s">
        <v>335</v>
      </c>
      <c r="E102" t="str">
        <f t="shared" si="1"/>
        <v>'0aca5e5'</v>
      </c>
      <c r="F102" s="9" t="s">
        <v>335</v>
      </c>
      <c r="G102" s="4">
        <v>4</v>
      </c>
      <c r="L102" s="10" t="s">
        <v>1412</v>
      </c>
    </row>
    <row r="103" spans="1:12">
      <c r="A103">
        <v>17</v>
      </c>
      <c r="B103" s="9" t="s">
        <v>335</v>
      </c>
      <c r="C103" s="47">
        <v>40707.242361111108</v>
      </c>
      <c r="D103" s="9" t="s">
        <v>335</v>
      </c>
      <c r="E103" t="str">
        <f t="shared" si="1"/>
        <v>'8007d83'</v>
      </c>
      <c r="F103" s="9" t="s">
        <v>335</v>
      </c>
      <c r="G103" s="4">
        <v>5</v>
      </c>
      <c r="L103" s="10" t="s">
        <v>645</v>
      </c>
    </row>
    <row r="104" spans="1:12">
      <c r="A104">
        <v>17</v>
      </c>
      <c r="B104" s="9" t="s">
        <v>335</v>
      </c>
      <c r="C104" s="50">
        <v>40708.0625</v>
      </c>
      <c r="D104" s="9" t="s">
        <v>335</v>
      </c>
      <c r="E104" t="str">
        <f t="shared" si="1"/>
        <v>'3059872'</v>
      </c>
      <c r="F104" s="9" t="s">
        <v>335</v>
      </c>
      <c r="G104" s="4">
        <v>6</v>
      </c>
      <c r="L104" s="10" t="s">
        <v>1914</v>
      </c>
    </row>
    <row r="105" spans="1:12">
      <c r="A105">
        <v>17</v>
      </c>
      <c r="B105" s="9" t="s">
        <v>335</v>
      </c>
      <c r="C105" s="50">
        <v>40708.52847222222</v>
      </c>
      <c r="D105" s="9" t="s">
        <v>335</v>
      </c>
      <c r="E105" t="str">
        <f t="shared" si="1"/>
        <v>'3ac5a04'</v>
      </c>
      <c r="F105" s="9" t="s">
        <v>335</v>
      </c>
      <c r="G105" s="4">
        <v>7</v>
      </c>
      <c r="L105" s="10" t="s">
        <v>1032</v>
      </c>
    </row>
    <row r="106" spans="1:12">
      <c r="A106">
        <v>17</v>
      </c>
      <c r="B106" s="9" t="s">
        <v>335</v>
      </c>
      <c r="C106" s="47">
        <v>40710.668749999997</v>
      </c>
      <c r="D106" s="9" t="s">
        <v>335</v>
      </c>
      <c r="E106" t="str">
        <f t="shared" si="1"/>
        <v>'bfddacf'</v>
      </c>
      <c r="F106" s="9" t="s">
        <v>335</v>
      </c>
      <c r="G106" s="4">
        <v>8</v>
      </c>
      <c r="L106" s="10" t="s">
        <v>1079</v>
      </c>
    </row>
    <row r="107" spans="1:12">
      <c r="A107">
        <v>17</v>
      </c>
      <c r="B107" s="9" t="s">
        <v>335</v>
      </c>
      <c r="C107" s="47">
        <v>40715.60833333333</v>
      </c>
      <c r="D107" s="9" t="s">
        <v>335</v>
      </c>
      <c r="E107" t="str">
        <f t="shared" si="1"/>
        <v>'816e080'</v>
      </c>
      <c r="F107" s="9" t="s">
        <v>335</v>
      </c>
      <c r="G107" s="4">
        <v>9</v>
      </c>
      <c r="L107" s="10" t="s">
        <v>1573</v>
      </c>
    </row>
    <row r="108" spans="1:12">
      <c r="A108">
        <v>17</v>
      </c>
      <c r="B108" s="9" t="s">
        <v>335</v>
      </c>
      <c r="C108" s="47">
        <v>40716.568055555559</v>
      </c>
      <c r="D108" s="9" t="s">
        <v>335</v>
      </c>
      <c r="E108" t="str">
        <f t="shared" ref="E108:E119" si="2">CONCATENATE("'",L108,"'")</f>
        <v>'2b8930c'</v>
      </c>
      <c r="F108" s="9" t="s">
        <v>335</v>
      </c>
      <c r="G108" s="4">
        <v>10</v>
      </c>
      <c r="L108" s="10" t="s">
        <v>939</v>
      </c>
    </row>
    <row r="109" spans="1:12">
      <c r="A109">
        <v>18</v>
      </c>
      <c r="B109" s="9" t="s">
        <v>335</v>
      </c>
      <c r="C109" s="47">
        <v>40687.69027777778</v>
      </c>
      <c r="D109" s="9" t="s">
        <v>335</v>
      </c>
      <c r="E109" t="str">
        <f t="shared" si="2"/>
        <v>'e7dc6f1'</v>
      </c>
      <c r="F109" s="9" t="s">
        <v>335</v>
      </c>
      <c r="G109" s="4">
        <v>1</v>
      </c>
      <c r="L109" s="10" t="s">
        <v>1270</v>
      </c>
    </row>
    <row r="110" spans="1:12">
      <c r="A110">
        <v>18</v>
      </c>
      <c r="B110" s="9" t="s">
        <v>335</v>
      </c>
      <c r="C110" s="50">
        <v>40723.67083333333</v>
      </c>
      <c r="D110" s="9" t="s">
        <v>335</v>
      </c>
      <c r="E110" t="str">
        <f t="shared" si="2"/>
        <v>'d546378'</v>
      </c>
      <c r="F110" s="9" t="s">
        <v>335</v>
      </c>
      <c r="G110" s="4">
        <v>2</v>
      </c>
      <c r="L110" s="10" t="s">
        <v>999</v>
      </c>
    </row>
    <row r="111" spans="1:12">
      <c r="A111">
        <v>19</v>
      </c>
      <c r="B111" s="9" t="s">
        <v>335</v>
      </c>
      <c r="C111" s="50">
        <v>40713.963888888888</v>
      </c>
      <c r="D111" s="9" t="s">
        <v>335</v>
      </c>
      <c r="E111" t="str">
        <f t="shared" si="2"/>
        <v>'63dbe8a'</v>
      </c>
      <c r="F111" s="9" t="s">
        <v>335</v>
      </c>
      <c r="G111" s="4">
        <v>1</v>
      </c>
      <c r="L111" s="10" t="s">
        <v>1316</v>
      </c>
    </row>
    <row r="112" spans="1:12">
      <c r="A112">
        <v>20</v>
      </c>
      <c r="B112" s="9" t="s">
        <v>335</v>
      </c>
      <c r="C112" s="50">
        <v>40698.131944444445</v>
      </c>
      <c r="D112" s="9" t="s">
        <v>335</v>
      </c>
      <c r="E112" t="str">
        <f t="shared" si="2"/>
        <v>'d24afe9'</v>
      </c>
      <c r="F112" s="9" t="s">
        <v>335</v>
      </c>
      <c r="G112" s="4">
        <v>1</v>
      </c>
      <c r="L112" s="10" t="s">
        <v>1087</v>
      </c>
    </row>
    <row r="113" spans="1:12">
      <c r="A113">
        <v>20</v>
      </c>
      <c r="B113" s="9" t="s">
        <v>335</v>
      </c>
      <c r="C113" s="50">
        <v>40715.06527777778</v>
      </c>
      <c r="D113" s="9" t="s">
        <v>335</v>
      </c>
      <c r="E113" t="str">
        <f t="shared" si="2"/>
        <v>'855f0db'</v>
      </c>
      <c r="F113" s="9" t="s">
        <v>335</v>
      </c>
      <c r="G113" s="4">
        <v>2</v>
      </c>
      <c r="L113" s="10" t="s">
        <v>382</v>
      </c>
    </row>
    <row r="114" spans="1:12">
      <c r="A114">
        <v>21</v>
      </c>
      <c r="B114" s="9" t="s">
        <v>335</v>
      </c>
      <c r="C114" s="47">
        <v>40704.275000000001</v>
      </c>
      <c r="D114" s="9" t="s">
        <v>335</v>
      </c>
      <c r="E114" t="str">
        <f t="shared" si="2"/>
        <v>'8a2fc3b'</v>
      </c>
      <c r="F114" s="9" t="s">
        <v>335</v>
      </c>
      <c r="G114" s="4">
        <v>1</v>
      </c>
      <c r="L114" s="10" t="s">
        <v>1031</v>
      </c>
    </row>
    <row r="115" spans="1:12">
      <c r="A115">
        <v>22</v>
      </c>
      <c r="B115" s="9" t="s">
        <v>335</v>
      </c>
      <c r="C115" s="50">
        <v>40701.719444444447</v>
      </c>
      <c r="D115" s="9" t="s">
        <v>335</v>
      </c>
      <c r="E115" t="str">
        <f t="shared" si="2"/>
        <v>'4f569c8'</v>
      </c>
      <c r="F115" s="9" t="s">
        <v>335</v>
      </c>
      <c r="G115" s="4">
        <v>1</v>
      </c>
      <c r="L115" s="10" t="s">
        <v>549</v>
      </c>
    </row>
    <row r="116" spans="1:12">
      <c r="A116">
        <v>22</v>
      </c>
      <c r="B116" s="9" t="s">
        <v>335</v>
      </c>
      <c r="C116" s="50">
        <v>40701.719444444447</v>
      </c>
      <c r="D116" s="9" t="s">
        <v>335</v>
      </c>
      <c r="E116" t="str">
        <f t="shared" si="2"/>
        <v>'e78248c'</v>
      </c>
      <c r="F116" s="9" t="s">
        <v>335</v>
      </c>
      <c r="G116" s="4">
        <v>2</v>
      </c>
      <c r="L116" s="10" t="s">
        <v>1271</v>
      </c>
    </row>
    <row r="117" spans="1:12">
      <c r="A117">
        <v>23</v>
      </c>
      <c r="B117" s="9" t="s">
        <v>335</v>
      </c>
      <c r="C117" s="47">
        <v>40704.956250000003</v>
      </c>
      <c r="D117" s="9" t="s">
        <v>335</v>
      </c>
      <c r="E117" t="str">
        <f t="shared" si="2"/>
        <v>'a2d8257'</v>
      </c>
      <c r="F117" s="9" t="s">
        <v>335</v>
      </c>
      <c r="G117" s="4">
        <v>1</v>
      </c>
      <c r="L117" s="10" t="s">
        <v>1304</v>
      </c>
    </row>
    <row r="118" spans="1:12">
      <c r="A118">
        <v>24</v>
      </c>
      <c r="B118" s="9" t="s">
        <v>335</v>
      </c>
      <c r="C118" s="50">
        <v>40711.008333333331</v>
      </c>
      <c r="D118" s="9" t="s">
        <v>335</v>
      </c>
      <c r="E118" t="str">
        <f t="shared" si="2"/>
        <v>'c1c487b'</v>
      </c>
      <c r="F118" s="9" t="s">
        <v>335</v>
      </c>
      <c r="G118" s="4">
        <v>1</v>
      </c>
      <c r="L118" s="10" t="s">
        <v>1080</v>
      </c>
    </row>
    <row r="119" spans="1:12">
      <c r="A119">
        <v>24</v>
      </c>
      <c r="B119" s="9" t="s">
        <v>335</v>
      </c>
      <c r="C119" s="47">
        <v>40713.057638888888</v>
      </c>
      <c r="D119" s="9" t="s">
        <v>335</v>
      </c>
      <c r="E119" t="str">
        <f t="shared" si="2"/>
        <v>'547c8d6'</v>
      </c>
      <c r="F119" s="9" t="s">
        <v>335</v>
      </c>
      <c r="G119" s="4">
        <v>2</v>
      </c>
      <c r="L119" s="10" t="s">
        <v>813</v>
      </c>
    </row>
    <row r="120" spans="1:12">
      <c r="B120" s="9" t="s">
        <v>335</v>
      </c>
      <c r="D120" s="9" t="s">
        <v>335</v>
      </c>
      <c r="E120" t="str">
        <f t="shared" ref="E120:E152" si="3">CONCATENATE("'",L120,"'")</f>
        <v>''</v>
      </c>
      <c r="F120" s="9" t="s">
        <v>335</v>
      </c>
      <c r="G120" s="4"/>
      <c r="L120" s="8"/>
    </row>
    <row r="121" spans="1:12">
      <c r="A121">
        <v>1</v>
      </c>
      <c r="B121" s="9" t="s">
        <v>335</v>
      </c>
      <c r="C121" s="47">
        <v>40960.810416666667</v>
      </c>
      <c r="D121" s="9" t="s">
        <v>335</v>
      </c>
      <c r="E121" t="str">
        <f t="shared" si="3"/>
        <v>'73c3c20'</v>
      </c>
      <c r="F121" s="9" t="s">
        <v>335</v>
      </c>
      <c r="G121" s="4">
        <v>1</v>
      </c>
      <c r="H121" t="s">
        <v>1954</v>
      </c>
      <c r="L121" s="10" t="s">
        <v>1007</v>
      </c>
    </row>
    <row r="122" spans="1:12">
      <c r="A122">
        <v>2</v>
      </c>
      <c r="B122" s="9" t="s">
        <v>335</v>
      </c>
      <c r="C122" s="47">
        <v>40957.943055555559</v>
      </c>
      <c r="D122" s="9" t="s">
        <v>335</v>
      </c>
      <c r="E122" t="str">
        <f t="shared" si="3"/>
        <v>'42dbb2d'</v>
      </c>
      <c r="F122" s="9" t="s">
        <v>335</v>
      </c>
      <c r="G122" s="4">
        <v>1</v>
      </c>
      <c r="L122" s="10" t="s">
        <v>655</v>
      </c>
    </row>
    <row r="123" spans="1:12">
      <c r="A123">
        <v>2</v>
      </c>
      <c r="B123" s="9" t="s">
        <v>335</v>
      </c>
      <c r="C123" s="50">
        <v>40957.664583333331</v>
      </c>
      <c r="D123" s="9" t="s">
        <v>335</v>
      </c>
      <c r="E123" t="str">
        <f t="shared" si="3"/>
        <v>'05937f5'</v>
      </c>
      <c r="F123" s="9" t="s">
        <v>335</v>
      </c>
      <c r="G123" s="4">
        <v>2</v>
      </c>
      <c r="L123" s="10" t="s">
        <v>1388</v>
      </c>
    </row>
    <row r="124" spans="1:12">
      <c r="A124">
        <v>3</v>
      </c>
      <c r="B124" s="9" t="s">
        <v>335</v>
      </c>
      <c r="C124" s="47">
        <v>40949.40902777778</v>
      </c>
      <c r="D124" s="9" t="s">
        <v>335</v>
      </c>
      <c r="E124" t="str">
        <f t="shared" si="3"/>
        <v>'15665b4'</v>
      </c>
      <c r="F124" s="9" t="s">
        <v>335</v>
      </c>
      <c r="G124" s="4">
        <v>1</v>
      </c>
      <c r="L124" s="10" t="s">
        <v>709</v>
      </c>
    </row>
    <row r="125" spans="1:12">
      <c r="A125">
        <v>4</v>
      </c>
      <c r="B125" s="9" t="s">
        <v>335</v>
      </c>
      <c r="C125" s="50">
        <v>40962.061111111114</v>
      </c>
      <c r="D125" s="9" t="s">
        <v>335</v>
      </c>
      <c r="E125" t="str">
        <f t="shared" si="3"/>
        <v>'1acb830'</v>
      </c>
      <c r="F125" s="9" t="s">
        <v>335</v>
      </c>
      <c r="G125" s="4">
        <v>1</v>
      </c>
      <c r="L125" s="10" t="s">
        <v>1535</v>
      </c>
    </row>
    <row r="126" spans="1:12">
      <c r="A126">
        <v>5</v>
      </c>
      <c r="B126" s="9" t="s">
        <v>335</v>
      </c>
      <c r="C126" s="50">
        <v>40960.944444444445</v>
      </c>
      <c r="D126" s="9" t="s">
        <v>335</v>
      </c>
      <c r="E126" t="str">
        <f t="shared" si="3"/>
        <v>'c1d2c94'</v>
      </c>
      <c r="F126" s="9" t="s">
        <v>335</v>
      </c>
      <c r="G126" s="4">
        <v>1</v>
      </c>
      <c r="L126" s="10" t="s">
        <v>1401</v>
      </c>
    </row>
    <row r="127" spans="1:12">
      <c r="A127">
        <v>6</v>
      </c>
      <c r="B127" s="9" t="s">
        <v>335</v>
      </c>
      <c r="C127" s="47">
        <v>40960.771527777775</v>
      </c>
      <c r="D127" s="9" t="s">
        <v>335</v>
      </c>
      <c r="E127" t="str">
        <f t="shared" si="3"/>
        <v>'4d27250'</v>
      </c>
      <c r="F127" s="9" t="s">
        <v>335</v>
      </c>
      <c r="G127" s="4">
        <v>1</v>
      </c>
      <c r="L127" s="10" t="s">
        <v>1400</v>
      </c>
    </row>
    <row r="128" spans="1:12">
      <c r="A128">
        <v>6</v>
      </c>
      <c r="B128" s="9" t="s">
        <v>335</v>
      </c>
      <c r="C128" s="47">
        <v>40961.787499999999</v>
      </c>
      <c r="D128" s="9" t="s">
        <v>335</v>
      </c>
      <c r="E128" t="str">
        <f t="shared" si="3"/>
        <v>'40e8952'</v>
      </c>
      <c r="F128" s="9" t="s">
        <v>335</v>
      </c>
      <c r="G128" s="4">
        <v>2</v>
      </c>
      <c r="L128" s="10" t="s">
        <v>1534</v>
      </c>
    </row>
    <row r="129" spans="1:12">
      <c r="A129">
        <v>6</v>
      </c>
      <c r="B129" s="9" t="s">
        <v>335</v>
      </c>
      <c r="C129" s="50">
        <v>40959.827777777777</v>
      </c>
      <c r="D129" s="9" t="s">
        <v>335</v>
      </c>
      <c r="E129" t="str">
        <f t="shared" si="3"/>
        <v>'8d220fb'</v>
      </c>
      <c r="F129" s="9" t="s">
        <v>335</v>
      </c>
      <c r="G129" s="4">
        <v>3</v>
      </c>
      <c r="L129" s="10" t="s">
        <v>421</v>
      </c>
    </row>
    <row r="130" spans="1:12">
      <c r="A130">
        <v>7</v>
      </c>
      <c r="B130" s="9" t="s">
        <v>335</v>
      </c>
      <c r="C130" s="50">
        <v>40959.738194444442</v>
      </c>
      <c r="D130" s="9" t="s">
        <v>335</v>
      </c>
      <c r="E130" t="str">
        <f t="shared" si="3"/>
        <v>'51a53ab'</v>
      </c>
      <c r="F130" s="9" t="s">
        <v>335</v>
      </c>
      <c r="G130" s="4">
        <v>1</v>
      </c>
      <c r="L130" s="10" t="s">
        <v>942</v>
      </c>
    </row>
    <row r="131" spans="1:12">
      <c r="A131">
        <v>8</v>
      </c>
      <c r="B131" s="9" t="s">
        <v>335</v>
      </c>
      <c r="C131" s="50">
        <v>40952.481249999997</v>
      </c>
      <c r="D131" s="9" t="s">
        <v>335</v>
      </c>
      <c r="E131" t="str">
        <f t="shared" si="3"/>
        <v>'e85a292'</v>
      </c>
      <c r="F131" s="9" t="s">
        <v>335</v>
      </c>
      <c r="G131" s="4">
        <v>1</v>
      </c>
      <c r="L131" s="10" t="s">
        <v>364</v>
      </c>
    </row>
    <row r="132" spans="1:12">
      <c r="A132">
        <v>8</v>
      </c>
      <c r="B132" s="9" t="s">
        <v>335</v>
      </c>
      <c r="C132" s="50">
        <v>40968.780555555553</v>
      </c>
      <c r="D132" s="9" t="s">
        <v>335</v>
      </c>
      <c r="E132" t="str">
        <f t="shared" si="3"/>
        <v>'f414de0'</v>
      </c>
      <c r="F132" s="9" t="s">
        <v>335</v>
      </c>
      <c r="G132" s="4">
        <v>2</v>
      </c>
      <c r="L132" s="10" t="s">
        <v>237</v>
      </c>
    </row>
    <row r="133" spans="1:12">
      <c r="A133">
        <v>9</v>
      </c>
      <c r="B133" s="9" t="s">
        <v>335</v>
      </c>
      <c r="C133" s="47">
        <v>40952.4375</v>
      </c>
      <c r="D133" s="9" t="s">
        <v>335</v>
      </c>
      <c r="E133" t="str">
        <f t="shared" si="3"/>
        <v>'1ac4872'</v>
      </c>
      <c r="F133" s="9" t="s">
        <v>335</v>
      </c>
      <c r="G133" s="4">
        <v>1</v>
      </c>
      <c r="L133" s="10" t="s">
        <v>363</v>
      </c>
    </row>
    <row r="134" spans="1:12">
      <c r="A134">
        <v>9</v>
      </c>
      <c r="B134" s="9" t="s">
        <v>335</v>
      </c>
      <c r="C134" s="47">
        <v>40955.412499999999</v>
      </c>
      <c r="D134" s="9" t="s">
        <v>335</v>
      </c>
      <c r="E134" t="str">
        <f t="shared" si="3"/>
        <v>'9db1436'</v>
      </c>
      <c r="F134" s="9" t="s">
        <v>335</v>
      </c>
      <c r="G134" s="4">
        <v>2</v>
      </c>
      <c r="L134" s="10" t="s">
        <v>782</v>
      </c>
    </row>
    <row r="135" spans="1:12">
      <c r="A135">
        <v>9</v>
      </c>
      <c r="B135" s="9" t="s">
        <v>335</v>
      </c>
      <c r="C135" s="47">
        <v>40968.638888888891</v>
      </c>
      <c r="D135" s="9" t="s">
        <v>335</v>
      </c>
      <c r="E135" t="str">
        <f t="shared" si="3"/>
        <v>'0c1f8e2'</v>
      </c>
      <c r="F135" s="9" t="s">
        <v>335</v>
      </c>
      <c r="G135" s="4">
        <v>3</v>
      </c>
      <c r="L135" s="10" t="s">
        <v>236</v>
      </c>
    </row>
    <row r="136" spans="1:12">
      <c r="A136">
        <v>9</v>
      </c>
      <c r="B136" s="9" t="s">
        <v>335</v>
      </c>
      <c r="C136" s="50">
        <v>40945.615972222222</v>
      </c>
      <c r="D136" s="9" t="s">
        <v>335</v>
      </c>
      <c r="E136" t="str">
        <f t="shared" si="3"/>
        <v>'7028097'</v>
      </c>
      <c r="F136" s="9" t="s">
        <v>335</v>
      </c>
      <c r="G136" s="4">
        <v>4</v>
      </c>
      <c r="L136" s="10" t="s">
        <v>1916</v>
      </c>
    </row>
    <row r="137" spans="1:12">
      <c r="A137">
        <v>9</v>
      </c>
      <c r="B137" s="9" t="s">
        <v>335</v>
      </c>
      <c r="C137" s="50">
        <v>40947.335416666669</v>
      </c>
      <c r="D137" s="9" t="s">
        <v>335</v>
      </c>
      <c r="E137" t="str">
        <f t="shared" si="3"/>
        <v>'f278916'</v>
      </c>
      <c r="F137" s="9" t="s">
        <v>335</v>
      </c>
      <c r="G137" s="4">
        <v>5</v>
      </c>
      <c r="L137" s="10" t="s">
        <v>819</v>
      </c>
    </row>
    <row r="138" spans="1:12">
      <c r="A138">
        <v>9</v>
      </c>
      <c r="B138" s="9" t="s">
        <v>335</v>
      </c>
      <c r="C138" s="50">
        <v>40958.42291666667</v>
      </c>
      <c r="D138" s="9" t="s">
        <v>335</v>
      </c>
      <c r="E138" t="str">
        <f t="shared" si="3"/>
        <v>'d0c9ee6'</v>
      </c>
      <c r="F138" s="9" t="s">
        <v>335</v>
      </c>
      <c r="G138" s="4">
        <v>6</v>
      </c>
      <c r="L138" s="10" t="s">
        <v>656</v>
      </c>
    </row>
    <row r="139" spans="1:12">
      <c r="A139">
        <v>9</v>
      </c>
      <c r="B139" s="9" t="s">
        <v>335</v>
      </c>
      <c r="C139" s="50">
        <v>40966.38958333333</v>
      </c>
      <c r="D139" s="9" t="s">
        <v>335</v>
      </c>
      <c r="E139" t="str">
        <f t="shared" si="3"/>
        <v>'5bda9c1'</v>
      </c>
      <c r="F139" s="9" t="s">
        <v>335</v>
      </c>
      <c r="G139" s="4">
        <v>7</v>
      </c>
      <c r="L139" s="10" t="s">
        <v>44</v>
      </c>
    </row>
    <row r="140" spans="1:12">
      <c r="A140">
        <v>9</v>
      </c>
      <c r="B140" s="9" t="s">
        <v>335</v>
      </c>
      <c r="C140" s="50">
        <v>40967.851388888892</v>
      </c>
      <c r="D140" s="9" t="s">
        <v>335</v>
      </c>
      <c r="E140" t="str">
        <f t="shared" si="3"/>
        <v>'c690b1f'</v>
      </c>
      <c r="F140" s="9" t="s">
        <v>335</v>
      </c>
      <c r="G140" s="4">
        <v>8</v>
      </c>
      <c r="L140" s="10" t="s">
        <v>11</v>
      </c>
    </row>
    <row r="141" spans="1:12">
      <c r="A141">
        <v>10</v>
      </c>
      <c r="B141" s="9" t="s">
        <v>335</v>
      </c>
      <c r="C141" s="50">
        <v>40955.561111111114</v>
      </c>
      <c r="D141" s="9" t="s">
        <v>335</v>
      </c>
      <c r="E141" t="str">
        <f t="shared" si="3"/>
        <v>'24dc000'</v>
      </c>
      <c r="F141" s="9" t="s">
        <v>335</v>
      </c>
      <c r="G141" s="4">
        <v>1</v>
      </c>
      <c r="L141" s="10" t="s">
        <v>783</v>
      </c>
    </row>
    <row r="142" spans="1:12">
      <c r="A142">
        <v>11</v>
      </c>
      <c r="B142" s="9" t="s">
        <v>335</v>
      </c>
      <c r="C142" s="47">
        <v>40956.576388888891</v>
      </c>
      <c r="D142" s="9" t="s">
        <v>335</v>
      </c>
      <c r="E142" t="str">
        <f t="shared" si="3"/>
        <v>'bbcf286'</v>
      </c>
      <c r="F142" s="9" t="s">
        <v>335</v>
      </c>
      <c r="G142" s="4">
        <v>1</v>
      </c>
      <c r="L142" s="10" t="s">
        <v>1387</v>
      </c>
    </row>
    <row r="143" spans="1:12">
      <c r="A143">
        <v>11</v>
      </c>
      <c r="B143" s="9" t="s">
        <v>335</v>
      </c>
      <c r="C143" s="47">
        <v>40959.744444444441</v>
      </c>
      <c r="D143" s="9" t="s">
        <v>335</v>
      </c>
      <c r="E143" t="str">
        <f t="shared" si="3"/>
        <v>'8cce8dd'</v>
      </c>
      <c r="F143" s="9" t="s">
        <v>335</v>
      </c>
      <c r="G143" s="4">
        <v>2</v>
      </c>
      <c r="L143" s="10" t="s">
        <v>420</v>
      </c>
    </row>
    <row r="144" spans="1:12">
      <c r="A144">
        <v>11</v>
      </c>
      <c r="B144" s="9" t="s">
        <v>335</v>
      </c>
      <c r="C144" s="47">
        <v>40965.975694444445</v>
      </c>
      <c r="D144" s="9" t="s">
        <v>335</v>
      </c>
      <c r="E144" t="str">
        <f t="shared" si="3"/>
        <v>'1ba1a0f'</v>
      </c>
      <c r="F144" s="9" t="s">
        <v>335</v>
      </c>
      <c r="G144" s="4">
        <v>3</v>
      </c>
      <c r="L144" s="10" t="s">
        <v>43</v>
      </c>
    </row>
    <row r="145" spans="1:12">
      <c r="A145">
        <v>11</v>
      </c>
      <c r="B145" s="9" t="s">
        <v>335</v>
      </c>
      <c r="C145" s="50">
        <v>40961.378472222219</v>
      </c>
      <c r="D145" s="9" t="s">
        <v>335</v>
      </c>
      <c r="E145" t="str">
        <f t="shared" si="3"/>
        <v>'64adabf'</v>
      </c>
      <c r="F145" s="9" t="s">
        <v>335</v>
      </c>
      <c r="G145" s="4">
        <v>4</v>
      </c>
      <c r="L145" s="10" t="s">
        <v>1008</v>
      </c>
    </row>
    <row r="146" spans="1:12">
      <c r="A146">
        <v>12</v>
      </c>
      <c r="B146" s="9" t="s">
        <v>335</v>
      </c>
      <c r="C146" s="47">
        <v>40946.012499999997</v>
      </c>
      <c r="D146" s="9" t="s">
        <v>335</v>
      </c>
      <c r="E146" t="str">
        <f t="shared" si="3"/>
        <v>'968c19d'</v>
      </c>
      <c r="F146" s="9" t="s">
        <v>335</v>
      </c>
      <c r="G146" s="4">
        <v>1</v>
      </c>
      <c r="L146" s="10" t="s">
        <v>818</v>
      </c>
    </row>
    <row r="147" spans="1:12">
      <c r="A147">
        <v>13</v>
      </c>
      <c r="B147" s="9" t="s">
        <v>335</v>
      </c>
      <c r="C147" s="50">
        <v>40963.697222222225</v>
      </c>
      <c r="D147" s="9" t="s">
        <v>335</v>
      </c>
      <c r="E147" t="str">
        <f t="shared" si="3"/>
        <v>'2e8cb00'</v>
      </c>
      <c r="F147" s="9" t="s">
        <v>335</v>
      </c>
      <c r="G147" s="4">
        <v>1</v>
      </c>
      <c r="L147" s="10" t="s">
        <v>392</v>
      </c>
    </row>
    <row r="148" spans="1:12">
      <c r="A148">
        <v>14</v>
      </c>
      <c r="B148" s="9" t="s">
        <v>335</v>
      </c>
      <c r="C148" s="47">
        <v>40915.584027777775</v>
      </c>
      <c r="D148" s="9" t="s">
        <v>335</v>
      </c>
      <c r="E148" t="str">
        <f t="shared" si="3"/>
        <v>'58e0ea4'</v>
      </c>
      <c r="F148" s="9" t="s">
        <v>335</v>
      </c>
      <c r="G148" s="4">
        <v>1</v>
      </c>
      <c r="L148" s="10" t="s">
        <v>1493</v>
      </c>
    </row>
    <row r="149" spans="1:12">
      <c r="A149">
        <v>15</v>
      </c>
      <c r="B149" s="9" t="s">
        <v>335</v>
      </c>
      <c r="C149" s="47">
        <v>40959.313888888886</v>
      </c>
      <c r="D149" s="9" t="s">
        <v>335</v>
      </c>
      <c r="E149" t="str">
        <f t="shared" si="3"/>
        <v>'4866198'</v>
      </c>
      <c r="F149" s="9" t="s">
        <v>335</v>
      </c>
      <c r="G149" s="4">
        <v>1</v>
      </c>
      <c r="L149" s="10" t="s">
        <v>1917</v>
      </c>
    </row>
    <row r="150" spans="1:12">
      <c r="A150">
        <v>15</v>
      </c>
      <c r="B150" s="9" t="s">
        <v>335</v>
      </c>
      <c r="C150" s="47">
        <v>40962.070138888892</v>
      </c>
      <c r="D150" s="9" t="s">
        <v>335</v>
      </c>
      <c r="E150" t="str">
        <f t="shared" si="3"/>
        <v>'6baefcc'</v>
      </c>
      <c r="F150" s="9" t="s">
        <v>335</v>
      </c>
      <c r="G150" s="4">
        <v>2</v>
      </c>
      <c r="L150" s="10" t="s">
        <v>391</v>
      </c>
    </row>
    <row r="151" spans="1:12">
      <c r="A151">
        <v>16</v>
      </c>
      <c r="B151" s="9" t="s">
        <v>335</v>
      </c>
      <c r="C151" s="47">
        <v>40967.455555555556</v>
      </c>
      <c r="D151" s="9" t="s">
        <v>335</v>
      </c>
      <c r="E151" t="str">
        <f t="shared" si="3"/>
        <v>'105c573'</v>
      </c>
      <c r="F151" s="9" t="s">
        <v>335</v>
      </c>
      <c r="G151" s="4">
        <v>1</v>
      </c>
      <c r="L151" s="10" t="s">
        <v>10</v>
      </c>
    </row>
    <row r="152" spans="1:12">
      <c r="A152">
        <v>16</v>
      </c>
      <c r="B152" s="9" t="s">
        <v>335</v>
      </c>
      <c r="C152" s="50">
        <v>40956.519444444442</v>
      </c>
      <c r="D152" s="9" t="s">
        <v>335</v>
      </c>
      <c r="E152" t="str">
        <f t="shared" si="3"/>
        <v>'689b397'</v>
      </c>
      <c r="F152" s="9" t="s">
        <v>335</v>
      </c>
      <c r="G152" s="4">
        <v>2</v>
      </c>
      <c r="L152" s="10" t="s">
        <v>710</v>
      </c>
    </row>
    <row r="153" spans="1:12">
      <c r="B153" s="9" t="s">
        <v>335</v>
      </c>
      <c r="D153" s="9" t="s">
        <v>335</v>
      </c>
      <c r="E153" t="str">
        <f t="shared" ref="E153:E202" si="4">CONCATENATE("'",L153,"'")</f>
        <v>''</v>
      </c>
      <c r="F153" s="9" t="s">
        <v>335</v>
      </c>
      <c r="G153" s="4"/>
      <c r="L153" s="8"/>
    </row>
    <row r="154" spans="1:12">
      <c r="A154">
        <v>1</v>
      </c>
      <c r="B154" s="9" t="s">
        <v>335</v>
      </c>
      <c r="C154" s="50">
        <v>40508.871527777781</v>
      </c>
      <c r="D154" s="9" t="s">
        <v>335</v>
      </c>
      <c r="E154" t="str">
        <f t="shared" si="4"/>
        <v>'ab80dd2'</v>
      </c>
      <c r="F154" s="9" t="s">
        <v>335</v>
      </c>
      <c r="G154" s="4">
        <v>1</v>
      </c>
      <c r="H154" t="s">
        <v>1955</v>
      </c>
      <c r="L154" s="58" t="s">
        <v>1374</v>
      </c>
    </row>
    <row r="155" spans="1:12">
      <c r="A155">
        <v>2</v>
      </c>
      <c r="B155" s="9" t="s">
        <v>335</v>
      </c>
      <c r="C155" s="50">
        <v>40518.567361111112</v>
      </c>
      <c r="D155" s="9" t="s">
        <v>335</v>
      </c>
      <c r="E155" t="str">
        <f t="shared" si="4"/>
        <v>'56ebe8f'</v>
      </c>
      <c r="F155" s="9" t="s">
        <v>335</v>
      </c>
      <c r="G155" s="4">
        <v>1</v>
      </c>
      <c r="L155" s="58" t="s">
        <v>406</v>
      </c>
    </row>
    <row r="156" spans="1:12">
      <c r="A156">
        <v>3</v>
      </c>
      <c r="B156" s="9" t="s">
        <v>335</v>
      </c>
      <c r="C156" s="50">
        <v>40507.288194444445</v>
      </c>
      <c r="D156" s="9" t="s">
        <v>335</v>
      </c>
      <c r="E156" t="str">
        <f t="shared" si="4"/>
        <v>'494ac30'</v>
      </c>
      <c r="F156" s="9" t="s">
        <v>335</v>
      </c>
      <c r="G156" s="4">
        <v>1</v>
      </c>
      <c r="L156" s="58" t="s">
        <v>1559</v>
      </c>
    </row>
    <row r="157" spans="1:12">
      <c r="A157">
        <v>3</v>
      </c>
      <c r="B157" s="9" t="s">
        <v>335</v>
      </c>
      <c r="C157" s="50">
        <v>40519.595833333333</v>
      </c>
      <c r="D157" s="9" t="s">
        <v>335</v>
      </c>
      <c r="E157" t="str">
        <f t="shared" si="4"/>
        <v>'9a45f78'</v>
      </c>
      <c r="F157" s="9" t="s">
        <v>335</v>
      </c>
      <c r="G157" s="4">
        <v>2</v>
      </c>
      <c r="L157" s="58" t="s">
        <v>1342</v>
      </c>
    </row>
    <row r="158" spans="1:12">
      <c r="A158">
        <v>4</v>
      </c>
      <c r="B158" s="9" t="s">
        <v>335</v>
      </c>
      <c r="C158" s="50">
        <v>40522.538888888892</v>
      </c>
      <c r="D158" s="9" t="s">
        <v>335</v>
      </c>
      <c r="E158" t="str">
        <f t="shared" si="4"/>
        <v>'e78bd45'</v>
      </c>
      <c r="F158" s="9" t="s">
        <v>335</v>
      </c>
      <c r="G158" s="4">
        <v>1</v>
      </c>
      <c r="L158" s="58" t="s">
        <v>552</v>
      </c>
    </row>
    <row r="159" spans="1:12">
      <c r="A159">
        <v>5</v>
      </c>
      <c r="B159" s="9" t="s">
        <v>335</v>
      </c>
      <c r="C159" s="50">
        <v>40514.933333333334</v>
      </c>
      <c r="D159" s="9" t="s">
        <v>335</v>
      </c>
      <c r="E159" t="str">
        <f t="shared" si="4"/>
        <v>'6e011bc'</v>
      </c>
      <c r="F159" s="9" t="s">
        <v>335</v>
      </c>
      <c r="G159" s="4">
        <v>1</v>
      </c>
      <c r="L159" s="58" t="s">
        <v>388</v>
      </c>
    </row>
    <row r="160" spans="1:12">
      <c r="A160">
        <v>6</v>
      </c>
      <c r="B160" s="9" t="s">
        <v>335</v>
      </c>
      <c r="C160" s="50">
        <v>39949.063194444447</v>
      </c>
      <c r="D160" s="9" t="s">
        <v>335</v>
      </c>
      <c r="E160" t="str">
        <f t="shared" si="4"/>
        <v>'7da580e'</v>
      </c>
      <c r="F160" s="9" t="s">
        <v>335</v>
      </c>
      <c r="G160" s="4">
        <v>1</v>
      </c>
      <c r="L160" s="58" t="s">
        <v>877</v>
      </c>
    </row>
    <row r="161" spans="1:12">
      <c r="A161">
        <v>6</v>
      </c>
      <c r="B161" s="9" t="s">
        <v>335</v>
      </c>
      <c r="C161" s="50">
        <v>40502.074999999997</v>
      </c>
      <c r="D161" s="9" t="s">
        <v>335</v>
      </c>
      <c r="E161" t="str">
        <f t="shared" si="4"/>
        <v>'607ea34'</v>
      </c>
      <c r="F161" s="9" t="s">
        <v>335</v>
      </c>
      <c r="G161" s="4">
        <v>2</v>
      </c>
      <c r="L161" s="58" t="s">
        <v>803</v>
      </c>
    </row>
    <row r="162" spans="1:12">
      <c r="A162">
        <v>6</v>
      </c>
      <c r="B162" s="9" t="s">
        <v>335</v>
      </c>
      <c r="C162" s="50">
        <v>40507.336805555555</v>
      </c>
      <c r="D162" s="9" t="s">
        <v>335</v>
      </c>
      <c r="E162" t="str">
        <f t="shared" si="4"/>
        <v>'3bce100'</v>
      </c>
      <c r="F162" s="9" t="s">
        <v>335</v>
      </c>
      <c r="G162" s="4">
        <v>3</v>
      </c>
      <c r="L162" s="58" t="s">
        <v>1556</v>
      </c>
    </row>
    <row r="163" spans="1:12">
      <c r="A163">
        <v>6</v>
      </c>
      <c r="B163" s="9" t="s">
        <v>335</v>
      </c>
      <c r="C163" s="50">
        <v>40522.554166666669</v>
      </c>
      <c r="D163" s="9" t="s">
        <v>335</v>
      </c>
      <c r="E163" t="str">
        <f t="shared" si="4"/>
        <v>'6629e49'</v>
      </c>
      <c r="F163" s="9" t="s">
        <v>335</v>
      </c>
      <c r="G163" s="4">
        <v>4</v>
      </c>
      <c r="L163" s="58" t="s">
        <v>1575</v>
      </c>
    </row>
    <row r="164" spans="1:12">
      <c r="A164">
        <v>6</v>
      </c>
      <c r="B164" s="9" t="s">
        <v>335</v>
      </c>
      <c r="C164" s="50">
        <v>40523.921527777777</v>
      </c>
      <c r="D164" s="9" t="s">
        <v>335</v>
      </c>
      <c r="E164" t="str">
        <f t="shared" si="4"/>
        <v>'89f159f'</v>
      </c>
      <c r="F164" s="9" t="s">
        <v>335</v>
      </c>
      <c r="G164" s="4">
        <v>5</v>
      </c>
      <c r="L164" s="58" t="s">
        <v>862</v>
      </c>
    </row>
    <row r="165" spans="1:12">
      <c r="A165">
        <v>6</v>
      </c>
      <c r="B165" s="9" t="s">
        <v>335</v>
      </c>
      <c r="C165" s="50">
        <v>40528.863194444442</v>
      </c>
      <c r="D165" s="9" t="s">
        <v>335</v>
      </c>
      <c r="E165" t="str">
        <f t="shared" si="4"/>
        <v>'90dbe1b'</v>
      </c>
      <c r="F165" s="9" t="s">
        <v>335</v>
      </c>
      <c r="G165" s="4">
        <v>6</v>
      </c>
      <c r="L165" s="58" t="s">
        <v>1144</v>
      </c>
    </row>
    <row r="166" spans="1:12">
      <c r="A166">
        <v>6</v>
      </c>
      <c r="B166" s="9" t="s">
        <v>335</v>
      </c>
      <c r="C166" s="50">
        <v>40530.061111111114</v>
      </c>
      <c r="D166" s="9" t="s">
        <v>335</v>
      </c>
      <c r="E166" t="str">
        <f t="shared" si="4"/>
        <v>'4b9fb70'</v>
      </c>
      <c r="F166" s="9" t="s">
        <v>335</v>
      </c>
      <c r="G166" s="4">
        <v>7</v>
      </c>
      <c r="L166" s="58" t="s">
        <v>1195</v>
      </c>
    </row>
    <row r="167" spans="1:12">
      <c r="A167">
        <v>7</v>
      </c>
      <c r="B167" s="9" t="s">
        <v>335</v>
      </c>
      <c r="C167" s="50">
        <v>40504.752083333333</v>
      </c>
      <c r="D167" s="9" t="s">
        <v>335</v>
      </c>
      <c r="E167" t="str">
        <f t="shared" si="4"/>
        <v>'2f7f5c9'</v>
      </c>
      <c r="F167" s="9" t="s">
        <v>335</v>
      </c>
      <c r="G167" s="4">
        <v>1</v>
      </c>
      <c r="L167" s="58" t="s">
        <v>804</v>
      </c>
    </row>
    <row r="168" spans="1:12">
      <c r="A168">
        <v>7</v>
      </c>
      <c r="B168" s="9" t="s">
        <v>335</v>
      </c>
      <c r="C168" s="50">
        <v>40505.761111111111</v>
      </c>
      <c r="D168" s="9" t="s">
        <v>335</v>
      </c>
      <c r="E168" t="str">
        <f t="shared" si="4"/>
        <v>'00e7372'</v>
      </c>
      <c r="F168" s="9" t="s">
        <v>335</v>
      </c>
      <c r="G168" s="4">
        <v>2</v>
      </c>
      <c r="L168" s="58" t="s">
        <v>1555</v>
      </c>
    </row>
    <row r="169" spans="1:12">
      <c r="A169">
        <v>7</v>
      </c>
      <c r="B169" s="9" t="s">
        <v>335</v>
      </c>
      <c r="C169" s="50">
        <v>40509.376388888886</v>
      </c>
      <c r="D169" s="9" t="s">
        <v>335</v>
      </c>
      <c r="E169" t="str">
        <f t="shared" si="4"/>
        <v>'99ccaa8'</v>
      </c>
      <c r="F169" s="9" t="s">
        <v>335</v>
      </c>
      <c r="G169" s="4">
        <v>3</v>
      </c>
      <c r="L169" s="58" t="s">
        <v>1375</v>
      </c>
    </row>
    <row r="170" spans="1:12">
      <c r="A170">
        <v>7</v>
      </c>
      <c r="B170" s="9" t="s">
        <v>335</v>
      </c>
      <c r="C170" s="50">
        <v>40514.691666666666</v>
      </c>
      <c r="D170" s="9" t="s">
        <v>335</v>
      </c>
      <c r="E170" t="str">
        <f t="shared" si="4"/>
        <v>'e605d33'</v>
      </c>
      <c r="F170" s="9" t="s">
        <v>335</v>
      </c>
      <c r="G170" s="4">
        <v>4</v>
      </c>
      <c r="L170" s="58" t="s">
        <v>387</v>
      </c>
    </row>
    <row r="171" spans="1:12">
      <c r="A171">
        <v>7</v>
      </c>
      <c r="B171" s="9" t="s">
        <v>335</v>
      </c>
      <c r="C171" s="50">
        <v>40517.305555555555</v>
      </c>
      <c r="D171" s="9" t="s">
        <v>335</v>
      </c>
      <c r="E171" t="str">
        <f t="shared" si="4"/>
        <v>'733954e'</v>
      </c>
      <c r="F171" s="9" t="s">
        <v>335</v>
      </c>
      <c r="G171" s="4">
        <v>5</v>
      </c>
      <c r="L171" s="58" t="s">
        <v>340</v>
      </c>
    </row>
    <row r="172" spans="1:12">
      <c r="A172">
        <v>7</v>
      </c>
      <c r="B172" s="9" t="s">
        <v>335</v>
      </c>
      <c r="C172" s="50">
        <v>40517.303472222222</v>
      </c>
      <c r="D172" s="9" t="s">
        <v>335</v>
      </c>
      <c r="E172" t="str">
        <f t="shared" si="4"/>
        <v>'f3b0042'</v>
      </c>
      <c r="F172" s="9" t="s">
        <v>335</v>
      </c>
      <c r="G172" s="4">
        <v>6</v>
      </c>
      <c r="L172" s="58" t="s">
        <v>1212</v>
      </c>
    </row>
    <row r="173" spans="1:12">
      <c r="A173">
        <v>7</v>
      </c>
      <c r="B173" s="9" t="s">
        <v>335</v>
      </c>
      <c r="C173" s="50">
        <v>40519.638194444444</v>
      </c>
      <c r="D173" s="9" t="s">
        <v>335</v>
      </c>
      <c r="E173" t="str">
        <f t="shared" si="4"/>
        <v>'6be060a'</v>
      </c>
      <c r="F173" s="9" t="s">
        <v>335</v>
      </c>
      <c r="G173" s="4">
        <v>7</v>
      </c>
      <c r="L173" s="58" t="s">
        <v>1343</v>
      </c>
    </row>
    <row r="174" spans="1:12">
      <c r="A174">
        <v>7</v>
      </c>
      <c r="B174" s="9" t="s">
        <v>335</v>
      </c>
      <c r="C174" s="50">
        <v>40522.390277777777</v>
      </c>
      <c r="D174" s="9" t="s">
        <v>335</v>
      </c>
      <c r="E174" t="str">
        <f t="shared" si="4"/>
        <v>'10e9f8f'</v>
      </c>
      <c r="F174" s="9" t="s">
        <v>335</v>
      </c>
      <c r="G174" s="4">
        <v>8</v>
      </c>
      <c r="L174" s="58" t="s">
        <v>551</v>
      </c>
    </row>
    <row r="175" spans="1:12">
      <c r="A175">
        <v>7</v>
      </c>
      <c r="B175" s="9" t="s">
        <v>335</v>
      </c>
      <c r="C175" s="50">
        <v>40523.504166666666</v>
      </c>
      <c r="D175" s="9" t="s">
        <v>335</v>
      </c>
      <c r="E175" t="str">
        <f t="shared" si="4"/>
        <v>'fb38fc1'</v>
      </c>
      <c r="F175" s="9" t="s">
        <v>335</v>
      </c>
      <c r="G175" s="4">
        <v>9</v>
      </c>
      <c r="L175" s="58" t="s">
        <v>861</v>
      </c>
    </row>
    <row r="176" spans="1:12">
      <c r="A176">
        <v>7</v>
      </c>
      <c r="B176" s="9" t="s">
        <v>335</v>
      </c>
      <c r="C176" s="50">
        <v>40525.59652777778</v>
      </c>
      <c r="D176" s="9" t="s">
        <v>335</v>
      </c>
      <c r="E176" t="str">
        <f t="shared" si="4"/>
        <v>'3d5d53a'</v>
      </c>
      <c r="F176" s="9" t="s">
        <v>335</v>
      </c>
      <c r="G176" s="4">
        <v>10</v>
      </c>
      <c r="L176" s="58" t="s">
        <v>1065</v>
      </c>
    </row>
    <row r="177" spans="1:12">
      <c r="A177">
        <v>7</v>
      </c>
      <c r="B177" s="9" t="s">
        <v>335</v>
      </c>
      <c r="C177" s="50">
        <v>40527.728472222225</v>
      </c>
      <c r="D177" s="9" t="s">
        <v>335</v>
      </c>
      <c r="E177" t="str">
        <f t="shared" si="4"/>
        <v>'b57b097'</v>
      </c>
      <c r="F177" s="9" t="s">
        <v>335</v>
      </c>
      <c r="G177" s="4">
        <v>11</v>
      </c>
      <c r="L177" s="58" t="s">
        <v>601</v>
      </c>
    </row>
    <row r="178" spans="1:12">
      <c r="A178">
        <v>7</v>
      </c>
      <c r="B178" s="9" t="s">
        <v>335</v>
      </c>
      <c r="C178" s="50">
        <v>40528.45208333333</v>
      </c>
      <c r="D178" s="9" t="s">
        <v>335</v>
      </c>
      <c r="E178" t="str">
        <f t="shared" si="4"/>
        <v>'e64b616'</v>
      </c>
      <c r="F178" s="9" t="s">
        <v>335</v>
      </c>
      <c r="G178" s="4">
        <v>12</v>
      </c>
      <c r="L178" s="58" t="s">
        <v>1143</v>
      </c>
    </row>
    <row r="179" spans="1:12">
      <c r="A179">
        <v>7</v>
      </c>
      <c r="B179" s="9" t="s">
        <v>335</v>
      </c>
      <c r="C179" s="50">
        <v>40529.678472222222</v>
      </c>
      <c r="D179" s="9" t="s">
        <v>335</v>
      </c>
      <c r="E179" t="str">
        <f t="shared" si="4"/>
        <v>'fc01d62'</v>
      </c>
      <c r="F179" s="9" t="s">
        <v>335</v>
      </c>
      <c r="G179" s="4">
        <v>13</v>
      </c>
      <c r="L179" s="58" t="s">
        <v>1194</v>
      </c>
    </row>
    <row r="180" spans="1:12">
      <c r="A180">
        <v>7</v>
      </c>
      <c r="B180" s="9" t="s">
        <v>335</v>
      </c>
      <c r="C180" s="50">
        <v>40535.434027777781</v>
      </c>
      <c r="D180" s="9" t="s">
        <v>335</v>
      </c>
      <c r="E180" t="str">
        <f t="shared" si="4"/>
        <v>'226b35c'</v>
      </c>
      <c r="F180" s="9" t="s">
        <v>335</v>
      </c>
      <c r="G180" s="4">
        <v>14</v>
      </c>
      <c r="L180" s="58" t="s">
        <v>1295</v>
      </c>
    </row>
    <row r="181" spans="1:12">
      <c r="A181">
        <v>7</v>
      </c>
      <c r="B181" s="9" t="s">
        <v>335</v>
      </c>
      <c r="C181" s="50">
        <v>40538.43472222222</v>
      </c>
      <c r="D181" s="9" t="s">
        <v>335</v>
      </c>
      <c r="E181" t="str">
        <f t="shared" si="4"/>
        <v>'53e6864'</v>
      </c>
      <c r="F181" s="9" t="s">
        <v>335</v>
      </c>
      <c r="G181" s="4">
        <v>15</v>
      </c>
      <c r="L181" s="58" t="s">
        <v>1299</v>
      </c>
    </row>
    <row r="182" spans="1:12">
      <c r="A182">
        <v>7</v>
      </c>
      <c r="B182" s="9" t="s">
        <v>335</v>
      </c>
      <c r="C182" s="50">
        <v>40538.4375</v>
      </c>
      <c r="D182" s="9" t="s">
        <v>335</v>
      </c>
      <c r="E182" t="str">
        <f t="shared" si="4"/>
        <v>'6cd2326'</v>
      </c>
      <c r="F182" s="9" t="s">
        <v>335</v>
      </c>
      <c r="G182" s="4">
        <v>16</v>
      </c>
      <c r="L182" s="58" t="s">
        <v>749</v>
      </c>
    </row>
    <row r="183" spans="1:12">
      <c r="A183">
        <v>8</v>
      </c>
      <c r="B183" s="9" t="s">
        <v>335</v>
      </c>
      <c r="C183" s="50">
        <v>40499.962500000001</v>
      </c>
      <c r="D183" s="9" t="s">
        <v>335</v>
      </c>
      <c r="E183" t="str">
        <f t="shared" si="4"/>
        <v>'d488238'</v>
      </c>
      <c r="F183" s="9" t="s">
        <v>335</v>
      </c>
      <c r="G183" s="4">
        <v>1</v>
      </c>
      <c r="L183" s="58" t="s">
        <v>878</v>
      </c>
    </row>
    <row r="184" spans="1:12">
      <c r="A184">
        <v>9</v>
      </c>
      <c r="B184" s="9" t="s">
        <v>335</v>
      </c>
      <c r="C184" s="50">
        <v>40518.890972222223</v>
      </c>
      <c r="D184" s="9" t="s">
        <v>335</v>
      </c>
      <c r="E184" t="str">
        <f t="shared" si="4"/>
        <v>'bdb4df1'</v>
      </c>
      <c r="F184" s="9" t="s">
        <v>335</v>
      </c>
      <c r="G184" s="4">
        <v>1</v>
      </c>
      <c r="L184" s="58" t="s">
        <v>407</v>
      </c>
    </row>
    <row r="185" spans="1:12">
      <c r="A185">
        <v>9</v>
      </c>
      <c r="B185" s="9" t="s">
        <v>335</v>
      </c>
      <c r="C185" s="50">
        <v>40535.822916666664</v>
      </c>
      <c r="D185" s="9" t="s">
        <v>335</v>
      </c>
      <c r="E185" t="str">
        <f t="shared" si="4"/>
        <v>'7cf3f7f'</v>
      </c>
      <c r="F185" s="9" t="s">
        <v>335</v>
      </c>
      <c r="G185" s="4">
        <v>2</v>
      </c>
      <c r="L185" s="58" t="s">
        <v>1296</v>
      </c>
    </row>
    <row r="186" spans="1:12">
      <c r="A186">
        <v>9</v>
      </c>
      <c r="B186" s="9" t="s">
        <v>335</v>
      </c>
      <c r="C186" s="50">
        <v>40536.452777777777</v>
      </c>
      <c r="D186" s="9" t="s">
        <v>335</v>
      </c>
      <c r="E186" t="str">
        <f t="shared" si="4"/>
        <v>'c4ad972'</v>
      </c>
      <c r="F186" s="9" t="s">
        <v>335</v>
      </c>
      <c r="G186" s="4">
        <v>3</v>
      </c>
      <c r="L186" s="58" t="s">
        <v>1561</v>
      </c>
    </row>
    <row r="187" spans="1:12">
      <c r="A187">
        <v>9</v>
      </c>
      <c r="B187" s="9" t="s">
        <v>335</v>
      </c>
      <c r="C187" s="50">
        <v>40536.595833333333</v>
      </c>
      <c r="D187" s="9" t="s">
        <v>335</v>
      </c>
      <c r="E187" t="str">
        <f t="shared" si="4"/>
        <v>'18f4a8e'</v>
      </c>
      <c r="F187" s="9" t="s">
        <v>335</v>
      </c>
      <c r="G187" s="4">
        <v>4</v>
      </c>
      <c r="L187" s="58" t="s">
        <v>745</v>
      </c>
    </row>
    <row r="188" spans="1:12">
      <c r="A188">
        <v>9</v>
      </c>
      <c r="B188" s="9" t="s">
        <v>335</v>
      </c>
      <c r="C188" s="50">
        <v>40518.919444444444</v>
      </c>
      <c r="D188" s="9" t="s">
        <v>335</v>
      </c>
      <c r="E188" t="str">
        <f t="shared" si="4"/>
        <v>'b4bbafc'</v>
      </c>
      <c r="F188" s="9" t="s">
        <v>335</v>
      </c>
      <c r="G188" s="4">
        <v>5</v>
      </c>
      <c r="L188" s="58" t="s">
        <v>345</v>
      </c>
    </row>
    <row r="189" spans="1:12">
      <c r="A189">
        <v>9</v>
      </c>
      <c r="B189" s="9" t="s">
        <v>335</v>
      </c>
      <c r="C189" s="50">
        <v>40537.418749999997</v>
      </c>
      <c r="D189" s="9" t="s">
        <v>335</v>
      </c>
      <c r="E189" t="str">
        <f t="shared" si="4"/>
        <v>'817366e'</v>
      </c>
      <c r="F189" s="9" t="s">
        <v>335</v>
      </c>
      <c r="G189" s="4">
        <v>6</v>
      </c>
      <c r="L189" s="58" t="s">
        <v>748</v>
      </c>
    </row>
    <row r="190" spans="1:12">
      <c r="A190">
        <v>9</v>
      </c>
      <c r="B190" s="9" t="s">
        <v>335</v>
      </c>
      <c r="C190" s="50">
        <v>40540.951388888891</v>
      </c>
      <c r="D190" s="9" t="s">
        <v>335</v>
      </c>
      <c r="E190" t="str">
        <f t="shared" si="4"/>
        <v>'350f5c4'</v>
      </c>
      <c r="F190" s="9" t="s">
        <v>335</v>
      </c>
      <c r="G190" s="4">
        <v>7</v>
      </c>
      <c r="L190" s="58" t="s">
        <v>848</v>
      </c>
    </row>
    <row r="191" spans="1:12">
      <c r="A191">
        <v>10</v>
      </c>
      <c r="B191" s="9" t="s">
        <v>335</v>
      </c>
      <c r="C191" s="50">
        <v>40517.945138888892</v>
      </c>
      <c r="D191" s="9" t="s">
        <v>335</v>
      </c>
      <c r="E191" t="str">
        <f t="shared" si="4"/>
        <v>'06cec8b'</v>
      </c>
      <c r="F191" s="9" t="s">
        <v>335</v>
      </c>
      <c r="G191" s="4">
        <v>1</v>
      </c>
      <c r="L191" s="58" t="s">
        <v>1213</v>
      </c>
    </row>
    <row r="192" spans="1:12">
      <c r="A192">
        <v>10</v>
      </c>
      <c r="B192" s="9" t="s">
        <v>335</v>
      </c>
      <c r="C192" s="50">
        <v>40524.061805555553</v>
      </c>
      <c r="D192" s="9" t="s">
        <v>335</v>
      </c>
      <c r="E192" t="str">
        <f t="shared" si="4"/>
        <v>'5d1ea36'</v>
      </c>
      <c r="F192" s="9" t="s">
        <v>335</v>
      </c>
      <c r="G192" s="4">
        <v>2</v>
      </c>
      <c r="L192" s="58" t="s">
        <v>459</v>
      </c>
    </row>
    <row r="193" spans="1:12">
      <c r="A193">
        <v>10</v>
      </c>
      <c r="B193" s="9" t="s">
        <v>335</v>
      </c>
      <c r="C193" s="50">
        <v>40527.879861111112</v>
      </c>
      <c r="D193" s="9" t="s">
        <v>335</v>
      </c>
      <c r="E193" t="str">
        <f t="shared" si="4"/>
        <v>'fa22815'</v>
      </c>
      <c r="F193" s="9" t="s">
        <v>335</v>
      </c>
      <c r="G193" s="4">
        <v>3</v>
      </c>
      <c r="L193" s="58" t="s">
        <v>602</v>
      </c>
    </row>
    <row r="194" spans="1:12">
      <c r="A194">
        <v>10</v>
      </c>
      <c r="B194" s="9" t="s">
        <v>335</v>
      </c>
      <c r="C194" s="50">
        <v>40536.920138888891</v>
      </c>
      <c r="D194" s="9" t="s">
        <v>335</v>
      </c>
      <c r="E194" t="str">
        <f t="shared" si="4"/>
        <v>'535e968'</v>
      </c>
      <c r="F194" s="9" t="s">
        <v>335</v>
      </c>
      <c r="G194" s="4">
        <v>4</v>
      </c>
      <c r="L194" s="58" t="s">
        <v>1562</v>
      </c>
    </row>
    <row r="195" spans="1:12">
      <c r="A195">
        <v>10</v>
      </c>
      <c r="B195" s="9" t="s">
        <v>335</v>
      </c>
      <c r="C195" s="50">
        <v>40536.929861111108</v>
      </c>
      <c r="D195" s="9" t="s">
        <v>335</v>
      </c>
      <c r="E195" t="str">
        <f t="shared" si="4"/>
        <v>'c85e60f'</v>
      </c>
      <c r="F195" s="9" t="s">
        <v>335</v>
      </c>
      <c r="G195" s="4">
        <v>5</v>
      </c>
      <c r="L195" s="58" t="s">
        <v>746</v>
      </c>
    </row>
    <row r="196" spans="1:12">
      <c r="A196">
        <v>10</v>
      </c>
      <c r="B196" s="9" t="s">
        <v>335</v>
      </c>
      <c r="C196" s="50">
        <v>40536.930555555555</v>
      </c>
      <c r="D196" s="9" t="s">
        <v>335</v>
      </c>
      <c r="E196" t="str">
        <f t="shared" si="4"/>
        <v>'5465f5d'</v>
      </c>
      <c r="F196" s="9" t="s">
        <v>335</v>
      </c>
      <c r="G196" s="4">
        <v>6</v>
      </c>
      <c r="L196" s="58" t="s">
        <v>346</v>
      </c>
    </row>
    <row r="197" spans="1:12">
      <c r="A197">
        <v>10</v>
      </c>
      <c r="B197" s="9" t="s">
        <v>335</v>
      </c>
      <c r="C197" s="50">
        <v>40538.406944444447</v>
      </c>
      <c r="D197" s="9" t="s">
        <v>335</v>
      </c>
      <c r="E197" t="str">
        <f t="shared" si="4"/>
        <v>'1b6b8f1'</v>
      </c>
      <c r="F197" s="9" t="s">
        <v>335</v>
      </c>
      <c r="G197" s="4">
        <v>7</v>
      </c>
      <c r="L197" s="58" t="s">
        <v>1298</v>
      </c>
    </row>
    <row r="198" spans="1:12">
      <c r="A198">
        <v>10</v>
      </c>
      <c r="B198" s="9" t="s">
        <v>335</v>
      </c>
      <c r="C198" s="50">
        <v>40540.993750000001</v>
      </c>
      <c r="D198" s="9" t="s">
        <v>335</v>
      </c>
      <c r="E198" t="str">
        <f t="shared" si="4"/>
        <v>'6643d1f'</v>
      </c>
      <c r="F198" s="9" t="s">
        <v>335</v>
      </c>
      <c r="G198" s="4">
        <v>8</v>
      </c>
      <c r="L198" s="58" t="s">
        <v>849</v>
      </c>
    </row>
    <row r="199" spans="1:12">
      <c r="A199">
        <v>11</v>
      </c>
      <c r="B199" s="9" t="s">
        <v>335</v>
      </c>
      <c r="C199" s="50">
        <v>40467.919444444444</v>
      </c>
      <c r="D199" s="9" t="s">
        <v>335</v>
      </c>
      <c r="E199" t="str">
        <f t="shared" si="4"/>
        <v>'55b7d25'</v>
      </c>
      <c r="F199" s="9" t="s">
        <v>335</v>
      </c>
      <c r="G199" s="4">
        <v>1</v>
      </c>
      <c r="L199" s="58" t="s">
        <v>1558</v>
      </c>
    </row>
    <row r="200" spans="1:12">
      <c r="A200">
        <v>11</v>
      </c>
      <c r="B200" s="9" t="s">
        <v>335</v>
      </c>
      <c r="C200" s="50">
        <v>40444.905555555553</v>
      </c>
      <c r="D200" s="9" t="s">
        <v>335</v>
      </c>
      <c r="E200" t="str">
        <f t="shared" si="4"/>
        <v>'2e7989f'</v>
      </c>
      <c r="F200" s="9" t="s">
        <v>335</v>
      </c>
      <c r="G200" s="4">
        <v>2</v>
      </c>
      <c r="L200" s="58" t="s">
        <v>458</v>
      </c>
    </row>
    <row r="201" spans="1:12">
      <c r="A201">
        <v>11</v>
      </c>
      <c r="B201" s="9" t="s">
        <v>335</v>
      </c>
      <c r="C201" s="50">
        <v>40523.731944444444</v>
      </c>
      <c r="D201" s="9" t="s">
        <v>335</v>
      </c>
      <c r="E201" t="str">
        <f t="shared" si="4"/>
        <v>'2d2f311'</v>
      </c>
      <c r="F201" s="9" t="s">
        <v>335</v>
      </c>
      <c r="G201" s="4">
        <v>3</v>
      </c>
      <c r="L201" s="58" t="s">
        <v>1064</v>
      </c>
    </row>
    <row r="202" spans="1:12">
      <c r="A202">
        <v>12</v>
      </c>
      <c r="B202" s="9" t="s">
        <v>335</v>
      </c>
      <c r="C202" s="50">
        <v>40508.599305555559</v>
      </c>
      <c r="D202" s="9" t="s">
        <v>335</v>
      </c>
      <c r="E202" t="str">
        <f t="shared" si="4"/>
        <v>'776008c'</v>
      </c>
      <c r="F202" s="9" t="s">
        <v>335</v>
      </c>
      <c r="G202" s="4">
        <v>1</v>
      </c>
      <c r="L202" s="58" t="s">
        <v>339</v>
      </c>
    </row>
    <row r="203" spans="1:12">
      <c r="B203" s="9" t="s">
        <v>335</v>
      </c>
      <c r="D203" s="9" t="s">
        <v>335</v>
      </c>
      <c r="E203" t="str">
        <f t="shared" ref="E203:E266" si="5">CONCATENATE("'",L203,"'")</f>
        <v>''</v>
      </c>
      <c r="F203" s="9" t="s">
        <v>335</v>
      </c>
      <c r="G203" s="4"/>
      <c r="L203" s="8"/>
    </row>
    <row r="204" spans="1:12">
      <c r="A204">
        <v>1</v>
      </c>
      <c r="B204" s="9" t="s">
        <v>335</v>
      </c>
      <c r="C204" s="45">
        <v>40654.533437500002</v>
      </c>
      <c r="D204" s="9" t="s">
        <v>335</v>
      </c>
      <c r="E204" t="str">
        <f t="shared" si="5"/>
        <v>'f28409e'</v>
      </c>
      <c r="F204" s="9" t="s">
        <v>335</v>
      </c>
      <c r="G204" s="4">
        <v>1</v>
      </c>
      <c r="H204" t="s">
        <v>1956</v>
      </c>
      <c r="L204" s="44" t="s">
        <v>1495</v>
      </c>
    </row>
    <row r="205" spans="1:12">
      <c r="A205">
        <v>1</v>
      </c>
      <c r="B205" s="9" t="s">
        <v>335</v>
      </c>
      <c r="C205" s="45">
        <v>40682.70412037037</v>
      </c>
      <c r="D205" s="9" t="s">
        <v>335</v>
      </c>
      <c r="E205" t="str">
        <f t="shared" si="5"/>
        <v>'0667a43'</v>
      </c>
      <c r="F205" s="9" t="s">
        <v>335</v>
      </c>
      <c r="G205" s="4">
        <v>2</v>
      </c>
      <c r="L205" s="44" t="s">
        <v>474</v>
      </c>
    </row>
    <row r="206" spans="1:12">
      <c r="A206">
        <v>1</v>
      </c>
      <c r="B206" s="9" t="s">
        <v>335</v>
      </c>
      <c r="C206" s="45">
        <v>40682.712372685186</v>
      </c>
      <c r="D206" s="9" t="s">
        <v>335</v>
      </c>
      <c r="E206" t="str">
        <f t="shared" si="5"/>
        <v>'ee8de0f'</v>
      </c>
      <c r="F206" s="9" t="s">
        <v>335</v>
      </c>
      <c r="G206" s="4">
        <v>3</v>
      </c>
      <c r="L206" s="44" t="s">
        <v>1470</v>
      </c>
    </row>
    <row r="207" spans="1:12">
      <c r="A207">
        <v>1</v>
      </c>
      <c r="B207" s="9" t="s">
        <v>335</v>
      </c>
      <c r="C207" s="45">
        <v>40682.713622685187</v>
      </c>
      <c r="D207" s="9" t="s">
        <v>335</v>
      </c>
      <c r="E207" t="str">
        <f t="shared" si="5"/>
        <v>'d7dcb96'</v>
      </c>
      <c r="F207" s="9" t="s">
        <v>335</v>
      </c>
      <c r="G207" s="4">
        <v>4</v>
      </c>
      <c r="L207" s="44" t="s">
        <v>453</v>
      </c>
    </row>
    <row r="208" spans="1:12">
      <c r="A208">
        <v>1</v>
      </c>
      <c r="B208" s="9" t="s">
        <v>335</v>
      </c>
      <c r="C208" s="45">
        <v>40686.47278935185</v>
      </c>
      <c r="D208" s="9" t="s">
        <v>335</v>
      </c>
      <c r="E208" t="str">
        <f t="shared" si="5"/>
        <v>'c0628ee'</v>
      </c>
      <c r="F208" s="9" t="s">
        <v>335</v>
      </c>
      <c r="G208" s="4">
        <v>5</v>
      </c>
      <c r="L208" s="44" t="s">
        <v>1449</v>
      </c>
    </row>
    <row r="209" spans="1:12">
      <c r="A209">
        <v>1</v>
      </c>
      <c r="B209" s="9" t="s">
        <v>335</v>
      </c>
      <c r="C209" s="45">
        <v>40708.73978009259</v>
      </c>
      <c r="D209" s="9" t="s">
        <v>335</v>
      </c>
      <c r="E209" t="str">
        <f t="shared" si="5"/>
        <v>'2b14fe3'</v>
      </c>
      <c r="F209" s="9" t="s">
        <v>335</v>
      </c>
      <c r="G209" s="4">
        <v>6</v>
      </c>
      <c r="L209" s="44" t="s">
        <v>1305</v>
      </c>
    </row>
    <row r="210" spans="1:12">
      <c r="A210">
        <v>2</v>
      </c>
      <c r="B210" s="9" t="s">
        <v>335</v>
      </c>
      <c r="C210" s="45">
        <v>40707.271458333336</v>
      </c>
      <c r="D210" s="9" t="s">
        <v>335</v>
      </c>
      <c r="E210" t="str">
        <f t="shared" si="5"/>
        <v>'06770c3'</v>
      </c>
      <c r="F210" s="9" t="s">
        <v>335</v>
      </c>
      <c r="G210" s="4">
        <v>1</v>
      </c>
      <c r="L210" s="44" t="s">
        <v>949</v>
      </c>
    </row>
    <row r="211" spans="1:12">
      <c r="A211">
        <v>3</v>
      </c>
      <c r="B211" s="9" t="s">
        <v>335</v>
      </c>
      <c r="C211" s="45">
        <v>40685.980069444442</v>
      </c>
      <c r="D211" s="9" t="s">
        <v>335</v>
      </c>
      <c r="E211" t="str">
        <f t="shared" si="5"/>
        <v>'073734f'</v>
      </c>
      <c r="F211" s="9" t="s">
        <v>335</v>
      </c>
      <c r="G211" s="4">
        <v>1</v>
      </c>
      <c r="L211" s="44" t="s">
        <v>1331</v>
      </c>
    </row>
    <row r="212" spans="1:12">
      <c r="A212">
        <v>4</v>
      </c>
      <c r="B212" s="9" t="s">
        <v>335</v>
      </c>
      <c r="C212" s="45">
        <v>40685.980069444442</v>
      </c>
      <c r="D212" s="9" t="s">
        <v>335</v>
      </c>
      <c r="E212" t="str">
        <f t="shared" si="5"/>
        <v>'0cfbe3f'</v>
      </c>
      <c r="F212" s="9" t="s">
        <v>335</v>
      </c>
      <c r="G212" s="4">
        <v>1</v>
      </c>
      <c r="L212" s="44" t="s">
        <v>1330</v>
      </c>
    </row>
    <row r="213" spans="1:12">
      <c r="A213">
        <v>4</v>
      </c>
      <c r="B213" s="9" t="s">
        <v>335</v>
      </c>
      <c r="C213" s="45">
        <v>40691.509375000001</v>
      </c>
      <c r="D213" s="9" t="s">
        <v>335</v>
      </c>
      <c r="E213" t="str">
        <f t="shared" si="5"/>
        <v>'3c88fc5'</v>
      </c>
      <c r="F213" s="9" t="s">
        <v>335</v>
      </c>
      <c r="G213" s="4">
        <v>2</v>
      </c>
      <c r="L213" s="44" t="s">
        <v>691</v>
      </c>
    </row>
    <row r="214" spans="1:12">
      <c r="A214">
        <v>4</v>
      </c>
      <c r="B214" s="9" t="s">
        <v>335</v>
      </c>
      <c r="C214" s="45">
        <v>40691.705914351849</v>
      </c>
      <c r="D214" s="9" t="s">
        <v>335</v>
      </c>
      <c r="E214" t="str">
        <f t="shared" si="5"/>
        <v>'be03ace'</v>
      </c>
      <c r="F214" s="9" t="s">
        <v>335</v>
      </c>
      <c r="G214" s="4">
        <v>3</v>
      </c>
      <c r="L214" s="44" t="s">
        <v>581</v>
      </c>
    </row>
    <row r="215" spans="1:12">
      <c r="A215">
        <v>4</v>
      </c>
      <c r="B215" s="9" t="s">
        <v>335</v>
      </c>
      <c r="C215" s="45">
        <v>40691.526828703703</v>
      </c>
      <c r="D215" s="9" t="s">
        <v>335</v>
      </c>
      <c r="E215" t="str">
        <f t="shared" si="5"/>
        <v>'8714352'</v>
      </c>
      <c r="F215" s="9" t="s">
        <v>335</v>
      </c>
      <c r="G215" s="4">
        <v>4</v>
      </c>
      <c r="L215" s="44">
        <v>8714352</v>
      </c>
    </row>
    <row r="216" spans="1:12">
      <c r="A216">
        <v>4</v>
      </c>
      <c r="B216" s="9" t="s">
        <v>335</v>
      </c>
      <c r="C216" s="45">
        <v>40694.421041666668</v>
      </c>
      <c r="D216" s="9" t="s">
        <v>335</v>
      </c>
      <c r="E216" t="str">
        <f t="shared" si="5"/>
        <v>'fe30ad8'</v>
      </c>
      <c r="F216" s="9" t="s">
        <v>335</v>
      </c>
      <c r="G216" s="4">
        <v>5</v>
      </c>
      <c r="L216" s="44" t="s">
        <v>1038</v>
      </c>
    </row>
    <row r="217" spans="1:12">
      <c r="A217">
        <v>4</v>
      </c>
      <c r="B217" s="9" t="s">
        <v>335</v>
      </c>
      <c r="C217" s="45">
        <v>40695.972395833334</v>
      </c>
      <c r="D217" s="9" t="s">
        <v>335</v>
      </c>
      <c r="E217" t="str">
        <f t="shared" si="5"/>
        <v>'454682'</v>
      </c>
      <c r="F217" s="9" t="s">
        <v>335</v>
      </c>
      <c r="G217" s="4">
        <v>6</v>
      </c>
      <c r="L217" s="44">
        <v>454682</v>
      </c>
    </row>
    <row r="218" spans="1:12">
      <c r="A218">
        <v>4</v>
      </c>
      <c r="B218" s="9" t="s">
        <v>335</v>
      </c>
      <c r="C218" s="45">
        <v>40717.465046296296</v>
      </c>
      <c r="D218" s="9" t="s">
        <v>335</v>
      </c>
      <c r="E218" t="str">
        <f t="shared" si="5"/>
        <v>'34e8a40'</v>
      </c>
      <c r="F218" s="9" t="s">
        <v>335</v>
      </c>
      <c r="G218" s="4">
        <v>7</v>
      </c>
      <c r="L218" s="44" t="s">
        <v>940</v>
      </c>
    </row>
    <row r="219" spans="1:12">
      <c r="A219">
        <v>5</v>
      </c>
      <c r="B219" s="9" t="s">
        <v>335</v>
      </c>
      <c r="C219" s="45">
        <v>40643.604108796295</v>
      </c>
      <c r="D219" s="9" t="s">
        <v>335</v>
      </c>
      <c r="E219" t="str">
        <f t="shared" si="5"/>
        <v>'5cbe179'</v>
      </c>
      <c r="F219" s="9" t="s">
        <v>335</v>
      </c>
      <c r="G219" s="4">
        <v>1</v>
      </c>
      <c r="L219" s="44" t="s">
        <v>1179</v>
      </c>
    </row>
    <row r="220" spans="1:12">
      <c r="A220">
        <v>5</v>
      </c>
      <c r="B220" s="9" t="s">
        <v>335</v>
      </c>
      <c r="C220" s="45">
        <v>40681.764039351852</v>
      </c>
      <c r="D220" s="9" t="s">
        <v>335</v>
      </c>
      <c r="E220" t="str">
        <f t="shared" si="5"/>
        <v>'1ead9d3'</v>
      </c>
      <c r="F220" s="9" t="s">
        <v>335</v>
      </c>
      <c r="G220" s="4">
        <v>2</v>
      </c>
      <c r="L220" s="44" t="s">
        <v>1278</v>
      </c>
    </row>
    <row r="221" spans="1:12">
      <c r="A221">
        <v>5</v>
      </c>
      <c r="B221" s="9" t="s">
        <v>335</v>
      </c>
      <c r="C221" s="45">
        <v>40677.722604166665</v>
      </c>
      <c r="D221" s="9" t="s">
        <v>335</v>
      </c>
      <c r="E221" t="str">
        <f t="shared" si="5"/>
        <v>'8578e58'</v>
      </c>
      <c r="F221" s="9" t="s">
        <v>335</v>
      </c>
      <c r="G221" s="4">
        <v>3</v>
      </c>
      <c r="L221" s="57" t="s">
        <v>1572</v>
      </c>
    </row>
    <row r="222" spans="1:12">
      <c r="A222">
        <v>5</v>
      </c>
      <c r="B222" s="9" t="s">
        <v>335</v>
      </c>
      <c r="C222" s="45">
        <v>40684.61209490741</v>
      </c>
      <c r="D222" s="9" t="s">
        <v>335</v>
      </c>
      <c r="E222" t="str">
        <f t="shared" si="5"/>
        <v>'c4d9fe8'</v>
      </c>
      <c r="F222" s="9" t="s">
        <v>335</v>
      </c>
      <c r="G222" s="4">
        <v>4</v>
      </c>
      <c r="L222" s="44" t="s">
        <v>464</v>
      </c>
    </row>
    <row r="223" spans="1:12">
      <c r="A223">
        <v>5</v>
      </c>
      <c r="B223" s="9" t="s">
        <v>335</v>
      </c>
      <c r="C223" s="45">
        <v>40697.853078703702</v>
      </c>
      <c r="D223" s="9" t="s">
        <v>335</v>
      </c>
      <c r="E223" t="str">
        <f t="shared" si="5"/>
        <v>'495779d'</v>
      </c>
      <c r="F223" s="9" t="s">
        <v>335</v>
      </c>
      <c r="G223" s="4">
        <v>5</v>
      </c>
      <c r="L223" s="44" t="s">
        <v>897</v>
      </c>
    </row>
    <row r="224" spans="1:12">
      <c r="A224">
        <v>6</v>
      </c>
      <c r="B224" s="9" t="s">
        <v>335</v>
      </c>
      <c r="C224" s="45">
        <v>40666.680844907409</v>
      </c>
      <c r="D224" s="9" t="s">
        <v>335</v>
      </c>
      <c r="E224" t="str">
        <f t="shared" si="5"/>
        <v>'c565c56'</v>
      </c>
      <c r="F224" s="9" t="s">
        <v>335</v>
      </c>
      <c r="G224" s="4">
        <v>1</v>
      </c>
      <c r="L224" s="44" t="s">
        <v>1448</v>
      </c>
    </row>
    <row r="225" spans="1:12">
      <c r="A225">
        <v>7</v>
      </c>
      <c r="B225" s="9" t="s">
        <v>335</v>
      </c>
      <c r="C225" s="45">
        <v>40676.62903935185</v>
      </c>
      <c r="D225" s="9" t="s">
        <v>335</v>
      </c>
      <c r="E225" t="str">
        <f t="shared" si="5"/>
        <v>'f10b5eb'</v>
      </c>
      <c r="F225" s="9" t="s">
        <v>335</v>
      </c>
      <c r="G225" s="4">
        <v>1</v>
      </c>
      <c r="L225" s="44" t="s">
        <v>1174</v>
      </c>
    </row>
    <row r="226" spans="1:12">
      <c r="A226">
        <v>8</v>
      </c>
      <c r="B226" s="9" t="s">
        <v>335</v>
      </c>
      <c r="C226" s="45">
        <v>40685.882372685184</v>
      </c>
      <c r="D226" s="9" t="s">
        <v>335</v>
      </c>
      <c r="E226" t="str">
        <f t="shared" si="5"/>
        <v>'819c852'</v>
      </c>
      <c r="F226" s="9" t="s">
        <v>335</v>
      </c>
      <c r="G226" s="4">
        <v>1</v>
      </c>
      <c r="L226" s="44" t="s">
        <v>993</v>
      </c>
    </row>
    <row r="227" spans="1:12">
      <c r="A227">
        <v>8</v>
      </c>
      <c r="B227" s="9" t="s">
        <v>335</v>
      </c>
      <c r="C227" s="45">
        <v>40696.686469907407</v>
      </c>
      <c r="D227" s="9" t="s">
        <v>335</v>
      </c>
      <c r="E227" t="str">
        <f t="shared" si="5"/>
        <v>'d5b8cf4'</v>
      </c>
      <c r="F227" s="9" t="s">
        <v>335</v>
      </c>
      <c r="G227" s="4">
        <v>2</v>
      </c>
      <c r="L227" s="44" t="s">
        <v>465</v>
      </c>
    </row>
    <row r="228" spans="1:12">
      <c r="A228">
        <v>8</v>
      </c>
      <c r="B228" s="9" t="s">
        <v>335</v>
      </c>
      <c r="C228" s="45">
        <v>40718.919259259259</v>
      </c>
      <c r="D228" s="9" t="s">
        <v>335</v>
      </c>
      <c r="E228" t="str">
        <f t="shared" si="5"/>
        <v>'89bd7cd'</v>
      </c>
      <c r="F228" s="9" t="s">
        <v>335</v>
      </c>
      <c r="G228" s="4">
        <v>3</v>
      </c>
      <c r="L228" s="44" t="s">
        <v>814</v>
      </c>
    </row>
    <row r="229" spans="1:12">
      <c r="A229">
        <v>9</v>
      </c>
      <c r="B229" s="9" t="s">
        <v>335</v>
      </c>
      <c r="C229" s="45">
        <v>40680.06144675926</v>
      </c>
      <c r="D229" s="9" t="s">
        <v>335</v>
      </c>
      <c r="E229" t="str">
        <f t="shared" si="5"/>
        <v>'70da17e'</v>
      </c>
      <c r="F229" s="9" t="s">
        <v>335</v>
      </c>
      <c r="G229" s="4">
        <v>1</v>
      </c>
      <c r="L229" s="44" t="s">
        <v>1083</v>
      </c>
    </row>
    <row r="230" spans="1:12">
      <c r="A230">
        <v>10</v>
      </c>
      <c r="B230" s="9" t="s">
        <v>335</v>
      </c>
      <c r="C230" s="45">
        <v>40716.208645833336</v>
      </c>
      <c r="D230" s="9" t="s">
        <v>335</v>
      </c>
      <c r="E230" t="str">
        <f t="shared" si="5"/>
        <v>'591cbfd'</v>
      </c>
      <c r="F230" s="9" t="s">
        <v>335</v>
      </c>
      <c r="G230" s="4">
        <v>1</v>
      </c>
      <c r="L230" s="44" t="s">
        <v>858</v>
      </c>
    </row>
    <row r="231" spans="1:12">
      <c r="A231">
        <v>11</v>
      </c>
      <c r="B231" s="9" t="s">
        <v>335</v>
      </c>
      <c r="C231" s="45">
        <v>40691.739444444444</v>
      </c>
      <c r="D231" s="9" t="s">
        <v>335</v>
      </c>
      <c r="E231" t="str">
        <f t="shared" si="5"/>
        <v>'84a78d5'</v>
      </c>
      <c r="F231" s="9" t="s">
        <v>335</v>
      </c>
      <c r="G231" s="4">
        <v>1</v>
      </c>
      <c r="L231" s="44" t="s">
        <v>582</v>
      </c>
    </row>
    <row r="232" spans="1:12">
      <c r="A232">
        <v>12</v>
      </c>
      <c r="B232" s="9" t="s">
        <v>335</v>
      </c>
      <c r="C232" s="45">
        <v>40699.548449074071</v>
      </c>
      <c r="D232" s="9" t="s">
        <v>335</v>
      </c>
      <c r="E232" t="str">
        <f t="shared" si="5"/>
        <v>'e4a846d'</v>
      </c>
      <c r="F232" s="9" t="s">
        <v>335</v>
      </c>
      <c r="G232" s="4">
        <v>1</v>
      </c>
      <c r="L232" s="44" t="s">
        <v>888</v>
      </c>
    </row>
    <row r="233" spans="1:12">
      <c r="A233">
        <v>13</v>
      </c>
      <c r="B233" s="9" t="s">
        <v>335</v>
      </c>
      <c r="C233" s="45">
        <v>40661.900243055556</v>
      </c>
      <c r="D233" s="9" t="s">
        <v>335</v>
      </c>
      <c r="E233" t="str">
        <f t="shared" si="5"/>
        <v>'0d3e461'</v>
      </c>
      <c r="F233" s="9" t="s">
        <v>335</v>
      </c>
      <c r="G233" s="4">
        <v>1</v>
      </c>
      <c r="L233" s="44" t="s">
        <v>487</v>
      </c>
    </row>
    <row r="234" spans="1:12">
      <c r="A234">
        <v>14</v>
      </c>
      <c r="B234" s="9" t="s">
        <v>335</v>
      </c>
      <c r="C234" s="45">
        <v>40634.028726851851</v>
      </c>
      <c r="D234" s="9" t="s">
        <v>335</v>
      </c>
      <c r="E234" t="str">
        <f t="shared" si="5"/>
        <v>'54d9840'</v>
      </c>
      <c r="F234" s="9" t="s">
        <v>335</v>
      </c>
      <c r="G234" s="4">
        <v>1</v>
      </c>
      <c r="L234" s="44" t="s">
        <v>1043</v>
      </c>
    </row>
    <row r="235" spans="1:12">
      <c r="A235">
        <v>14</v>
      </c>
      <c r="B235" s="9" t="s">
        <v>335</v>
      </c>
      <c r="C235" s="45">
        <v>40647.134837962964</v>
      </c>
      <c r="D235" s="9" t="s">
        <v>335</v>
      </c>
      <c r="E235" t="str">
        <f t="shared" si="5"/>
        <v>'3755b4c'</v>
      </c>
      <c r="F235" s="9" t="s">
        <v>335</v>
      </c>
      <c r="G235" s="4">
        <v>2</v>
      </c>
      <c r="L235" s="44" t="s">
        <v>806</v>
      </c>
    </row>
    <row r="236" spans="1:12">
      <c r="A236">
        <v>14</v>
      </c>
      <c r="B236" s="9" t="s">
        <v>335</v>
      </c>
      <c r="C236" s="45">
        <v>40653.032881944448</v>
      </c>
      <c r="D236" s="9" t="s">
        <v>335</v>
      </c>
      <c r="E236" t="str">
        <f t="shared" si="5"/>
        <v>'831e746'</v>
      </c>
      <c r="F236" s="9" t="s">
        <v>335</v>
      </c>
      <c r="G236" s="4">
        <v>3</v>
      </c>
      <c r="L236" s="44" t="s">
        <v>1149</v>
      </c>
    </row>
    <row r="237" spans="1:12">
      <c r="A237">
        <v>14</v>
      </c>
      <c r="B237" s="9" t="s">
        <v>335</v>
      </c>
      <c r="C237" s="45">
        <v>40664.292511574073</v>
      </c>
      <c r="D237" s="9" t="s">
        <v>335</v>
      </c>
      <c r="E237" t="str">
        <f t="shared" si="5"/>
        <v>'ba41484'</v>
      </c>
      <c r="F237" s="9" t="s">
        <v>335</v>
      </c>
      <c r="G237" s="4">
        <v>4</v>
      </c>
      <c r="L237" s="44" t="s">
        <v>1289</v>
      </c>
    </row>
    <row r="238" spans="1:12">
      <c r="A238">
        <v>14</v>
      </c>
      <c r="B238" s="9" t="s">
        <v>335</v>
      </c>
      <c r="C238" s="45">
        <v>40664.665127314816</v>
      </c>
      <c r="D238" s="9" t="s">
        <v>335</v>
      </c>
      <c r="E238" t="str">
        <f t="shared" si="5"/>
        <v>'80c9fe8'</v>
      </c>
      <c r="F238" s="9" t="s">
        <v>335</v>
      </c>
      <c r="G238" s="4">
        <v>5</v>
      </c>
      <c r="L238" s="44" t="s">
        <v>1177</v>
      </c>
    </row>
    <row r="239" spans="1:12">
      <c r="A239">
        <v>14</v>
      </c>
      <c r="B239" s="9" t="s">
        <v>335</v>
      </c>
      <c r="C239" s="45">
        <v>40673.141319444447</v>
      </c>
      <c r="D239" s="9" t="s">
        <v>335</v>
      </c>
      <c r="E239" t="str">
        <f t="shared" si="5"/>
        <v>'825dc6d'</v>
      </c>
      <c r="F239" s="9" t="s">
        <v>335</v>
      </c>
      <c r="G239" s="4">
        <v>6</v>
      </c>
      <c r="L239" s="44" t="s">
        <v>436</v>
      </c>
    </row>
    <row r="240" spans="1:12">
      <c r="A240">
        <v>15</v>
      </c>
      <c r="B240" s="9" t="s">
        <v>335</v>
      </c>
      <c r="C240" s="45">
        <v>40659.490567129629</v>
      </c>
      <c r="D240" s="9" t="s">
        <v>335</v>
      </c>
      <c r="E240" t="str">
        <f t="shared" si="5"/>
        <v>'7b15c23'</v>
      </c>
      <c r="F240" s="9" t="s">
        <v>335</v>
      </c>
      <c r="G240" s="4">
        <v>1</v>
      </c>
      <c r="L240" s="44" t="s">
        <v>971</v>
      </c>
    </row>
    <row r="241" spans="1:12">
      <c r="A241">
        <v>15</v>
      </c>
      <c r="B241" s="9" t="s">
        <v>335</v>
      </c>
      <c r="C241" s="45">
        <v>40703.655185185184</v>
      </c>
      <c r="D241" s="9" t="s">
        <v>335</v>
      </c>
      <c r="E241" t="str">
        <f t="shared" si="5"/>
        <v>'17a835d'</v>
      </c>
      <c r="F241" s="9" t="s">
        <v>335</v>
      </c>
      <c r="G241" s="4">
        <v>2</v>
      </c>
      <c r="L241" s="44" t="s">
        <v>1345</v>
      </c>
    </row>
    <row r="242" spans="1:12">
      <c r="A242">
        <v>15</v>
      </c>
      <c r="B242" s="9" t="s">
        <v>335</v>
      </c>
      <c r="C242" s="45">
        <v>40707.867256944446</v>
      </c>
      <c r="D242" s="9" t="s">
        <v>335</v>
      </c>
      <c r="E242" t="str">
        <f t="shared" si="5"/>
        <v>'985f378'</v>
      </c>
      <c r="F242" s="9" t="s">
        <v>335</v>
      </c>
      <c r="G242" s="4">
        <v>3</v>
      </c>
      <c r="L242" s="44" t="s">
        <v>1512</v>
      </c>
    </row>
    <row r="243" spans="1:12">
      <c r="A243">
        <v>16</v>
      </c>
      <c r="B243" s="9" t="s">
        <v>335</v>
      </c>
      <c r="C243" s="45">
        <v>40700.962083333332</v>
      </c>
      <c r="D243" s="9" t="s">
        <v>335</v>
      </c>
      <c r="E243" t="str">
        <f t="shared" si="5"/>
        <v>'8ce6893'</v>
      </c>
      <c r="F243" s="9" t="s">
        <v>335</v>
      </c>
      <c r="G243" s="4">
        <v>1</v>
      </c>
      <c r="L243" s="44" t="s">
        <v>800</v>
      </c>
    </row>
    <row r="244" spans="1:12">
      <c r="A244">
        <v>16</v>
      </c>
      <c r="B244" s="9" t="s">
        <v>335</v>
      </c>
      <c r="C244" s="45">
        <v>40714.548356481479</v>
      </c>
      <c r="D244" s="9" t="s">
        <v>335</v>
      </c>
      <c r="E244" t="str">
        <f t="shared" si="5"/>
        <v>'6be5275'</v>
      </c>
      <c r="F244" s="9" t="s">
        <v>335</v>
      </c>
      <c r="G244" s="4">
        <v>2</v>
      </c>
      <c r="L244" s="44" t="s">
        <v>732</v>
      </c>
    </row>
    <row r="245" spans="1:12">
      <c r="A245">
        <v>17</v>
      </c>
      <c r="B245" s="9" t="s">
        <v>335</v>
      </c>
      <c r="C245" s="45">
        <v>40707.935057870367</v>
      </c>
      <c r="D245" s="9" t="s">
        <v>335</v>
      </c>
      <c r="E245" t="str">
        <f t="shared" si="5"/>
        <v>'2cd6960'</v>
      </c>
      <c r="F245" s="9" t="s">
        <v>335</v>
      </c>
      <c r="G245" s="4">
        <v>1</v>
      </c>
      <c r="L245" s="44" t="s">
        <v>1498</v>
      </c>
    </row>
    <row r="246" spans="1:12">
      <c r="A246">
        <v>18</v>
      </c>
      <c r="B246" s="9" t="s">
        <v>335</v>
      </c>
      <c r="C246" s="45">
        <v>40648.841087962966</v>
      </c>
      <c r="D246" s="9" t="s">
        <v>335</v>
      </c>
      <c r="E246" t="str">
        <f t="shared" si="5"/>
        <v>'d3d564c'</v>
      </c>
      <c r="F246" s="9" t="s">
        <v>335</v>
      </c>
      <c r="G246" s="4">
        <v>1</v>
      </c>
      <c r="L246" s="44" t="s">
        <v>1165</v>
      </c>
    </row>
    <row r="247" spans="1:12">
      <c r="A247">
        <v>18</v>
      </c>
      <c r="B247" s="9" t="s">
        <v>335</v>
      </c>
      <c r="C247" s="45">
        <v>40648.935798611114</v>
      </c>
      <c r="D247" s="9" t="s">
        <v>335</v>
      </c>
      <c r="E247" t="str">
        <f t="shared" si="5"/>
        <v>'5c990b4'</v>
      </c>
      <c r="F247" s="9" t="s">
        <v>335</v>
      </c>
      <c r="G247" s="4">
        <v>2</v>
      </c>
      <c r="L247" s="44" t="s">
        <v>1153</v>
      </c>
    </row>
    <row r="248" spans="1:12">
      <c r="A248">
        <v>18</v>
      </c>
      <c r="B248" s="9" t="s">
        <v>335</v>
      </c>
      <c r="C248" s="45">
        <v>40648.95753472222</v>
      </c>
      <c r="D248" s="9" t="s">
        <v>335</v>
      </c>
      <c r="E248" t="str">
        <f t="shared" si="5"/>
        <v>'f3c44a0'</v>
      </c>
      <c r="F248" s="9" t="s">
        <v>335</v>
      </c>
      <c r="G248" s="4">
        <v>3</v>
      </c>
      <c r="L248" s="44" t="s">
        <v>538</v>
      </c>
    </row>
    <row r="249" spans="1:12">
      <c r="A249">
        <v>18</v>
      </c>
      <c r="B249" s="9" t="s">
        <v>335</v>
      </c>
      <c r="C249" s="45">
        <v>40651.553437499999</v>
      </c>
      <c r="D249" s="9" t="s">
        <v>335</v>
      </c>
      <c r="E249" t="str">
        <f t="shared" si="5"/>
        <v>'31e7dae'</v>
      </c>
      <c r="F249" s="9" t="s">
        <v>335</v>
      </c>
      <c r="G249" s="4">
        <v>4</v>
      </c>
      <c r="L249" s="44" t="s">
        <v>539</v>
      </c>
    </row>
    <row r="250" spans="1:12">
      <c r="A250">
        <v>18</v>
      </c>
      <c r="B250" s="9" t="s">
        <v>335</v>
      </c>
      <c r="C250" s="45">
        <v>40651.559212962966</v>
      </c>
      <c r="D250" s="9" t="s">
        <v>335</v>
      </c>
      <c r="E250" t="str">
        <f t="shared" si="5"/>
        <v>'0ecb07b'</v>
      </c>
      <c r="F250" s="9" t="s">
        <v>335</v>
      </c>
      <c r="G250" s="4">
        <v>5</v>
      </c>
      <c r="L250" s="44" t="s">
        <v>1479</v>
      </c>
    </row>
    <row r="251" spans="1:12">
      <c r="A251">
        <v>18</v>
      </c>
      <c r="B251" s="9" t="s">
        <v>335</v>
      </c>
      <c r="C251" s="45">
        <v>40651.562523148146</v>
      </c>
      <c r="D251" s="9" t="s">
        <v>335</v>
      </c>
      <c r="E251" t="str">
        <f t="shared" si="5"/>
        <v>'b013c4d'</v>
      </c>
      <c r="F251" s="9" t="s">
        <v>335</v>
      </c>
      <c r="G251" s="4">
        <v>6</v>
      </c>
      <c r="L251" s="44" t="s">
        <v>795</v>
      </c>
    </row>
    <row r="252" spans="1:12">
      <c r="A252">
        <v>18</v>
      </c>
      <c r="B252" s="9" t="s">
        <v>335</v>
      </c>
      <c r="C252" s="45">
        <v>40652.485671296294</v>
      </c>
      <c r="D252" s="9" t="s">
        <v>335</v>
      </c>
      <c r="E252" t="str">
        <f t="shared" si="5"/>
        <v>'31bb961'</v>
      </c>
      <c r="F252" s="9" t="s">
        <v>335</v>
      </c>
      <c r="G252" s="4">
        <v>7</v>
      </c>
      <c r="L252" s="44" t="s">
        <v>755</v>
      </c>
    </row>
    <row r="253" spans="1:12">
      <c r="A253">
        <v>18</v>
      </c>
      <c r="B253" s="9" t="s">
        <v>335</v>
      </c>
      <c r="C253" s="45">
        <v>40655.539456018516</v>
      </c>
      <c r="D253" s="9" t="s">
        <v>335</v>
      </c>
      <c r="E253" t="str">
        <f t="shared" si="5"/>
        <v>'2220b7f'</v>
      </c>
      <c r="F253" s="9" t="s">
        <v>335</v>
      </c>
      <c r="G253" s="4">
        <v>8</v>
      </c>
      <c r="L253" s="44" t="s">
        <v>1060</v>
      </c>
    </row>
    <row r="254" spans="1:12">
      <c r="A254">
        <v>18</v>
      </c>
      <c r="B254" s="9" t="s">
        <v>335</v>
      </c>
      <c r="C254" s="45">
        <v>40673.77412037037</v>
      </c>
      <c r="D254" s="9" t="s">
        <v>335</v>
      </c>
      <c r="E254" t="str">
        <f t="shared" si="5"/>
        <v>'688e81c'</v>
      </c>
      <c r="F254" s="9" t="s">
        <v>335</v>
      </c>
      <c r="G254" s="4">
        <v>9</v>
      </c>
      <c r="L254" s="44" t="s">
        <v>472</v>
      </c>
    </row>
    <row r="255" spans="1:12">
      <c r="A255">
        <v>18</v>
      </c>
      <c r="B255" s="9" t="s">
        <v>335</v>
      </c>
      <c r="C255" s="45">
        <v>40679.414722222224</v>
      </c>
      <c r="D255" s="9" t="s">
        <v>335</v>
      </c>
      <c r="E255" t="str">
        <f t="shared" si="5"/>
        <v>'200bcaf'</v>
      </c>
      <c r="F255" s="9" t="s">
        <v>335</v>
      </c>
      <c r="G255" s="4">
        <v>10</v>
      </c>
      <c r="L255" s="44" t="s">
        <v>1265</v>
      </c>
    </row>
    <row r="256" spans="1:12">
      <c r="A256">
        <v>18</v>
      </c>
      <c r="B256" s="9" t="s">
        <v>335</v>
      </c>
      <c r="C256" s="45">
        <v>40679.624884259261</v>
      </c>
      <c r="D256" s="9" t="s">
        <v>335</v>
      </c>
      <c r="E256" t="str">
        <f t="shared" si="5"/>
        <v>'642f301'</v>
      </c>
      <c r="F256" s="9" t="s">
        <v>335</v>
      </c>
      <c r="G256" s="4">
        <v>11</v>
      </c>
      <c r="L256" s="44" t="s">
        <v>928</v>
      </c>
    </row>
    <row r="257" spans="1:12">
      <c r="A257">
        <v>18</v>
      </c>
      <c r="B257" s="9" t="s">
        <v>335</v>
      </c>
      <c r="C257" s="45">
        <v>40698.475648148145</v>
      </c>
      <c r="D257" s="9" t="s">
        <v>335</v>
      </c>
      <c r="E257" t="str">
        <f t="shared" si="5"/>
        <v>'82a26a5'</v>
      </c>
      <c r="F257" s="9" t="s">
        <v>335</v>
      </c>
      <c r="G257" s="4">
        <v>12</v>
      </c>
      <c r="L257" s="44" t="s">
        <v>892</v>
      </c>
    </row>
    <row r="258" spans="1:12">
      <c r="A258">
        <v>18</v>
      </c>
      <c r="B258" s="9" t="s">
        <v>335</v>
      </c>
      <c r="C258" s="45">
        <v>40701.623217592591</v>
      </c>
      <c r="D258" s="9" t="s">
        <v>335</v>
      </c>
      <c r="E258" t="str">
        <f t="shared" si="5"/>
        <v>'6de74a5'</v>
      </c>
      <c r="F258" s="9" t="s">
        <v>335</v>
      </c>
      <c r="G258" s="4">
        <v>13</v>
      </c>
      <c r="L258" s="44" t="s">
        <v>1262</v>
      </c>
    </row>
    <row r="259" spans="1:12">
      <c r="A259">
        <v>18</v>
      </c>
      <c r="B259" s="9" t="s">
        <v>335</v>
      </c>
      <c r="C259" s="45">
        <v>40711.575810185182</v>
      </c>
      <c r="D259" s="9" t="s">
        <v>335</v>
      </c>
      <c r="E259" t="str">
        <f t="shared" si="5"/>
        <v>'7b20516'</v>
      </c>
      <c r="F259" s="9" t="s">
        <v>335</v>
      </c>
      <c r="G259" s="4">
        <v>14</v>
      </c>
      <c r="L259" s="44" t="s">
        <v>1192</v>
      </c>
    </row>
    <row r="260" spans="1:12">
      <c r="A260">
        <v>18</v>
      </c>
      <c r="B260" s="9" t="s">
        <v>335</v>
      </c>
      <c r="C260" s="45">
        <v>40711.911956018521</v>
      </c>
      <c r="D260" s="9" t="s">
        <v>335</v>
      </c>
      <c r="E260" t="str">
        <f t="shared" si="5"/>
        <v>'5dddebc'</v>
      </c>
      <c r="F260" s="9" t="s">
        <v>335</v>
      </c>
      <c r="G260" s="4">
        <v>15</v>
      </c>
      <c r="L260" s="44" t="s">
        <v>1005</v>
      </c>
    </row>
    <row r="261" spans="1:12">
      <c r="A261">
        <v>18</v>
      </c>
      <c r="B261" s="9" t="s">
        <v>335</v>
      </c>
      <c r="C261" s="45">
        <v>40711.972175925926</v>
      </c>
      <c r="D261" s="9" t="s">
        <v>335</v>
      </c>
      <c r="E261" t="str">
        <f t="shared" si="5"/>
        <v>'312861f'</v>
      </c>
      <c r="F261" s="9" t="s">
        <v>335</v>
      </c>
      <c r="G261" s="4">
        <v>16</v>
      </c>
      <c r="L261" s="44" t="s">
        <v>1314</v>
      </c>
    </row>
    <row r="262" spans="1:12">
      <c r="A262">
        <v>18</v>
      </c>
      <c r="B262" s="9" t="s">
        <v>335</v>
      </c>
      <c r="C262" s="45">
        <v>40712.394745370373</v>
      </c>
      <c r="D262" s="9" t="s">
        <v>335</v>
      </c>
      <c r="E262" t="str">
        <f t="shared" si="5"/>
        <v>'b2a9ccd'</v>
      </c>
      <c r="F262" s="9" t="s">
        <v>335</v>
      </c>
      <c r="G262" s="4">
        <v>17</v>
      </c>
      <c r="L262" s="44" t="s">
        <v>810</v>
      </c>
    </row>
    <row r="263" spans="1:12">
      <c r="A263">
        <v>19</v>
      </c>
      <c r="B263" s="9" t="s">
        <v>335</v>
      </c>
      <c r="C263" s="45">
        <v>40634.62972222222</v>
      </c>
      <c r="D263" s="9" t="s">
        <v>335</v>
      </c>
      <c r="E263" t="str">
        <f t="shared" si="5"/>
        <v>'9a9ac35'</v>
      </c>
      <c r="F263" s="9" t="s">
        <v>335</v>
      </c>
      <c r="G263" s="4">
        <v>1</v>
      </c>
      <c r="L263" s="44" t="s">
        <v>579</v>
      </c>
    </row>
    <row r="264" spans="1:12">
      <c r="A264">
        <v>19</v>
      </c>
      <c r="B264" s="9" t="s">
        <v>335</v>
      </c>
      <c r="C264" s="45">
        <v>40634.601226851853</v>
      </c>
      <c r="D264" s="9" t="s">
        <v>335</v>
      </c>
      <c r="E264" t="str">
        <f t="shared" si="5"/>
        <v>'ad343a6'</v>
      </c>
      <c r="F264" s="9" t="s">
        <v>335</v>
      </c>
      <c r="G264" s="4">
        <v>2</v>
      </c>
      <c r="L264" s="44" t="s">
        <v>1108</v>
      </c>
    </row>
    <row r="265" spans="1:12">
      <c r="A265">
        <v>19</v>
      </c>
      <c r="B265" s="9" t="s">
        <v>335</v>
      </c>
      <c r="C265" s="45">
        <v>40634.634675925925</v>
      </c>
      <c r="D265" s="9" t="s">
        <v>335</v>
      </c>
      <c r="E265" t="str">
        <f t="shared" si="5"/>
        <v>'9b03bf4'</v>
      </c>
      <c r="F265" s="9" t="s">
        <v>335</v>
      </c>
      <c r="G265" s="4">
        <v>3</v>
      </c>
      <c r="L265" s="44" t="s">
        <v>433</v>
      </c>
    </row>
    <row r="266" spans="1:12">
      <c r="A266">
        <v>19</v>
      </c>
      <c r="B266" s="9" t="s">
        <v>335</v>
      </c>
      <c r="C266" s="45">
        <v>40637.410833333335</v>
      </c>
      <c r="D266" s="9" t="s">
        <v>335</v>
      </c>
      <c r="E266" t="str">
        <f t="shared" si="5"/>
        <v>'f987e4e'</v>
      </c>
      <c r="F266" s="9" t="s">
        <v>335</v>
      </c>
      <c r="G266" s="4">
        <v>4</v>
      </c>
      <c r="L266" s="44" t="s">
        <v>1002</v>
      </c>
    </row>
    <row r="267" spans="1:12">
      <c r="A267">
        <v>19</v>
      </c>
      <c r="B267" s="9" t="s">
        <v>335</v>
      </c>
      <c r="C267" s="45">
        <v>40644.391863425924</v>
      </c>
      <c r="D267" s="9" t="s">
        <v>335</v>
      </c>
      <c r="E267" t="str">
        <f t="shared" ref="E267:E330" si="6">CONCATENATE("'",L267,"'")</f>
        <v>'be85b9c'</v>
      </c>
      <c r="F267" s="9" t="s">
        <v>335</v>
      </c>
      <c r="G267" s="4">
        <v>5</v>
      </c>
      <c r="L267" s="44" t="s">
        <v>1180</v>
      </c>
    </row>
    <row r="268" spans="1:12">
      <c r="A268">
        <v>19</v>
      </c>
      <c r="B268" s="9" t="s">
        <v>335</v>
      </c>
      <c r="C268" s="45">
        <v>40646.385740740741</v>
      </c>
      <c r="D268" s="9" t="s">
        <v>335</v>
      </c>
      <c r="E268" t="str">
        <f t="shared" si="6"/>
        <v>'6065a95'</v>
      </c>
      <c r="F268" s="9" t="s">
        <v>335</v>
      </c>
      <c r="G268" s="4">
        <v>6</v>
      </c>
      <c r="L268" s="44" t="s">
        <v>1044</v>
      </c>
    </row>
    <row r="269" spans="1:12">
      <c r="A269">
        <v>19</v>
      </c>
      <c r="B269" s="9" t="s">
        <v>335</v>
      </c>
      <c r="C269" s="45">
        <v>40648.731712962966</v>
      </c>
      <c r="D269" s="9" t="s">
        <v>335</v>
      </c>
      <c r="E269" t="str">
        <f t="shared" si="6"/>
        <v>'5b0fcc6'</v>
      </c>
      <c r="F269" s="9" t="s">
        <v>335</v>
      </c>
      <c r="G269" s="4">
        <v>7</v>
      </c>
      <c r="L269" s="44" t="s">
        <v>1164</v>
      </c>
    </row>
    <row r="270" spans="1:12">
      <c r="A270">
        <v>19</v>
      </c>
      <c r="B270" s="9" t="s">
        <v>335</v>
      </c>
      <c r="C270" s="45">
        <v>40648.621666666666</v>
      </c>
      <c r="D270" s="9" t="s">
        <v>335</v>
      </c>
      <c r="E270" t="str">
        <f t="shared" si="6"/>
        <v>'ff1f609'</v>
      </c>
      <c r="F270" s="9" t="s">
        <v>335</v>
      </c>
      <c r="G270" s="4">
        <v>8</v>
      </c>
      <c r="L270" s="44" t="s">
        <v>1132</v>
      </c>
    </row>
    <row r="271" spans="1:12">
      <c r="A271">
        <v>19</v>
      </c>
      <c r="B271" s="9" t="s">
        <v>335</v>
      </c>
      <c r="C271" s="45">
        <v>40648.902824074074</v>
      </c>
      <c r="D271" s="9" t="s">
        <v>335</v>
      </c>
      <c r="E271" t="str">
        <f t="shared" si="6"/>
        <v>'7e14d2e'</v>
      </c>
      <c r="F271" s="9" t="s">
        <v>335</v>
      </c>
      <c r="G271" s="4">
        <v>9</v>
      </c>
      <c r="L271" s="44" t="s">
        <v>1152</v>
      </c>
    </row>
    <row r="272" spans="1:12">
      <c r="A272">
        <v>19</v>
      </c>
      <c r="B272" s="9" t="s">
        <v>335</v>
      </c>
      <c r="C272" s="45">
        <v>40648.955590277779</v>
      </c>
      <c r="D272" s="9" t="s">
        <v>335</v>
      </c>
      <c r="E272" t="str">
        <f t="shared" si="6"/>
        <v>'fcf7f46'</v>
      </c>
      <c r="F272" s="9" t="s">
        <v>335</v>
      </c>
      <c r="G272" s="4">
        <v>10</v>
      </c>
      <c r="L272" s="44" t="s">
        <v>1062</v>
      </c>
    </row>
    <row r="273" spans="1:12">
      <c r="A273">
        <v>19</v>
      </c>
      <c r="B273" s="9" t="s">
        <v>335</v>
      </c>
      <c r="C273" s="45">
        <v>40651.556504629632</v>
      </c>
      <c r="D273" s="9" t="s">
        <v>335</v>
      </c>
      <c r="E273" t="str">
        <f t="shared" si="6"/>
        <v>'5c21f12'</v>
      </c>
      <c r="F273" s="9" t="s">
        <v>335</v>
      </c>
      <c r="G273" s="4">
        <v>11</v>
      </c>
      <c r="L273" s="44" t="s">
        <v>1478</v>
      </c>
    </row>
    <row r="274" spans="1:12">
      <c r="A274">
        <v>19</v>
      </c>
      <c r="B274" s="9" t="s">
        <v>335</v>
      </c>
      <c r="C274" s="45">
        <v>40651.561539351853</v>
      </c>
      <c r="D274" s="9" t="s">
        <v>335</v>
      </c>
      <c r="E274" t="str">
        <f t="shared" si="6"/>
        <v>'9c7e08b'</v>
      </c>
      <c r="F274" s="9" t="s">
        <v>335</v>
      </c>
      <c r="G274" s="4">
        <v>12</v>
      </c>
      <c r="L274" s="44" t="s">
        <v>1025</v>
      </c>
    </row>
    <row r="275" spans="1:12">
      <c r="A275">
        <v>19</v>
      </c>
      <c r="B275" s="9" t="s">
        <v>335</v>
      </c>
      <c r="C275" s="45">
        <v>40651.562025462961</v>
      </c>
      <c r="D275" s="9" t="s">
        <v>335</v>
      </c>
      <c r="E275" t="str">
        <f t="shared" si="6"/>
        <v>'4bf8f09'</v>
      </c>
      <c r="F275" s="9" t="s">
        <v>335</v>
      </c>
      <c r="G275" s="4">
        <v>13</v>
      </c>
      <c r="L275" s="44" t="s">
        <v>794</v>
      </c>
    </row>
    <row r="276" spans="1:12">
      <c r="A276">
        <v>19</v>
      </c>
      <c r="B276" s="9" t="s">
        <v>335</v>
      </c>
      <c r="C276" s="45">
        <v>40651.558622685188</v>
      </c>
      <c r="D276" s="9" t="s">
        <v>335</v>
      </c>
      <c r="E276" t="str">
        <f t="shared" si="6"/>
        <v>'ffcf4c5'</v>
      </c>
      <c r="F276" s="9" t="s">
        <v>335</v>
      </c>
      <c r="G276" s="4">
        <v>14</v>
      </c>
      <c r="L276" s="44" t="s">
        <v>595</v>
      </c>
    </row>
    <row r="277" spans="1:12">
      <c r="A277">
        <v>19</v>
      </c>
      <c r="B277" s="9" t="s">
        <v>335</v>
      </c>
      <c r="C277" s="45">
        <v>40651.918217592596</v>
      </c>
      <c r="D277" s="9" t="s">
        <v>335</v>
      </c>
      <c r="E277" t="str">
        <f t="shared" si="6"/>
        <v>'1d4abe2'</v>
      </c>
      <c r="F277" s="9" t="s">
        <v>335</v>
      </c>
      <c r="G277" s="4">
        <v>15</v>
      </c>
      <c r="L277" s="44" t="s">
        <v>1092</v>
      </c>
    </row>
    <row r="278" spans="1:12">
      <c r="A278">
        <v>19</v>
      </c>
      <c r="B278" s="9" t="s">
        <v>335</v>
      </c>
      <c r="C278" s="45">
        <v>40652.437719907408</v>
      </c>
      <c r="D278" s="9" t="s">
        <v>335</v>
      </c>
      <c r="E278" t="str">
        <f t="shared" si="6"/>
        <v>'1369c4f'</v>
      </c>
      <c r="F278" s="9" t="s">
        <v>335</v>
      </c>
      <c r="G278" s="4">
        <v>16</v>
      </c>
      <c r="L278" s="44" t="s">
        <v>754</v>
      </c>
    </row>
    <row r="279" spans="1:12">
      <c r="A279">
        <v>19</v>
      </c>
      <c r="B279" s="9" t="s">
        <v>335</v>
      </c>
      <c r="C279" s="45">
        <v>40654.639826388891</v>
      </c>
      <c r="D279" s="9" t="s">
        <v>335</v>
      </c>
      <c r="E279" t="str">
        <f t="shared" si="6"/>
        <v>'f5209cd'</v>
      </c>
      <c r="F279" s="9" t="s">
        <v>335</v>
      </c>
      <c r="G279" s="4">
        <v>17</v>
      </c>
      <c r="L279" s="44" t="s">
        <v>1496</v>
      </c>
    </row>
    <row r="280" spans="1:12">
      <c r="A280">
        <v>19</v>
      </c>
      <c r="B280" s="9" t="s">
        <v>335</v>
      </c>
      <c r="C280" s="45">
        <v>40655.459537037037</v>
      </c>
      <c r="D280" s="9" t="s">
        <v>335</v>
      </c>
      <c r="E280" t="str">
        <f t="shared" si="6"/>
        <v>'23daeee'</v>
      </c>
      <c r="F280" s="9" t="s">
        <v>335</v>
      </c>
      <c r="G280" s="4">
        <v>18</v>
      </c>
      <c r="L280" s="44" t="s">
        <v>1059</v>
      </c>
    </row>
    <row r="281" spans="1:12">
      <c r="A281">
        <v>19</v>
      </c>
      <c r="B281" s="9" t="s">
        <v>335</v>
      </c>
      <c r="C281" s="45">
        <v>40654.878101851849</v>
      </c>
      <c r="D281" s="9" t="s">
        <v>335</v>
      </c>
      <c r="E281" t="str">
        <f t="shared" si="6"/>
        <v>'50f7aa3'</v>
      </c>
      <c r="F281" s="9" t="s">
        <v>335</v>
      </c>
      <c r="G281" s="4">
        <v>19</v>
      </c>
      <c r="L281" s="44" t="s">
        <v>1105</v>
      </c>
    </row>
    <row r="282" spans="1:12">
      <c r="A282">
        <v>19</v>
      </c>
      <c r="B282" s="9" t="s">
        <v>335</v>
      </c>
      <c r="C282" s="45">
        <v>40658.514502314814</v>
      </c>
      <c r="D282" s="9" t="s">
        <v>335</v>
      </c>
      <c r="E282" t="str">
        <f t="shared" si="6"/>
        <v>'ac1c08c'</v>
      </c>
      <c r="F282" s="9" t="s">
        <v>335</v>
      </c>
      <c r="G282" s="4">
        <v>20</v>
      </c>
      <c r="L282" s="44" t="s">
        <v>855</v>
      </c>
    </row>
    <row r="283" spans="1:12">
      <c r="A283">
        <v>19</v>
      </c>
      <c r="B283" s="9" t="s">
        <v>335</v>
      </c>
      <c r="C283" s="45">
        <v>40658.560115740744</v>
      </c>
      <c r="D283" s="9" t="s">
        <v>335</v>
      </c>
      <c r="E283" t="str">
        <f t="shared" si="6"/>
        <v>'307af57'</v>
      </c>
      <c r="F283" s="9" t="s">
        <v>335</v>
      </c>
      <c r="G283" s="4">
        <v>21</v>
      </c>
      <c r="L283" s="44" t="s">
        <v>1472</v>
      </c>
    </row>
    <row r="284" spans="1:12">
      <c r="A284">
        <v>19</v>
      </c>
      <c r="B284" s="9" t="s">
        <v>335</v>
      </c>
      <c r="C284" s="45">
        <v>40659.734965277778</v>
      </c>
      <c r="D284" s="9" t="s">
        <v>335</v>
      </c>
      <c r="E284" t="str">
        <f t="shared" si="6"/>
        <v>'8d29f47'</v>
      </c>
      <c r="F284" s="9" t="s">
        <v>335</v>
      </c>
      <c r="G284" s="4">
        <v>22</v>
      </c>
      <c r="L284" s="44" t="s">
        <v>1054</v>
      </c>
    </row>
    <row r="285" spans="1:12">
      <c r="A285">
        <v>19</v>
      </c>
      <c r="B285" s="9" t="s">
        <v>335</v>
      </c>
      <c r="C285" s="45">
        <v>40661.711574074077</v>
      </c>
      <c r="D285" s="9" t="s">
        <v>335</v>
      </c>
      <c r="E285" t="str">
        <f t="shared" si="6"/>
        <v>'c36b35f'</v>
      </c>
      <c r="F285" s="9" t="s">
        <v>335</v>
      </c>
      <c r="G285" s="4">
        <v>23</v>
      </c>
      <c r="L285" s="44" t="s">
        <v>486</v>
      </c>
    </row>
    <row r="286" spans="1:12">
      <c r="A286">
        <v>19</v>
      </c>
      <c r="B286" s="9" t="s">
        <v>335</v>
      </c>
      <c r="C286" s="45">
        <v>40664.63554398148</v>
      </c>
      <c r="D286" s="9" t="s">
        <v>335</v>
      </c>
      <c r="E286" t="str">
        <f t="shared" si="6"/>
        <v>'b89b418'</v>
      </c>
      <c r="F286" s="9" t="s">
        <v>335</v>
      </c>
      <c r="G286" s="4">
        <v>24</v>
      </c>
      <c r="L286" s="44" t="s">
        <v>1290</v>
      </c>
    </row>
    <row r="287" spans="1:12">
      <c r="A287">
        <v>19</v>
      </c>
      <c r="B287" s="9" t="s">
        <v>335</v>
      </c>
      <c r="C287" s="45">
        <v>40664.679166666669</v>
      </c>
      <c r="D287" s="9" t="s">
        <v>335</v>
      </c>
      <c r="E287" t="str">
        <f t="shared" si="6"/>
        <v>'7149903'</v>
      </c>
      <c r="F287" s="9" t="s">
        <v>335</v>
      </c>
      <c r="G287" s="4">
        <v>25</v>
      </c>
      <c r="L287" s="44">
        <v>7149903</v>
      </c>
    </row>
    <row r="288" spans="1:12">
      <c r="A288">
        <v>19</v>
      </c>
      <c r="B288" s="9" t="s">
        <v>335</v>
      </c>
      <c r="C288" s="45">
        <v>40664.537835648145</v>
      </c>
      <c r="D288" s="9" t="s">
        <v>335</v>
      </c>
      <c r="E288" t="str">
        <f t="shared" si="6"/>
        <v>'fe452bf'</v>
      </c>
      <c r="F288" s="9" t="s">
        <v>335</v>
      </c>
      <c r="G288" s="4">
        <v>26</v>
      </c>
      <c r="L288" s="44" t="s">
        <v>952</v>
      </c>
    </row>
    <row r="289" spans="1:12">
      <c r="A289">
        <v>19</v>
      </c>
      <c r="B289" s="9" t="s">
        <v>335</v>
      </c>
      <c r="C289" s="45">
        <v>40667.482488425929</v>
      </c>
      <c r="D289" s="9" t="s">
        <v>335</v>
      </c>
      <c r="E289" t="str">
        <f t="shared" si="6"/>
        <v>'6243cf5'</v>
      </c>
      <c r="F289" s="9" t="s">
        <v>335</v>
      </c>
      <c r="G289" s="4">
        <v>27</v>
      </c>
      <c r="L289" s="44" t="s">
        <v>1381</v>
      </c>
    </row>
    <row r="290" spans="1:12">
      <c r="A290">
        <v>19</v>
      </c>
      <c r="B290" s="9" t="s">
        <v>335</v>
      </c>
      <c r="C290" s="45">
        <v>40645.58189814815</v>
      </c>
      <c r="D290" s="9" t="s">
        <v>335</v>
      </c>
      <c r="E290" t="str">
        <f t="shared" si="6"/>
        <v>'c617653'</v>
      </c>
      <c r="F290" s="9" t="s">
        <v>335</v>
      </c>
      <c r="G290" s="4">
        <v>28</v>
      </c>
      <c r="L290" s="44" t="s">
        <v>1366</v>
      </c>
    </row>
    <row r="291" spans="1:12">
      <c r="A291">
        <v>19</v>
      </c>
      <c r="B291" s="9" t="s">
        <v>335</v>
      </c>
      <c r="C291" s="45">
        <v>40672.400185185186</v>
      </c>
      <c r="D291" s="9" t="s">
        <v>335</v>
      </c>
      <c r="E291" t="str">
        <f t="shared" si="6"/>
        <v>'23da993'</v>
      </c>
      <c r="F291" s="9" t="s">
        <v>335</v>
      </c>
      <c r="G291" s="4">
        <v>29</v>
      </c>
      <c r="L291" s="44" t="s">
        <v>1417</v>
      </c>
    </row>
    <row r="292" spans="1:12">
      <c r="A292">
        <v>19</v>
      </c>
      <c r="B292" s="9" t="s">
        <v>335</v>
      </c>
      <c r="C292" s="45">
        <v>40673.445381944446</v>
      </c>
      <c r="D292" s="9" t="s">
        <v>335</v>
      </c>
      <c r="E292" t="str">
        <f t="shared" si="6"/>
        <v>'20c6fd4'</v>
      </c>
      <c r="F292" s="9" t="s">
        <v>335</v>
      </c>
      <c r="G292" s="4">
        <v>30</v>
      </c>
      <c r="L292" s="44" t="s">
        <v>674</v>
      </c>
    </row>
    <row r="293" spans="1:12">
      <c r="A293">
        <v>19</v>
      </c>
      <c r="B293" s="9" t="s">
        <v>335</v>
      </c>
      <c r="C293" s="45">
        <v>40621.917812500003</v>
      </c>
      <c r="D293" s="9" t="s">
        <v>335</v>
      </c>
      <c r="E293" t="str">
        <f t="shared" si="6"/>
        <v>'84b90dd'</v>
      </c>
      <c r="F293" s="9" t="s">
        <v>335</v>
      </c>
      <c r="G293" s="4">
        <v>31</v>
      </c>
      <c r="L293" s="44" t="s">
        <v>471</v>
      </c>
    </row>
    <row r="294" spans="1:12">
      <c r="A294">
        <v>19</v>
      </c>
      <c r="B294" s="9" t="s">
        <v>335</v>
      </c>
      <c r="C294" s="45">
        <v>40674.728252314817</v>
      </c>
      <c r="D294" s="9" t="s">
        <v>335</v>
      </c>
      <c r="E294" t="str">
        <f t="shared" si="6"/>
        <v>'e14c13c'</v>
      </c>
      <c r="F294" s="9" t="s">
        <v>335</v>
      </c>
      <c r="G294" s="4">
        <v>32</v>
      </c>
      <c r="L294" s="44" t="s">
        <v>1120</v>
      </c>
    </row>
    <row r="295" spans="1:12">
      <c r="A295">
        <v>19</v>
      </c>
      <c r="B295" s="9" t="s">
        <v>335</v>
      </c>
      <c r="C295" s="45">
        <v>40676.600868055553</v>
      </c>
      <c r="D295" s="9" t="s">
        <v>335</v>
      </c>
      <c r="E295" t="str">
        <f t="shared" si="6"/>
        <v>'0203876'</v>
      </c>
      <c r="F295" s="9" t="s">
        <v>335</v>
      </c>
      <c r="G295" s="4">
        <v>33</v>
      </c>
      <c r="L295" s="44" t="s">
        <v>1875</v>
      </c>
    </row>
    <row r="296" spans="1:12">
      <c r="A296">
        <v>19</v>
      </c>
      <c r="B296" s="9" t="s">
        <v>335</v>
      </c>
      <c r="C296" s="45">
        <v>40676.601805555554</v>
      </c>
      <c r="D296" s="9" t="s">
        <v>335</v>
      </c>
      <c r="E296" t="str">
        <f t="shared" si="6"/>
        <v>'31d3620'</v>
      </c>
      <c r="F296" s="9" t="s">
        <v>335</v>
      </c>
      <c r="G296" s="4">
        <v>34</v>
      </c>
      <c r="L296" s="44" t="s">
        <v>1264</v>
      </c>
    </row>
    <row r="297" spans="1:12">
      <c r="A297">
        <v>19</v>
      </c>
      <c r="B297" s="9" t="s">
        <v>335</v>
      </c>
      <c r="C297" s="45">
        <v>40679.608263888891</v>
      </c>
      <c r="D297" s="9" t="s">
        <v>335</v>
      </c>
      <c r="E297" t="str">
        <f t="shared" si="6"/>
        <v>'2741433'</v>
      </c>
      <c r="F297" s="9" t="s">
        <v>335</v>
      </c>
      <c r="G297" s="4">
        <v>35</v>
      </c>
      <c r="L297" s="44">
        <v>2741433</v>
      </c>
    </row>
    <row r="298" spans="1:12">
      <c r="A298">
        <v>19</v>
      </c>
      <c r="B298" s="9" t="s">
        <v>335</v>
      </c>
      <c r="C298" s="45">
        <v>40679.646574074075</v>
      </c>
      <c r="D298" s="9" t="s">
        <v>335</v>
      </c>
      <c r="E298" t="str">
        <f t="shared" si="6"/>
        <v>'872b4df'</v>
      </c>
      <c r="F298" s="9" t="s">
        <v>335</v>
      </c>
      <c r="G298" s="4">
        <v>36</v>
      </c>
      <c r="L298" s="44" t="s">
        <v>1435</v>
      </c>
    </row>
    <row r="299" spans="1:12">
      <c r="A299">
        <v>19</v>
      </c>
      <c r="B299" s="9" t="s">
        <v>335</v>
      </c>
      <c r="C299" s="45">
        <v>40685.921053240738</v>
      </c>
      <c r="D299" s="9" t="s">
        <v>335</v>
      </c>
      <c r="E299" t="str">
        <f t="shared" si="6"/>
        <v>'cb86f97'</v>
      </c>
      <c r="F299" s="9" t="s">
        <v>335</v>
      </c>
      <c r="G299" s="4">
        <v>37</v>
      </c>
      <c r="L299" s="44" t="s">
        <v>994</v>
      </c>
    </row>
    <row r="300" spans="1:12">
      <c r="A300">
        <v>19</v>
      </c>
      <c r="B300" s="9" t="s">
        <v>335</v>
      </c>
      <c r="C300" s="45">
        <v>40686.084872685184</v>
      </c>
      <c r="D300" s="9" t="s">
        <v>335</v>
      </c>
      <c r="E300" t="str">
        <f t="shared" si="6"/>
        <v>'531f439'</v>
      </c>
      <c r="F300" s="9" t="s">
        <v>335</v>
      </c>
      <c r="G300" s="4">
        <v>38</v>
      </c>
      <c r="L300" s="44" t="s">
        <v>1207</v>
      </c>
    </row>
    <row r="301" spans="1:12">
      <c r="A301">
        <v>19</v>
      </c>
      <c r="B301" s="9" t="s">
        <v>335</v>
      </c>
      <c r="C301" s="45">
        <v>40697.648645833331</v>
      </c>
      <c r="D301" s="9" t="s">
        <v>335</v>
      </c>
      <c r="E301" t="str">
        <f t="shared" si="6"/>
        <v>'2ca3836'</v>
      </c>
      <c r="F301" s="9" t="s">
        <v>335</v>
      </c>
      <c r="G301" s="4">
        <v>39</v>
      </c>
      <c r="L301" s="44" t="s">
        <v>1014</v>
      </c>
    </row>
    <row r="302" spans="1:12">
      <c r="A302">
        <v>19</v>
      </c>
      <c r="B302" s="9" t="s">
        <v>335</v>
      </c>
      <c r="C302" s="45">
        <v>40676.575289351851</v>
      </c>
      <c r="D302" s="9" t="s">
        <v>335</v>
      </c>
      <c r="E302" t="str">
        <f t="shared" si="6"/>
        <v>'e76b021'</v>
      </c>
      <c r="F302" s="9" t="s">
        <v>335</v>
      </c>
      <c r="G302" s="4">
        <v>40</v>
      </c>
      <c r="L302" s="44" t="s">
        <v>1086</v>
      </c>
    </row>
    <row r="303" spans="1:12">
      <c r="A303">
        <v>19</v>
      </c>
      <c r="B303" s="9" t="s">
        <v>335</v>
      </c>
      <c r="C303" s="45">
        <v>40698.44259259259</v>
      </c>
      <c r="D303" s="9" t="s">
        <v>335</v>
      </c>
      <c r="E303" t="str">
        <f t="shared" si="6"/>
        <v>'d2f90ce'</v>
      </c>
      <c r="F303" s="9" t="s">
        <v>335</v>
      </c>
      <c r="G303" s="4">
        <v>41</v>
      </c>
      <c r="L303" s="44" t="s">
        <v>898</v>
      </c>
    </row>
    <row r="304" spans="1:12">
      <c r="A304">
        <v>19</v>
      </c>
      <c r="B304" s="9" t="s">
        <v>335</v>
      </c>
      <c r="C304" s="45">
        <v>40697.485046296293</v>
      </c>
      <c r="D304" s="9" t="s">
        <v>335</v>
      </c>
      <c r="E304" t="str">
        <f t="shared" si="6"/>
        <v>'514b5fd'</v>
      </c>
      <c r="F304" s="9" t="s">
        <v>335</v>
      </c>
      <c r="G304" s="4">
        <v>42</v>
      </c>
      <c r="L304" s="44" t="s">
        <v>891</v>
      </c>
    </row>
    <row r="305" spans="1:12">
      <c r="A305">
        <v>19</v>
      </c>
      <c r="B305" s="9" t="s">
        <v>335</v>
      </c>
      <c r="C305" s="45">
        <v>40699.677581018521</v>
      </c>
      <c r="D305" s="9" t="s">
        <v>335</v>
      </c>
      <c r="E305" t="str">
        <f t="shared" si="6"/>
        <v>'2ff3cab'</v>
      </c>
      <c r="F305" s="9" t="s">
        <v>335</v>
      </c>
      <c r="G305" s="4">
        <v>43</v>
      </c>
      <c r="L305" s="44" t="s">
        <v>889</v>
      </c>
    </row>
    <row r="306" spans="1:12">
      <c r="A306">
        <v>19</v>
      </c>
      <c r="B306" s="9" t="s">
        <v>335</v>
      </c>
      <c r="C306" s="45">
        <v>40700.679039351853</v>
      </c>
      <c r="D306" s="9" t="s">
        <v>335</v>
      </c>
      <c r="E306" t="str">
        <f t="shared" si="6"/>
        <v>'77290b9'</v>
      </c>
      <c r="F306" s="9" t="s">
        <v>335</v>
      </c>
      <c r="G306" s="4">
        <v>44</v>
      </c>
      <c r="L306" s="44" t="s">
        <v>394</v>
      </c>
    </row>
    <row r="307" spans="1:12">
      <c r="A307">
        <v>19</v>
      </c>
      <c r="B307" s="9" t="s">
        <v>335</v>
      </c>
      <c r="C307" s="45">
        <v>40700.768090277779</v>
      </c>
      <c r="D307" s="9" t="s">
        <v>335</v>
      </c>
      <c r="E307" t="str">
        <f t="shared" si="6"/>
        <v>'3fb0fb2'</v>
      </c>
      <c r="F307" s="9" t="s">
        <v>335</v>
      </c>
      <c r="G307" s="4">
        <v>45</v>
      </c>
      <c r="L307" s="44" t="s">
        <v>548</v>
      </c>
    </row>
    <row r="308" spans="1:12">
      <c r="A308">
        <v>19</v>
      </c>
      <c r="B308" s="9" t="s">
        <v>335</v>
      </c>
      <c r="C308" s="45">
        <v>40701.436886574076</v>
      </c>
      <c r="D308" s="9" t="s">
        <v>335</v>
      </c>
      <c r="E308" t="str">
        <f t="shared" si="6"/>
        <v>'8cd638a'</v>
      </c>
      <c r="F308" s="9" t="s">
        <v>335</v>
      </c>
      <c r="G308" s="4">
        <v>46</v>
      </c>
      <c r="L308" s="44" t="s">
        <v>425</v>
      </c>
    </row>
    <row r="309" spans="1:12">
      <c r="A309">
        <v>19</v>
      </c>
      <c r="B309" s="9" t="s">
        <v>335</v>
      </c>
      <c r="C309" s="45">
        <v>40701.602673611109</v>
      </c>
      <c r="D309" s="9" t="s">
        <v>335</v>
      </c>
      <c r="E309" t="str">
        <f t="shared" si="6"/>
        <v>'8291720'</v>
      </c>
      <c r="F309" s="9" t="s">
        <v>335</v>
      </c>
      <c r="G309" s="4">
        <v>47</v>
      </c>
      <c r="L309" s="44">
        <v>8291720</v>
      </c>
    </row>
    <row r="310" spans="1:12">
      <c r="A310">
        <v>19</v>
      </c>
      <c r="B310" s="9" t="s">
        <v>335</v>
      </c>
      <c r="C310" s="45">
        <v>40706.922083333331</v>
      </c>
      <c r="D310" s="9" t="s">
        <v>335</v>
      </c>
      <c r="E310" t="str">
        <f t="shared" si="6"/>
        <v>'ef05e4c'</v>
      </c>
      <c r="F310" s="9" t="s">
        <v>335</v>
      </c>
      <c r="G310" s="4">
        <v>48</v>
      </c>
      <c r="L310" s="44" t="s">
        <v>1346</v>
      </c>
    </row>
    <row r="311" spans="1:12">
      <c r="A311">
        <v>19</v>
      </c>
      <c r="B311" s="9" t="s">
        <v>335</v>
      </c>
      <c r="C311" s="45">
        <v>40705.777488425927</v>
      </c>
      <c r="D311" s="9" t="s">
        <v>335</v>
      </c>
      <c r="E311" t="str">
        <f t="shared" si="6"/>
        <v>'e03ba7d'</v>
      </c>
      <c r="F311" s="9" t="s">
        <v>335</v>
      </c>
      <c r="G311" s="4">
        <v>49</v>
      </c>
      <c r="L311" s="44" t="s">
        <v>948</v>
      </c>
    </row>
    <row r="312" spans="1:12">
      <c r="A312">
        <v>19</v>
      </c>
      <c r="B312" s="9" t="s">
        <v>335</v>
      </c>
      <c r="C312" s="45">
        <v>40707.390694444446</v>
      </c>
      <c r="D312" s="9" t="s">
        <v>335</v>
      </c>
      <c r="E312" t="str">
        <f t="shared" si="6"/>
        <v>'c61ffdd'</v>
      </c>
      <c r="F312" s="9" t="s">
        <v>335</v>
      </c>
      <c r="G312" s="4">
        <v>50</v>
      </c>
      <c r="L312" s="44" t="s">
        <v>646</v>
      </c>
    </row>
    <row r="313" spans="1:12">
      <c r="A313">
        <v>19</v>
      </c>
      <c r="B313" s="9" t="s">
        <v>335</v>
      </c>
      <c r="C313" s="45">
        <v>40707.402453703704</v>
      </c>
      <c r="D313" s="9" t="s">
        <v>335</v>
      </c>
      <c r="E313" t="str">
        <f t="shared" si="6"/>
        <v>'6464917'</v>
      </c>
      <c r="F313" s="9" t="s">
        <v>335</v>
      </c>
      <c r="G313" s="4">
        <v>51</v>
      </c>
      <c r="L313" s="44">
        <v>6464917</v>
      </c>
    </row>
    <row r="314" spans="1:12">
      <c r="A314">
        <v>19</v>
      </c>
      <c r="B314" s="9" t="s">
        <v>335</v>
      </c>
      <c r="C314" s="45">
        <v>40711.476921296293</v>
      </c>
      <c r="D314" s="9" t="s">
        <v>335</v>
      </c>
      <c r="E314" t="str">
        <f t="shared" si="6"/>
        <v>'a3354b1'</v>
      </c>
      <c r="F314" s="9" t="s">
        <v>335</v>
      </c>
      <c r="G314" s="4">
        <v>52</v>
      </c>
      <c r="L314" s="44" t="s">
        <v>1191</v>
      </c>
    </row>
    <row r="315" spans="1:12">
      <c r="A315">
        <v>19</v>
      </c>
      <c r="B315" s="9" t="s">
        <v>335</v>
      </c>
      <c r="C315" s="45">
        <v>40711.777349537035</v>
      </c>
      <c r="D315" s="9" t="s">
        <v>335</v>
      </c>
      <c r="E315" t="str">
        <f t="shared" si="6"/>
        <v>'26fc0c8'</v>
      </c>
      <c r="F315" s="9" t="s">
        <v>335</v>
      </c>
      <c r="G315" s="4">
        <v>53</v>
      </c>
      <c r="L315" s="44" t="s">
        <v>1004</v>
      </c>
    </row>
    <row r="316" spans="1:12">
      <c r="A316">
        <v>19</v>
      </c>
      <c r="B316" s="9" t="s">
        <v>335</v>
      </c>
      <c r="C316" s="45">
        <v>40711.925393518519</v>
      </c>
      <c r="D316" s="9" t="s">
        <v>335</v>
      </c>
      <c r="E316" t="str">
        <f t="shared" si="6"/>
        <v>'40ffd56'</v>
      </c>
      <c r="F316" s="9" t="s">
        <v>335</v>
      </c>
      <c r="G316" s="4">
        <v>54</v>
      </c>
      <c r="L316" s="44" t="s">
        <v>1313</v>
      </c>
    </row>
    <row r="317" spans="1:12">
      <c r="A317">
        <v>19</v>
      </c>
      <c r="B317" s="9" t="s">
        <v>335</v>
      </c>
      <c r="C317" s="45">
        <v>40711.972210648149</v>
      </c>
      <c r="D317" s="9" t="s">
        <v>335</v>
      </c>
      <c r="E317" t="str">
        <f t="shared" si="6"/>
        <v>'cf3104d'</v>
      </c>
      <c r="F317" s="9" t="s">
        <v>335</v>
      </c>
      <c r="G317" s="4">
        <v>55</v>
      </c>
      <c r="L317" s="44" t="s">
        <v>809</v>
      </c>
    </row>
    <row r="318" spans="1:12">
      <c r="A318">
        <v>19</v>
      </c>
      <c r="B318" s="9" t="s">
        <v>335</v>
      </c>
      <c r="C318" s="45">
        <v>40714.46402777778</v>
      </c>
      <c r="D318" s="9" t="s">
        <v>335</v>
      </c>
      <c r="E318" t="str">
        <f t="shared" si="6"/>
        <v>'405f913'</v>
      </c>
      <c r="F318" s="9" t="s">
        <v>335</v>
      </c>
      <c r="G318" s="4">
        <v>56</v>
      </c>
      <c r="L318" s="44" t="s">
        <v>801</v>
      </c>
    </row>
    <row r="319" spans="1:12">
      <c r="A319">
        <v>19</v>
      </c>
      <c r="B319" s="9" t="s">
        <v>335</v>
      </c>
      <c r="C319" s="45">
        <v>40714.74690972222</v>
      </c>
      <c r="D319" s="9" t="s">
        <v>335</v>
      </c>
      <c r="E319" t="str">
        <f t="shared" si="6"/>
        <v>'78cdd29'</v>
      </c>
      <c r="F319" s="9" t="s">
        <v>335</v>
      </c>
      <c r="G319" s="4">
        <v>57</v>
      </c>
      <c r="L319" s="44" t="s">
        <v>733</v>
      </c>
    </row>
    <row r="320" spans="1:12">
      <c r="A320">
        <v>19</v>
      </c>
      <c r="B320" s="9" t="s">
        <v>335</v>
      </c>
      <c r="C320" s="45">
        <v>40714.46398148148</v>
      </c>
      <c r="D320" s="9" t="s">
        <v>335</v>
      </c>
      <c r="E320" t="str">
        <f t="shared" si="6"/>
        <v>'556ef07'</v>
      </c>
      <c r="F320" s="9" t="s">
        <v>335</v>
      </c>
      <c r="G320" s="4">
        <v>58</v>
      </c>
      <c r="L320" s="44" t="s">
        <v>381</v>
      </c>
    </row>
    <row r="321" spans="1:12">
      <c r="A321">
        <v>19</v>
      </c>
      <c r="B321" s="9" t="s">
        <v>335</v>
      </c>
      <c r="C321" s="45">
        <v>40712.396724537037</v>
      </c>
      <c r="D321" s="9" t="s">
        <v>335</v>
      </c>
      <c r="E321" t="str">
        <f t="shared" si="6"/>
        <v>'06b1009'</v>
      </c>
      <c r="F321" s="9" t="s">
        <v>335</v>
      </c>
      <c r="G321" s="4">
        <v>59</v>
      </c>
      <c r="L321" s="44" t="s">
        <v>1257</v>
      </c>
    </row>
    <row r="322" spans="1:12">
      <c r="A322">
        <v>19</v>
      </c>
      <c r="B322" s="9" t="s">
        <v>335</v>
      </c>
      <c r="C322" s="45">
        <v>40715.710081018522</v>
      </c>
      <c r="D322" s="9" t="s">
        <v>335</v>
      </c>
      <c r="E322" t="str">
        <f t="shared" si="6"/>
        <v>'63a2916'</v>
      </c>
      <c r="F322" s="9" t="s">
        <v>335</v>
      </c>
      <c r="G322" s="4">
        <v>60</v>
      </c>
      <c r="L322" s="44" t="s">
        <v>403</v>
      </c>
    </row>
    <row r="323" spans="1:12">
      <c r="A323">
        <v>19</v>
      </c>
      <c r="B323" s="9" t="s">
        <v>335</v>
      </c>
      <c r="C323" s="45">
        <v>40721.417511574073</v>
      </c>
      <c r="D323" s="9" t="s">
        <v>335</v>
      </c>
      <c r="E323" t="str">
        <f t="shared" si="6"/>
        <v>'9f526b3'</v>
      </c>
      <c r="F323" s="9" t="s">
        <v>335</v>
      </c>
      <c r="G323" s="4">
        <v>61</v>
      </c>
      <c r="L323" s="44" t="s">
        <v>859</v>
      </c>
    </row>
    <row r="324" spans="1:12">
      <c r="A324">
        <v>19</v>
      </c>
      <c r="B324" s="9" t="s">
        <v>335</v>
      </c>
      <c r="C324" s="45">
        <v>40722.973796296297</v>
      </c>
      <c r="D324" s="9" t="s">
        <v>335</v>
      </c>
      <c r="E324" t="str">
        <f t="shared" si="6"/>
        <v>'d741fd9'</v>
      </c>
      <c r="F324" s="9" t="s">
        <v>335</v>
      </c>
      <c r="G324" s="4">
        <v>62</v>
      </c>
      <c r="L324" s="44" t="s">
        <v>998</v>
      </c>
    </row>
    <row r="325" spans="1:12">
      <c r="A325">
        <v>20</v>
      </c>
      <c r="B325" s="9" t="s">
        <v>335</v>
      </c>
      <c r="C325" s="45">
        <v>40675.417928240742</v>
      </c>
      <c r="D325" s="9" t="s">
        <v>335</v>
      </c>
      <c r="E325" t="str">
        <f t="shared" si="6"/>
        <v>'2836ae4'</v>
      </c>
      <c r="F325" s="9" t="s">
        <v>335</v>
      </c>
      <c r="G325" s="4">
        <v>1</v>
      </c>
      <c r="L325" s="44" t="s">
        <v>1121</v>
      </c>
    </row>
    <row r="326" spans="1:12">
      <c r="A326">
        <v>20</v>
      </c>
      <c r="B326" s="9" t="s">
        <v>335</v>
      </c>
      <c r="C326" s="45">
        <v>40683.388124999998</v>
      </c>
      <c r="D326" s="9" t="s">
        <v>335</v>
      </c>
      <c r="E326" t="str">
        <f t="shared" si="6"/>
        <v>'e3a0be9'</v>
      </c>
      <c r="F326" s="9" t="s">
        <v>335</v>
      </c>
      <c r="G326" s="4">
        <v>2</v>
      </c>
      <c r="L326" s="44" t="s">
        <v>454</v>
      </c>
    </row>
    <row r="327" spans="1:12">
      <c r="A327">
        <v>20</v>
      </c>
      <c r="B327" s="9" t="s">
        <v>335</v>
      </c>
      <c r="C327" s="45">
        <v>40686.401203703703</v>
      </c>
      <c r="D327" s="9" t="s">
        <v>335</v>
      </c>
      <c r="E327" t="str">
        <f t="shared" si="6"/>
        <v>'cee7a85'</v>
      </c>
      <c r="F327" s="9" t="s">
        <v>335</v>
      </c>
      <c r="G327" s="4">
        <v>3</v>
      </c>
      <c r="L327" s="44" t="s">
        <v>1208</v>
      </c>
    </row>
    <row r="328" spans="1:12">
      <c r="A328">
        <v>20</v>
      </c>
      <c r="B328" s="9" t="s">
        <v>335</v>
      </c>
      <c r="C328" s="45">
        <v>40686.694861111115</v>
      </c>
      <c r="D328" s="9" t="s">
        <v>335</v>
      </c>
      <c r="E328" t="str">
        <f t="shared" si="6"/>
        <v>'018b75e'</v>
      </c>
      <c r="F328" s="9" t="s">
        <v>335</v>
      </c>
      <c r="G328" s="4">
        <v>4</v>
      </c>
      <c r="L328" s="44" t="s">
        <v>1228</v>
      </c>
    </row>
    <row r="329" spans="1:12">
      <c r="A329">
        <v>20</v>
      </c>
      <c r="B329" s="9" t="s">
        <v>335</v>
      </c>
      <c r="C329" s="45">
        <v>40687.571516203701</v>
      </c>
      <c r="D329" s="9" t="s">
        <v>335</v>
      </c>
      <c r="E329" t="str">
        <f t="shared" si="6"/>
        <v>'0bc4655'</v>
      </c>
      <c r="F329" s="9" t="s">
        <v>335</v>
      </c>
      <c r="G329" s="4">
        <v>5</v>
      </c>
      <c r="L329" s="44" t="s">
        <v>1231</v>
      </c>
    </row>
    <row r="330" spans="1:12">
      <c r="A330">
        <v>21</v>
      </c>
      <c r="B330" s="9" t="s">
        <v>335</v>
      </c>
      <c r="C330" s="45">
        <v>40715.68204861111</v>
      </c>
      <c r="D330" s="9" t="s">
        <v>335</v>
      </c>
      <c r="E330" t="str">
        <f t="shared" si="6"/>
        <v>'c83d2cf'</v>
      </c>
      <c r="F330" s="9" t="s">
        <v>335</v>
      </c>
      <c r="G330" s="4">
        <v>1</v>
      </c>
      <c r="L330" s="44" t="s">
        <v>542</v>
      </c>
    </row>
    <row r="331" spans="1:12">
      <c r="A331">
        <v>22</v>
      </c>
      <c r="B331" s="9" t="s">
        <v>335</v>
      </c>
      <c r="C331" s="45">
        <v>40661.934548611112</v>
      </c>
      <c r="D331" s="9" t="s">
        <v>335</v>
      </c>
      <c r="E331" t="str">
        <f t="shared" ref="E331:E394" si="7">CONCATENATE("'",L331,"'")</f>
        <v>'cae5ea0'</v>
      </c>
      <c r="F331" s="9" t="s">
        <v>335</v>
      </c>
      <c r="G331" s="4">
        <v>1</v>
      </c>
      <c r="L331" s="44" t="s">
        <v>976</v>
      </c>
    </row>
    <row r="332" spans="1:12">
      <c r="A332">
        <v>22</v>
      </c>
      <c r="B332" s="9" t="s">
        <v>335</v>
      </c>
      <c r="C332" s="45">
        <v>40661.561041666668</v>
      </c>
      <c r="D332" s="9" t="s">
        <v>335</v>
      </c>
      <c r="E332" t="str">
        <f t="shared" si="7"/>
        <v>'39d738f'</v>
      </c>
      <c r="F332" s="9" t="s">
        <v>335</v>
      </c>
      <c r="G332" s="4">
        <v>2</v>
      </c>
      <c r="L332" s="44" t="s">
        <v>652</v>
      </c>
    </row>
    <row r="333" spans="1:12">
      <c r="A333">
        <v>22</v>
      </c>
      <c r="B333" s="9" t="s">
        <v>335</v>
      </c>
      <c r="C333" s="45">
        <v>40676.914710648147</v>
      </c>
      <c r="D333" s="9" t="s">
        <v>335</v>
      </c>
      <c r="E333" t="str">
        <f t="shared" si="7"/>
        <v>'6ae77ed'</v>
      </c>
      <c r="F333" s="9" t="s">
        <v>335</v>
      </c>
      <c r="G333" s="4">
        <v>3</v>
      </c>
      <c r="L333" s="44" t="s">
        <v>1434</v>
      </c>
    </row>
    <row r="334" spans="1:12">
      <c r="A334">
        <v>23</v>
      </c>
      <c r="B334" s="9" t="s">
        <v>335</v>
      </c>
      <c r="C334" s="45">
        <v>40696.952337962961</v>
      </c>
      <c r="D334" s="9" t="s">
        <v>335</v>
      </c>
      <c r="E334" t="str">
        <f t="shared" si="7"/>
        <v>'c3eef5b'</v>
      </c>
      <c r="F334" s="9" t="s">
        <v>335</v>
      </c>
      <c r="G334" s="4">
        <v>1</v>
      </c>
      <c r="L334" s="44" t="s">
        <v>702</v>
      </c>
    </row>
    <row r="335" spans="1:12">
      <c r="A335">
        <v>24</v>
      </c>
      <c r="B335" s="9" t="s">
        <v>335</v>
      </c>
      <c r="C335" s="45">
        <v>40691.668310185189</v>
      </c>
      <c r="D335" s="9" t="s">
        <v>335</v>
      </c>
      <c r="E335" t="str">
        <f t="shared" si="7"/>
        <v>'a84188e'</v>
      </c>
      <c r="F335" s="9" t="s">
        <v>335</v>
      </c>
      <c r="G335" s="4">
        <v>1</v>
      </c>
      <c r="L335" s="44" t="s">
        <v>692</v>
      </c>
    </row>
    <row r="336" spans="1:12">
      <c r="A336">
        <v>24</v>
      </c>
      <c r="B336" s="9" t="s">
        <v>335</v>
      </c>
      <c r="C336" s="45">
        <v>40694.203912037039</v>
      </c>
      <c r="D336" s="9" t="s">
        <v>335</v>
      </c>
      <c r="E336" t="str">
        <f t="shared" si="7"/>
        <v>'1a7001b'</v>
      </c>
      <c r="F336" s="9" t="s">
        <v>335</v>
      </c>
      <c r="G336" s="4">
        <v>2</v>
      </c>
      <c r="L336" s="44" t="s">
        <v>895</v>
      </c>
    </row>
    <row r="337" spans="1:12">
      <c r="A337">
        <v>24</v>
      </c>
      <c r="B337" s="9" t="s">
        <v>335</v>
      </c>
      <c r="C337" s="45">
        <v>40694.271736111114</v>
      </c>
      <c r="D337" s="9" t="s">
        <v>335</v>
      </c>
      <c r="E337" t="str">
        <f t="shared" si="7"/>
        <v>'a365727'</v>
      </c>
      <c r="F337" s="9" t="s">
        <v>335</v>
      </c>
      <c r="G337" s="4">
        <v>3</v>
      </c>
      <c r="L337" s="44" t="s">
        <v>1354</v>
      </c>
    </row>
    <row r="338" spans="1:12">
      <c r="A338">
        <v>24</v>
      </c>
      <c r="B338" s="9" t="s">
        <v>335</v>
      </c>
      <c r="C338" s="45">
        <v>40696.952337962961</v>
      </c>
      <c r="D338" s="9" t="s">
        <v>335</v>
      </c>
      <c r="E338" t="str">
        <f t="shared" si="7"/>
        <v>'3f13f6d'</v>
      </c>
      <c r="F338" s="9" t="s">
        <v>335</v>
      </c>
      <c r="G338" s="4">
        <v>4</v>
      </c>
      <c r="L338" s="44" t="s">
        <v>701</v>
      </c>
    </row>
    <row r="339" spans="1:12">
      <c r="A339">
        <v>24</v>
      </c>
      <c r="B339" s="9" t="s">
        <v>335</v>
      </c>
      <c r="C339" s="45">
        <v>40697.331620370373</v>
      </c>
      <c r="D339" s="9" t="s">
        <v>335</v>
      </c>
      <c r="E339" t="str">
        <f t="shared" si="7"/>
        <v>'005b75d'</v>
      </c>
      <c r="F339" s="9" t="s">
        <v>335</v>
      </c>
      <c r="G339" s="4">
        <v>5</v>
      </c>
      <c r="L339" s="44" t="s">
        <v>1013</v>
      </c>
    </row>
    <row r="340" spans="1:12">
      <c r="A340">
        <v>24</v>
      </c>
      <c r="B340" s="9" t="s">
        <v>335</v>
      </c>
      <c r="C340" s="45">
        <v>40715.608356481483</v>
      </c>
      <c r="D340" s="9" t="s">
        <v>335</v>
      </c>
      <c r="E340" t="str">
        <f t="shared" si="7"/>
        <v>'9323b34'</v>
      </c>
      <c r="F340" s="9" t="s">
        <v>335</v>
      </c>
      <c r="G340" s="4">
        <v>6</v>
      </c>
      <c r="L340" s="44" t="s">
        <v>541</v>
      </c>
    </row>
    <row r="341" spans="1:12">
      <c r="A341">
        <v>25</v>
      </c>
      <c r="B341" s="9" t="s">
        <v>335</v>
      </c>
      <c r="C341" s="45">
        <v>40692.461423611108</v>
      </c>
      <c r="D341" s="9" t="s">
        <v>335</v>
      </c>
      <c r="E341" t="str">
        <f t="shared" si="7"/>
        <v>'017e445'</v>
      </c>
      <c r="F341" s="9" t="s">
        <v>335</v>
      </c>
      <c r="G341" s="4">
        <v>1</v>
      </c>
      <c r="L341" s="44" t="s">
        <v>965</v>
      </c>
    </row>
    <row r="342" spans="1:12">
      <c r="A342">
        <v>25</v>
      </c>
      <c r="B342" s="9" t="s">
        <v>335</v>
      </c>
      <c r="C342" s="45">
        <v>40701.379791666666</v>
      </c>
      <c r="D342" s="9" t="s">
        <v>335</v>
      </c>
      <c r="E342" t="str">
        <f t="shared" si="7"/>
        <v>'79eb909'</v>
      </c>
      <c r="F342" s="9" t="s">
        <v>335</v>
      </c>
      <c r="G342" s="4">
        <v>2</v>
      </c>
      <c r="L342" s="44" t="s">
        <v>920</v>
      </c>
    </row>
    <row r="343" spans="1:12">
      <c r="A343">
        <v>25</v>
      </c>
      <c r="B343" s="9" t="s">
        <v>335</v>
      </c>
      <c r="C343" s="45">
        <v>40701.404490740744</v>
      </c>
      <c r="D343" s="9" t="s">
        <v>335</v>
      </c>
      <c r="E343" t="str">
        <f t="shared" si="7"/>
        <v>'dbe586c'</v>
      </c>
      <c r="F343" s="9" t="s">
        <v>335</v>
      </c>
      <c r="G343" s="4">
        <v>3</v>
      </c>
      <c r="L343" s="44" t="s">
        <v>424</v>
      </c>
    </row>
    <row r="344" spans="1:12">
      <c r="A344">
        <v>25</v>
      </c>
      <c r="B344" s="9" t="s">
        <v>335</v>
      </c>
      <c r="C344" s="45">
        <v>40702.422696759262</v>
      </c>
      <c r="D344" s="9" t="s">
        <v>335</v>
      </c>
      <c r="E344" t="str">
        <f t="shared" si="7"/>
        <v>'bb06bd1'</v>
      </c>
      <c r="F344" s="9" t="s">
        <v>335</v>
      </c>
      <c r="G344" s="4">
        <v>4</v>
      </c>
      <c r="L344" s="44" t="s">
        <v>1411</v>
      </c>
    </row>
    <row r="345" spans="1:12">
      <c r="A345">
        <v>26</v>
      </c>
      <c r="B345" s="9" t="s">
        <v>335</v>
      </c>
      <c r="C345" s="45">
        <v>40651.909675925926</v>
      </c>
      <c r="D345" s="9" t="s">
        <v>335</v>
      </c>
      <c r="E345" t="str">
        <f t="shared" si="7"/>
        <v>'ebcc791'</v>
      </c>
      <c r="F345" s="9" t="s">
        <v>335</v>
      </c>
      <c r="G345" s="4">
        <v>1</v>
      </c>
      <c r="L345" s="44" t="s">
        <v>596</v>
      </c>
    </row>
    <row r="346" spans="1:12">
      <c r="A346">
        <v>26</v>
      </c>
      <c r="B346" s="9" t="s">
        <v>335</v>
      </c>
      <c r="C346" s="45">
        <v>40661.941874999997</v>
      </c>
      <c r="D346" s="9" t="s">
        <v>335</v>
      </c>
      <c r="E346" t="str">
        <f t="shared" si="7"/>
        <v>'c465b6e'</v>
      </c>
      <c r="F346" s="9" t="s">
        <v>335</v>
      </c>
      <c r="G346" s="4">
        <v>2</v>
      </c>
      <c r="L346" s="44" t="s">
        <v>653</v>
      </c>
    </row>
    <row r="347" spans="1:12">
      <c r="A347">
        <v>26</v>
      </c>
      <c r="B347" s="9" t="s">
        <v>335</v>
      </c>
      <c r="C347" s="45">
        <v>40662.050324074073</v>
      </c>
      <c r="D347" s="9" t="s">
        <v>335</v>
      </c>
      <c r="E347" t="str">
        <f t="shared" si="7"/>
        <v>'92606d7'</v>
      </c>
      <c r="F347" s="9" t="s">
        <v>335</v>
      </c>
      <c r="G347" s="4">
        <v>3</v>
      </c>
      <c r="L347" s="44" t="s">
        <v>972</v>
      </c>
    </row>
    <row r="348" spans="1:12">
      <c r="A348">
        <v>26</v>
      </c>
      <c r="B348" s="9" t="s">
        <v>335</v>
      </c>
      <c r="C348" s="45">
        <v>40662.427361111113</v>
      </c>
      <c r="D348" s="9" t="s">
        <v>335</v>
      </c>
      <c r="E348" t="str">
        <f t="shared" si="7"/>
        <v>'c267d49'</v>
      </c>
      <c r="F348" s="9" t="s">
        <v>335</v>
      </c>
      <c r="G348" s="4">
        <v>4</v>
      </c>
      <c r="L348" s="44" t="s">
        <v>1150</v>
      </c>
    </row>
    <row r="349" spans="1:12">
      <c r="A349">
        <v>26</v>
      </c>
      <c r="B349" s="9" t="s">
        <v>335</v>
      </c>
      <c r="C349" s="45">
        <v>40666.330254629633</v>
      </c>
      <c r="D349" s="9" t="s">
        <v>335</v>
      </c>
      <c r="E349" t="str">
        <f t="shared" si="7"/>
        <v>'b2e09c5'</v>
      </c>
      <c r="F349" s="9" t="s">
        <v>335</v>
      </c>
      <c r="G349" s="4">
        <v>5</v>
      </c>
      <c r="L349" s="44" t="s">
        <v>1357</v>
      </c>
    </row>
    <row r="350" spans="1:12">
      <c r="A350">
        <v>26</v>
      </c>
      <c r="B350" s="9" t="s">
        <v>335</v>
      </c>
      <c r="C350" s="45">
        <v>40666.334224537037</v>
      </c>
      <c r="D350" s="9" t="s">
        <v>335</v>
      </c>
      <c r="E350" t="str">
        <f t="shared" si="7"/>
        <v>'69cdef2'</v>
      </c>
      <c r="F350" s="9" t="s">
        <v>335</v>
      </c>
      <c r="G350" s="4">
        <v>6</v>
      </c>
      <c r="L350" s="44" t="s">
        <v>1451</v>
      </c>
    </row>
    <row r="351" spans="1:12">
      <c r="A351">
        <v>26</v>
      </c>
      <c r="B351" s="9" t="s">
        <v>335</v>
      </c>
      <c r="C351" s="45">
        <v>40675.045011574075</v>
      </c>
      <c r="D351" s="9" t="s">
        <v>335</v>
      </c>
      <c r="E351" t="str">
        <f t="shared" si="7"/>
        <v>'68f4bd5'</v>
      </c>
      <c r="F351" s="9" t="s">
        <v>335</v>
      </c>
      <c r="G351" s="4">
        <v>7</v>
      </c>
      <c r="L351" s="44" t="s">
        <v>1173</v>
      </c>
    </row>
    <row r="352" spans="1:12">
      <c r="A352">
        <v>26</v>
      </c>
      <c r="B352" s="9" t="s">
        <v>335</v>
      </c>
      <c r="C352" s="45">
        <v>40687.451493055552</v>
      </c>
      <c r="D352" s="9" t="s">
        <v>335</v>
      </c>
      <c r="E352" t="str">
        <f t="shared" si="7"/>
        <v>'cd48b4e'</v>
      </c>
      <c r="F352" s="9" t="s">
        <v>335</v>
      </c>
      <c r="G352" s="4">
        <v>8</v>
      </c>
      <c r="L352" s="44" t="s">
        <v>1229</v>
      </c>
    </row>
    <row r="353" spans="1:12">
      <c r="A353">
        <v>26</v>
      </c>
      <c r="B353" s="9" t="s">
        <v>335</v>
      </c>
      <c r="C353" s="45">
        <v>40694.240520833337</v>
      </c>
      <c r="D353" s="9" t="s">
        <v>335</v>
      </c>
      <c r="E353" t="str">
        <f t="shared" si="7"/>
        <v>'6204016'</v>
      </c>
      <c r="F353" s="9" t="s">
        <v>335</v>
      </c>
      <c r="G353" s="4">
        <v>9</v>
      </c>
      <c r="L353" s="44">
        <v>6204016</v>
      </c>
    </row>
    <row r="354" spans="1:12">
      <c r="A354">
        <v>26</v>
      </c>
      <c r="B354" s="9" t="s">
        <v>335</v>
      </c>
      <c r="C354" s="45">
        <v>40694.632210648146</v>
      </c>
      <c r="D354" s="9" t="s">
        <v>335</v>
      </c>
      <c r="E354" t="str">
        <f t="shared" si="7"/>
        <v>'ed51d4d'</v>
      </c>
      <c r="F354" s="9" t="s">
        <v>335</v>
      </c>
      <c r="G354" s="4">
        <v>10</v>
      </c>
      <c r="L354" s="44" t="s">
        <v>1355</v>
      </c>
    </row>
    <row r="355" spans="1:12">
      <c r="A355">
        <v>26</v>
      </c>
      <c r="B355" s="9" t="s">
        <v>335</v>
      </c>
      <c r="C355" s="45">
        <v>40694.674085648148</v>
      </c>
      <c r="D355" s="9" t="s">
        <v>335</v>
      </c>
      <c r="E355" t="str">
        <f t="shared" si="7"/>
        <v>'b1926cf'</v>
      </c>
      <c r="F355" s="9" t="s">
        <v>335</v>
      </c>
      <c r="G355" s="4">
        <v>11</v>
      </c>
      <c r="L355" s="44" t="s">
        <v>384</v>
      </c>
    </row>
    <row r="356" spans="1:12">
      <c r="A356">
        <v>26</v>
      </c>
      <c r="B356" s="9" t="s">
        <v>335</v>
      </c>
      <c r="C356" s="45">
        <v>40700.010196759256</v>
      </c>
      <c r="D356" s="9" t="s">
        <v>335</v>
      </c>
      <c r="E356" t="str">
        <f t="shared" si="7"/>
        <v>'d9e6602'</v>
      </c>
      <c r="F356" s="9" t="s">
        <v>335</v>
      </c>
      <c r="G356" s="4">
        <v>12</v>
      </c>
      <c r="L356" s="44" t="s">
        <v>966</v>
      </c>
    </row>
    <row r="357" spans="1:12">
      <c r="A357">
        <v>26</v>
      </c>
      <c r="B357" s="9" t="s">
        <v>335</v>
      </c>
      <c r="C357" s="45">
        <v>40700.932523148149</v>
      </c>
      <c r="D357" s="9" t="s">
        <v>335</v>
      </c>
      <c r="E357" t="str">
        <f t="shared" si="7"/>
        <v>'5ea48db'</v>
      </c>
      <c r="F357" s="9" t="s">
        <v>335</v>
      </c>
      <c r="G357" s="4">
        <v>13</v>
      </c>
      <c r="L357" s="44" t="s">
        <v>395</v>
      </c>
    </row>
    <row r="358" spans="1:12">
      <c r="A358">
        <v>26</v>
      </c>
      <c r="B358" s="9" t="s">
        <v>335</v>
      </c>
      <c r="C358" s="45">
        <v>40702.462013888886</v>
      </c>
      <c r="D358" s="9" t="s">
        <v>335</v>
      </c>
      <c r="E358" t="str">
        <f t="shared" si="7"/>
        <v>'0aca5e5'</v>
      </c>
      <c r="F358" s="9" t="s">
        <v>335</v>
      </c>
      <c r="G358" s="4">
        <v>14</v>
      </c>
      <c r="L358" s="44" t="s">
        <v>1412</v>
      </c>
    </row>
    <row r="359" spans="1:12">
      <c r="A359">
        <v>26</v>
      </c>
      <c r="B359" s="9" t="s">
        <v>335</v>
      </c>
      <c r="C359" s="45">
        <v>40707.24287037037</v>
      </c>
      <c r="D359" s="9" t="s">
        <v>335</v>
      </c>
      <c r="E359" t="str">
        <f t="shared" si="7"/>
        <v>'8007d83'</v>
      </c>
      <c r="F359" s="9" t="s">
        <v>335</v>
      </c>
      <c r="G359" s="4">
        <v>15</v>
      </c>
      <c r="L359" s="44" t="s">
        <v>645</v>
      </c>
    </row>
    <row r="360" spans="1:12">
      <c r="A360">
        <v>26</v>
      </c>
      <c r="B360" s="9" t="s">
        <v>335</v>
      </c>
      <c r="C360" s="45">
        <v>40708.062604166669</v>
      </c>
      <c r="D360" s="9" t="s">
        <v>335</v>
      </c>
      <c r="E360" t="str">
        <f t="shared" si="7"/>
        <v>'3059872'</v>
      </c>
      <c r="F360" s="9" t="s">
        <v>335</v>
      </c>
      <c r="G360" s="4">
        <v>16</v>
      </c>
      <c r="L360" s="44">
        <v>3059872</v>
      </c>
    </row>
    <row r="361" spans="1:12">
      <c r="A361">
        <v>26</v>
      </c>
      <c r="B361" s="9" t="s">
        <v>335</v>
      </c>
      <c r="C361" s="45">
        <v>40708.528703703705</v>
      </c>
      <c r="D361" s="9" t="s">
        <v>335</v>
      </c>
      <c r="E361" t="str">
        <f t="shared" si="7"/>
        <v>'3ac5a04'</v>
      </c>
      <c r="F361" s="9" t="s">
        <v>335</v>
      </c>
      <c r="G361" s="4">
        <v>17</v>
      </c>
      <c r="L361" s="44" t="s">
        <v>1032</v>
      </c>
    </row>
    <row r="362" spans="1:12">
      <c r="A362">
        <v>26</v>
      </c>
      <c r="B362" s="9" t="s">
        <v>335</v>
      </c>
      <c r="C362" s="45">
        <v>40710.669398148151</v>
      </c>
      <c r="D362" s="9" t="s">
        <v>335</v>
      </c>
      <c r="E362" t="str">
        <f t="shared" si="7"/>
        <v>'bfddacf'</v>
      </c>
      <c r="F362" s="9" t="s">
        <v>335</v>
      </c>
      <c r="G362" s="4">
        <v>18</v>
      </c>
      <c r="L362" s="44" t="s">
        <v>1079</v>
      </c>
    </row>
    <row r="363" spans="1:12">
      <c r="A363">
        <v>26</v>
      </c>
      <c r="B363" s="9" t="s">
        <v>335</v>
      </c>
      <c r="C363" s="45">
        <v>40715.608993055554</v>
      </c>
      <c r="D363" s="9" t="s">
        <v>335</v>
      </c>
      <c r="E363" t="str">
        <f t="shared" si="7"/>
        <v>'816e080'</v>
      </c>
      <c r="F363" s="9" t="s">
        <v>335</v>
      </c>
      <c r="G363" s="4">
        <v>19</v>
      </c>
      <c r="L363" s="44" t="s">
        <v>1573</v>
      </c>
    </row>
    <row r="364" spans="1:12">
      <c r="A364">
        <v>26</v>
      </c>
      <c r="B364" s="9" t="s">
        <v>335</v>
      </c>
      <c r="C364" s="45">
        <v>40716.568391203706</v>
      </c>
      <c r="D364" s="9" t="s">
        <v>335</v>
      </c>
      <c r="E364" t="str">
        <f t="shared" si="7"/>
        <v>'2b8930c'</v>
      </c>
      <c r="F364" s="9" t="s">
        <v>335</v>
      </c>
      <c r="G364" s="4">
        <v>20</v>
      </c>
      <c r="L364" s="44" t="s">
        <v>939</v>
      </c>
    </row>
    <row r="365" spans="1:12">
      <c r="A365">
        <v>27</v>
      </c>
      <c r="B365" s="9" t="s">
        <v>335</v>
      </c>
      <c r="C365" s="45">
        <v>40687.690706018519</v>
      </c>
      <c r="D365" s="9" t="s">
        <v>335</v>
      </c>
      <c r="E365" t="str">
        <f t="shared" si="7"/>
        <v>'e7dc6f1'</v>
      </c>
      <c r="F365" s="9" t="s">
        <v>335</v>
      </c>
      <c r="G365" s="4">
        <v>1</v>
      </c>
      <c r="L365" s="44" t="s">
        <v>1270</v>
      </c>
    </row>
    <row r="366" spans="1:12">
      <c r="A366">
        <v>27</v>
      </c>
      <c r="B366" s="9" t="s">
        <v>335</v>
      </c>
      <c r="C366" s="45">
        <v>40723.671377314815</v>
      </c>
      <c r="D366" s="9" t="s">
        <v>335</v>
      </c>
      <c r="E366" t="str">
        <f t="shared" si="7"/>
        <v>'d546378'</v>
      </c>
      <c r="F366" s="9" t="s">
        <v>335</v>
      </c>
      <c r="G366" s="4">
        <v>2</v>
      </c>
      <c r="L366" s="44" t="s">
        <v>999</v>
      </c>
    </row>
    <row r="367" spans="1:12">
      <c r="A367">
        <v>28</v>
      </c>
      <c r="B367" s="9" t="s">
        <v>335</v>
      </c>
      <c r="C367" s="45">
        <v>40651.94122685185</v>
      </c>
      <c r="D367" s="9" t="s">
        <v>335</v>
      </c>
      <c r="E367" t="str">
        <f t="shared" si="7"/>
        <v>'d1f862d'</v>
      </c>
      <c r="F367" s="9" t="s">
        <v>335</v>
      </c>
      <c r="G367" s="4">
        <v>1</v>
      </c>
      <c r="L367" s="44" t="s">
        <v>1129</v>
      </c>
    </row>
    <row r="368" spans="1:12">
      <c r="A368">
        <v>29</v>
      </c>
      <c r="B368" s="9" t="s">
        <v>335</v>
      </c>
      <c r="C368" s="45">
        <v>40658.968773148146</v>
      </c>
      <c r="D368" s="9" t="s">
        <v>335</v>
      </c>
      <c r="E368" t="str">
        <f t="shared" si="7"/>
        <v>'95b9ff4'</v>
      </c>
      <c r="F368" s="9" t="s">
        <v>335</v>
      </c>
      <c r="G368" s="4">
        <v>1</v>
      </c>
      <c r="L368" s="44" t="s">
        <v>1473</v>
      </c>
    </row>
    <row r="369" spans="1:12">
      <c r="A369">
        <v>29</v>
      </c>
      <c r="B369" s="9" t="s">
        <v>335</v>
      </c>
      <c r="C369" s="45">
        <v>40659.015879629631</v>
      </c>
      <c r="D369" s="9" t="s">
        <v>335</v>
      </c>
      <c r="E369" t="str">
        <f t="shared" si="7"/>
        <v>'8b09a58'</v>
      </c>
      <c r="F369" s="9" t="s">
        <v>335</v>
      </c>
      <c r="G369" s="4">
        <v>2</v>
      </c>
      <c r="L369" s="44" t="s">
        <v>673</v>
      </c>
    </row>
    <row r="370" spans="1:12">
      <c r="A370">
        <v>29</v>
      </c>
      <c r="B370" s="9" t="s">
        <v>335</v>
      </c>
      <c r="C370" s="45">
        <v>40713.964016203703</v>
      </c>
      <c r="D370" s="9" t="s">
        <v>335</v>
      </c>
      <c r="E370" t="str">
        <f t="shared" si="7"/>
        <v>'63dbe8a'</v>
      </c>
      <c r="F370" s="9" t="s">
        <v>335</v>
      </c>
      <c r="G370" s="4">
        <v>3</v>
      </c>
      <c r="L370" s="44" t="s">
        <v>1316</v>
      </c>
    </row>
    <row r="371" spans="1:12">
      <c r="A371">
        <v>30</v>
      </c>
      <c r="B371" s="9" t="s">
        <v>335</v>
      </c>
      <c r="C371" s="45">
        <v>40661.752569444441</v>
      </c>
      <c r="D371" s="9" t="s">
        <v>335</v>
      </c>
      <c r="E371" t="str">
        <f t="shared" si="7"/>
        <v>'539ea13'</v>
      </c>
      <c r="F371" s="9" t="s">
        <v>335</v>
      </c>
      <c r="G371" s="4">
        <v>1</v>
      </c>
      <c r="L371" s="44" t="s">
        <v>1055</v>
      </c>
    </row>
    <row r="372" spans="1:12">
      <c r="A372">
        <v>30</v>
      </c>
      <c r="B372" s="9" t="s">
        <v>335</v>
      </c>
      <c r="C372" s="45">
        <v>40661.754907407405</v>
      </c>
      <c r="D372" s="9" t="s">
        <v>335</v>
      </c>
      <c r="E372" t="str">
        <f t="shared" si="7"/>
        <v>'d0eef1f'</v>
      </c>
      <c r="F372" s="9" t="s">
        <v>335</v>
      </c>
      <c r="G372" s="4">
        <v>2</v>
      </c>
      <c r="L372" s="44" t="s">
        <v>975</v>
      </c>
    </row>
    <row r="373" spans="1:12">
      <c r="A373">
        <v>31</v>
      </c>
      <c r="B373" s="9" t="s">
        <v>335</v>
      </c>
      <c r="C373" s="45">
        <v>40635.272743055553</v>
      </c>
      <c r="D373" s="9" t="s">
        <v>335</v>
      </c>
      <c r="E373" t="str">
        <f t="shared" si="7"/>
        <v>'995f402'</v>
      </c>
      <c r="F373" s="9" t="s">
        <v>335</v>
      </c>
      <c r="G373" s="4">
        <v>1</v>
      </c>
      <c r="L373" s="44" t="s">
        <v>1109</v>
      </c>
    </row>
    <row r="374" spans="1:12">
      <c r="A374">
        <v>31</v>
      </c>
      <c r="B374" s="9" t="s">
        <v>335</v>
      </c>
      <c r="C374" s="45">
        <v>40635.34306712963</v>
      </c>
      <c r="D374" s="9" t="s">
        <v>335</v>
      </c>
      <c r="E374" t="str">
        <f t="shared" si="7"/>
        <v>'2b7ebb5'</v>
      </c>
      <c r="F374" s="9" t="s">
        <v>335</v>
      </c>
      <c r="G374" s="4">
        <v>2</v>
      </c>
      <c r="L374" s="44" t="s">
        <v>434</v>
      </c>
    </row>
    <row r="375" spans="1:12">
      <c r="A375">
        <v>31</v>
      </c>
      <c r="B375" s="9" t="s">
        <v>335</v>
      </c>
      <c r="C375" s="45">
        <v>40636.227476851855</v>
      </c>
      <c r="D375" s="9" t="s">
        <v>335</v>
      </c>
      <c r="E375" t="str">
        <f t="shared" si="7"/>
        <v>'177a932'</v>
      </c>
      <c r="F375" s="9" t="s">
        <v>335</v>
      </c>
      <c r="G375" s="4">
        <v>3</v>
      </c>
      <c r="L375" s="44" t="s">
        <v>1001</v>
      </c>
    </row>
    <row r="376" spans="1:12">
      <c r="A376">
        <v>31</v>
      </c>
      <c r="B376" s="9" t="s">
        <v>335</v>
      </c>
      <c r="C376" s="45">
        <v>40648.916319444441</v>
      </c>
      <c r="D376" s="9" t="s">
        <v>335</v>
      </c>
      <c r="E376" t="str">
        <f t="shared" si="7"/>
        <v>'b8152f4'</v>
      </c>
      <c r="F376" s="9" t="s">
        <v>335</v>
      </c>
      <c r="G376" s="4">
        <v>4</v>
      </c>
      <c r="L376" s="44" t="s">
        <v>1133</v>
      </c>
    </row>
    <row r="377" spans="1:12">
      <c r="A377">
        <v>31</v>
      </c>
      <c r="B377" s="9" t="s">
        <v>335</v>
      </c>
      <c r="C377" s="45">
        <v>40653.323194444441</v>
      </c>
      <c r="D377" s="9" t="s">
        <v>335</v>
      </c>
      <c r="E377" t="str">
        <f t="shared" si="7"/>
        <v>'071c51a'</v>
      </c>
      <c r="F377" s="9" t="s">
        <v>335</v>
      </c>
      <c r="G377" s="4">
        <v>5</v>
      </c>
      <c r="L377" s="44" t="s">
        <v>807</v>
      </c>
    </row>
    <row r="378" spans="1:12">
      <c r="A378">
        <v>31</v>
      </c>
      <c r="B378" s="9" t="s">
        <v>335</v>
      </c>
      <c r="C378" s="45">
        <v>40656.97011574074</v>
      </c>
      <c r="D378" s="9" t="s">
        <v>335</v>
      </c>
      <c r="E378" t="str">
        <f t="shared" si="7"/>
        <v>'7540d09'</v>
      </c>
      <c r="F378" s="9" t="s">
        <v>335</v>
      </c>
      <c r="G378" s="4">
        <v>6</v>
      </c>
      <c r="L378" s="44" t="s">
        <v>854</v>
      </c>
    </row>
    <row r="379" spans="1:12">
      <c r="A379">
        <v>31</v>
      </c>
      <c r="B379" s="9" t="s">
        <v>335</v>
      </c>
      <c r="C379" s="45">
        <v>40668.248437499999</v>
      </c>
      <c r="D379" s="9" t="s">
        <v>335</v>
      </c>
      <c r="E379" t="str">
        <f t="shared" si="7"/>
        <v>'9fc9401'</v>
      </c>
      <c r="F379" s="9" t="s">
        <v>335</v>
      </c>
      <c r="G379" s="4">
        <v>7</v>
      </c>
      <c r="L379" s="44" t="s">
        <v>1382</v>
      </c>
    </row>
    <row r="380" spans="1:12">
      <c r="A380">
        <v>31</v>
      </c>
      <c r="B380" s="9" t="s">
        <v>335</v>
      </c>
      <c r="C380" s="45">
        <v>40668.809988425928</v>
      </c>
      <c r="D380" s="9" t="s">
        <v>335</v>
      </c>
      <c r="E380" t="str">
        <f t="shared" si="7"/>
        <v>'505a0bb'</v>
      </c>
      <c r="F380" s="9" t="s">
        <v>335</v>
      </c>
      <c r="G380" s="4">
        <v>8</v>
      </c>
      <c r="L380" s="44" t="s">
        <v>780</v>
      </c>
    </row>
    <row r="381" spans="1:12">
      <c r="A381">
        <v>31</v>
      </c>
      <c r="B381" s="9" t="s">
        <v>335</v>
      </c>
      <c r="C381" s="45">
        <v>40670.363796296297</v>
      </c>
      <c r="D381" s="9" t="s">
        <v>335</v>
      </c>
      <c r="E381" t="str">
        <f t="shared" si="7"/>
        <v>'7501670'</v>
      </c>
      <c r="F381" s="9" t="s">
        <v>335</v>
      </c>
      <c r="G381" s="4">
        <v>9</v>
      </c>
      <c r="L381" s="44">
        <v>7501670</v>
      </c>
    </row>
    <row r="382" spans="1:12">
      <c r="A382">
        <v>31</v>
      </c>
      <c r="B382" s="9" t="s">
        <v>335</v>
      </c>
      <c r="C382" s="45">
        <v>40694.225011574075</v>
      </c>
      <c r="D382" s="9" t="s">
        <v>335</v>
      </c>
      <c r="E382" t="str">
        <f t="shared" si="7"/>
        <v>'5aa7229'</v>
      </c>
      <c r="F382" s="9" t="s">
        <v>335</v>
      </c>
      <c r="G382" s="4">
        <v>10</v>
      </c>
      <c r="L382" s="44" t="s">
        <v>1232</v>
      </c>
    </row>
    <row r="383" spans="1:12">
      <c r="A383">
        <v>31</v>
      </c>
      <c r="B383" s="9" t="s">
        <v>335</v>
      </c>
      <c r="C383" s="45">
        <v>40693.818842592591</v>
      </c>
      <c r="D383" s="9" t="s">
        <v>335</v>
      </c>
      <c r="E383" t="str">
        <f t="shared" si="7"/>
        <v>'a0fb3a8'</v>
      </c>
      <c r="F383" s="9" t="s">
        <v>335</v>
      </c>
      <c r="G383" s="4">
        <v>11</v>
      </c>
      <c r="L383" s="44" t="s">
        <v>1037</v>
      </c>
    </row>
    <row r="384" spans="1:12">
      <c r="A384">
        <v>31</v>
      </c>
      <c r="B384" s="9" t="s">
        <v>335</v>
      </c>
      <c r="C384" s="45">
        <v>40698.13212962963</v>
      </c>
      <c r="D384" s="9" t="s">
        <v>335</v>
      </c>
      <c r="E384" t="str">
        <f t="shared" si="7"/>
        <v>'d24afe9'</v>
      </c>
      <c r="F384" s="9" t="s">
        <v>335</v>
      </c>
      <c r="G384" s="4">
        <v>12</v>
      </c>
      <c r="L384" s="44" t="s">
        <v>1087</v>
      </c>
    </row>
    <row r="385" spans="1:12">
      <c r="A385">
        <v>31</v>
      </c>
      <c r="B385" s="9" t="s">
        <v>335</v>
      </c>
      <c r="C385" s="45">
        <v>40715.065335648149</v>
      </c>
      <c r="D385" s="9" t="s">
        <v>335</v>
      </c>
      <c r="E385" t="str">
        <f t="shared" si="7"/>
        <v>'855f0db'</v>
      </c>
      <c r="F385" s="9" t="s">
        <v>335</v>
      </c>
      <c r="G385" s="4">
        <v>13</v>
      </c>
      <c r="L385" s="44" t="s">
        <v>382</v>
      </c>
    </row>
    <row r="386" spans="1:12">
      <c r="A386">
        <v>32</v>
      </c>
      <c r="B386" s="9" t="s">
        <v>335</v>
      </c>
      <c r="C386" s="45">
        <v>40676.419328703705</v>
      </c>
      <c r="D386" s="9" t="s">
        <v>335</v>
      </c>
      <c r="E386" t="str">
        <f t="shared" si="7"/>
        <v>'9610fe5'</v>
      </c>
      <c r="F386" s="9" t="s">
        <v>335</v>
      </c>
      <c r="G386" s="4">
        <v>1</v>
      </c>
      <c r="L386" s="44" t="s">
        <v>1469</v>
      </c>
    </row>
    <row r="387" spans="1:12">
      <c r="A387">
        <v>32</v>
      </c>
      <c r="B387" s="9" t="s">
        <v>335</v>
      </c>
      <c r="C387" s="45">
        <v>40704.275393518517</v>
      </c>
      <c r="D387" s="9" t="s">
        <v>335</v>
      </c>
      <c r="E387" t="str">
        <f t="shared" si="7"/>
        <v>'8a2fc3b'</v>
      </c>
      <c r="F387" s="9" t="s">
        <v>335</v>
      </c>
      <c r="G387" s="4">
        <v>2</v>
      </c>
      <c r="L387" s="44" t="s">
        <v>1031</v>
      </c>
    </row>
    <row r="388" spans="1:12">
      <c r="A388">
        <v>33</v>
      </c>
      <c r="B388" s="9" t="s">
        <v>335</v>
      </c>
      <c r="C388" s="45">
        <v>40668.411736111113</v>
      </c>
      <c r="D388" s="9" t="s">
        <v>335</v>
      </c>
      <c r="E388" t="str">
        <f t="shared" si="7"/>
        <v>'f9ee867'</v>
      </c>
      <c r="F388" s="9" t="s">
        <v>335</v>
      </c>
      <c r="G388" s="4">
        <v>1</v>
      </c>
      <c r="L388" s="44" t="s">
        <v>1367</v>
      </c>
    </row>
    <row r="389" spans="1:12">
      <c r="A389">
        <v>33</v>
      </c>
      <c r="B389" s="9" t="s">
        <v>335</v>
      </c>
      <c r="C389" s="45">
        <v>40701.719953703701</v>
      </c>
      <c r="D389" s="9" t="s">
        <v>335</v>
      </c>
      <c r="E389" t="str">
        <f t="shared" si="7"/>
        <v>'4f569c8'</v>
      </c>
      <c r="F389" s="9" t="s">
        <v>335</v>
      </c>
      <c r="G389" s="4">
        <v>2</v>
      </c>
      <c r="L389" s="44" t="s">
        <v>549</v>
      </c>
    </row>
    <row r="390" spans="1:12">
      <c r="A390">
        <v>33</v>
      </c>
      <c r="B390" s="9" t="s">
        <v>335</v>
      </c>
      <c r="C390" s="45">
        <v>40701.719953703701</v>
      </c>
      <c r="D390" s="9" t="s">
        <v>335</v>
      </c>
      <c r="E390" t="str">
        <f t="shared" si="7"/>
        <v>'e78248c'</v>
      </c>
      <c r="F390" s="9" t="s">
        <v>335</v>
      </c>
      <c r="G390" s="4">
        <v>3</v>
      </c>
      <c r="L390" s="44" t="s">
        <v>1271</v>
      </c>
    </row>
    <row r="391" spans="1:12">
      <c r="A391">
        <v>34</v>
      </c>
      <c r="B391" s="9" t="s">
        <v>335</v>
      </c>
      <c r="C391" s="45">
        <v>40669.832905092589</v>
      </c>
      <c r="D391" s="9" t="s">
        <v>335</v>
      </c>
      <c r="E391" t="str">
        <f t="shared" si="7"/>
        <v>'119aea8'</v>
      </c>
      <c r="F391" s="9" t="s">
        <v>335</v>
      </c>
      <c r="G391" s="4">
        <v>1</v>
      </c>
      <c r="L391" s="44" t="s">
        <v>902</v>
      </c>
    </row>
    <row r="392" spans="1:12">
      <c r="A392">
        <v>34</v>
      </c>
      <c r="B392" s="9" t="s">
        <v>335</v>
      </c>
      <c r="C392" s="45">
        <v>40672.698553240742</v>
      </c>
      <c r="D392" s="9" t="s">
        <v>335</v>
      </c>
      <c r="E392" t="str">
        <f t="shared" si="7"/>
        <v>'393e397'</v>
      </c>
      <c r="F392" s="9" t="s">
        <v>335</v>
      </c>
      <c r="G392" s="4">
        <v>2</v>
      </c>
      <c r="L392" s="44" t="s">
        <v>1418</v>
      </c>
    </row>
    <row r="393" spans="1:12">
      <c r="A393">
        <v>34</v>
      </c>
      <c r="B393" s="9" t="s">
        <v>335</v>
      </c>
      <c r="C393" s="45">
        <v>40673.486018518517</v>
      </c>
      <c r="D393" s="9" t="s">
        <v>335</v>
      </c>
      <c r="E393" t="str">
        <f t="shared" si="7"/>
        <v>'9578bf7'</v>
      </c>
      <c r="F393" s="9" t="s">
        <v>335</v>
      </c>
      <c r="G393" s="4">
        <v>3</v>
      </c>
      <c r="L393" s="44" t="s">
        <v>437</v>
      </c>
    </row>
    <row r="394" spans="1:12">
      <c r="A394">
        <v>34</v>
      </c>
      <c r="B394" s="9" t="s">
        <v>335</v>
      </c>
      <c r="C394" s="45">
        <v>40681.545416666668</v>
      </c>
      <c r="D394" s="9" t="s">
        <v>335</v>
      </c>
      <c r="E394" t="str">
        <f t="shared" si="7"/>
        <v>'008bb9d'</v>
      </c>
      <c r="F394" s="9" t="s">
        <v>335</v>
      </c>
      <c r="G394" s="4">
        <v>4</v>
      </c>
      <c r="L394" s="44" t="s">
        <v>1277</v>
      </c>
    </row>
    <row r="395" spans="1:12">
      <c r="A395">
        <v>34</v>
      </c>
      <c r="B395" s="9" t="s">
        <v>335</v>
      </c>
      <c r="C395" s="45">
        <v>40682.430451388886</v>
      </c>
      <c r="D395" s="9" t="s">
        <v>335</v>
      </c>
      <c r="E395" t="str">
        <f t="shared" ref="E395:E406" si="8">CONCATENATE("'",L395,"'")</f>
        <v>'208c7b6'</v>
      </c>
      <c r="F395" s="9" t="s">
        <v>335</v>
      </c>
      <c r="G395" s="4">
        <v>5</v>
      </c>
      <c r="L395" s="44" t="s">
        <v>1084</v>
      </c>
    </row>
    <row r="396" spans="1:12">
      <c r="A396">
        <v>35</v>
      </c>
      <c r="B396" s="9" t="s">
        <v>335</v>
      </c>
      <c r="C396" s="45">
        <v>40665.70380787037</v>
      </c>
      <c r="D396" s="9" t="s">
        <v>335</v>
      </c>
      <c r="E396" t="str">
        <f t="shared" si="8"/>
        <v>'2ec192b'</v>
      </c>
      <c r="F396" s="9" t="s">
        <v>335</v>
      </c>
      <c r="G396" s="4">
        <v>1</v>
      </c>
      <c r="L396" s="44" t="s">
        <v>561</v>
      </c>
    </row>
    <row r="397" spans="1:12">
      <c r="A397">
        <v>35</v>
      </c>
      <c r="B397" s="9" t="s">
        <v>335</v>
      </c>
      <c r="C397" s="45">
        <v>40666.702002314814</v>
      </c>
      <c r="D397" s="9" t="s">
        <v>335</v>
      </c>
      <c r="E397" t="str">
        <f t="shared" si="8"/>
        <v>'70a2a69'</v>
      </c>
      <c r="F397" s="9" t="s">
        <v>335</v>
      </c>
      <c r="G397" s="4">
        <v>2</v>
      </c>
      <c r="L397" s="44" t="s">
        <v>953</v>
      </c>
    </row>
    <row r="398" spans="1:12">
      <c r="A398">
        <v>35</v>
      </c>
      <c r="B398" s="9" t="s">
        <v>335</v>
      </c>
      <c r="C398" s="45">
        <v>40666.706134259257</v>
      </c>
      <c r="D398" s="9" t="s">
        <v>335</v>
      </c>
      <c r="E398" t="str">
        <f t="shared" si="8"/>
        <v>'c217ff1'</v>
      </c>
      <c r="F398" s="9" t="s">
        <v>335</v>
      </c>
      <c r="G398" s="4">
        <v>3</v>
      </c>
      <c r="L398" s="44" t="s">
        <v>1358</v>
      </c>
    </row>
    <row r="399" spans="1:12">
      <c r="A399">
        <v>35</v>
      </c>
      <c r="B399" s="9" t="s">
        <v>335</v>
      </c>
      <c r="C399" s="45">
        <v>40666.717800925922</v>
      </c>
      <c r="D399" s="9" t="s">
        <v>335</v>
      </c>
      <c r="E399" t="str">
        <f t="shared" si="8"/>
        <v>'e57f40d'</v>
      </c>
      <c r="F399" s="9" t="s">
        <v>335</v>
      </c>
      <c r="G399" s="4">
        <v>4</v>
      </c>
      <c r="L399" s="44" t="s">
        <v>1452</v>
      </c>
    </row>
    <row r="400" spans="1:12">
      <c r="A400">
        <v>35</v>
      </c>
      <c r="B400" s="9" t="s">
        <v>335</v>
      </c>
      <c r="C400" s="45">
        <v>40668.705127314817</v>
      </c>
      <c r="D400" s="9" t="s">
        <v>335</v>
      </c>
      <c r="E400" t="str">
        <f t="shared" si="8"/>
        <v>'86d077d'</v>
      </c>
      <c r="F400" s="9" t="s">
        <v>335</v>
      </c>
      <c r="G400" s="4">
        <v>5</v>
      </c>
      <c r="L400" s="44" t="s">
        <v>779</v>
      </c>
    </row>
    <row r="401" spans="1:12">
      <c r="A401">
        <v>36</v>
      </c>
      <c r="B401" s="9" t="s">
        <v>335</v>
      </c>
      <c r="C401" s="45">
        <v>40651.55940972222</v>
      </c>
      <c r="D401" s="9" t="s">
        <v>335</v>
      </c>
      <c r="E401" t="str">
        <f t="shared" si="8"/>
        <v>'2d629d6'</v>
      </c>
      <c r="F401" s="9" t="s">
        <v>335</v>
      </c>
      <c r="G401" s="4">
        <v>1</v>
      </c>
      <c r="L401" s="44" t="s">
        <v>1024</v>
      </c>
    </row>
    <row r="402" spans="1:12">
      <c r="A402">
        <v>37</v>
      </c>
      <c r="B402" s="9" t="s">
        <v>335</v>
      </c>
      <c r="C402" s="45">
        <v>40655.811886574076</v>
      </c>
      <c r="D402" s="9" t="s">
        <v>335</v>
      </c>
      <c r="E402" t="str">
        <f t="shared" si="8"/>
        <v>'7c5da9b'</v>
      </c>
      <c r="F402" s="9" t="s">
        <v>335</v>
      </c>
      <c r="G402" s="4">
        <v>1</v>
      </c>
      <c r="L402" s="44" t="s">
        <v>1106</v>
      </c>
    </row>
    <row r="403" spans="1:12">
      <c r="A403">
        <v>37</v>
      </c>
      <c r="B403" s="9" t="s">
        <v>335</v>
      </c>
      <c r="C403" s="45">
        <v>40693.478541666664</v>
      </c>
      <c r="D403" s="9" t="s">
        <v>335</v>
      </c>
      <c r="E403" t="str">
        <f t="shared" si="8"/>
        <v>'a2c2088'</v>
      </c>
      <c r="F403" s="9" t="s">
        <v>335</v>
      </c>
      <c r="G403" s="4">
        <v>2</v>
      </c>
      <c r="L403" s="44" t="s">
        <v>894</v>
      </c>
    </row>
    <row r="404" spans="1:12">
      <c r="A404">
        <v>37</v>
      </c>
      <c r="B404" s="9" t="s">
        <v>335</v>
      </c>
      <c r="C404" s="45">
        <v>40704.956805555557</v>
      </c>
      <c r="D404" s="9" t="s">
        <v>335</v>
      </c>
      <c r="E404" t="str">
        <f t="shared" si="8"/>
        <v>'a2d8257'</v>
      </c>
      <c r="F404" s="9" t="s">
        <v>335</v>
      </c>
      <c r="G404" s="4">
        <v>3</v>
      </c>
      <c r="L404" s="44" t="s">
        <v>1304</v>
      </c>
    </row>
    <row r="405" spans="1:12">
      <c r="A405">
        <v>38</v>
      </c>
      <c r="B405" s="9" t="s">
        <v>335</v>
      </c>
      <c r="C405" s="45">
        <v>40711.008900462963</v>
      </c>
      <c r="D405" s="9" t="s">
        <v>335</v>
      </c>
      <c r="E405" t="str">
        <f t="shared" si="8"/>
        <v>'c1c487b'</v>
      </c>
      <c r="F405" s="9" t="s">
        <v>335</v>
      </c>
      <c r="G405" s="4">
        <v>1</v>
      </c>
      <c r="L405" s="44" t="s">
        <v>1080</v>
      </c>
    </row>
    <row r="406" spans="1:12">
      <c r="A406">
        <v>38</v>
      </c>
      <c r="B406" s="9" t="s">
        <v>335</v>
      </c>
      <c r="C406" s="45">
        <v>40713.057766203703</v>
      </c>
      <c r="D406" s="9" t="s">
        <v>335</v>
      </c>
      <c r="E406" t="str">
        <f t="shared" si="8"/>
        <v>'547c8d6'</v>
      </c>
      <c r="F406" s="9" t="s">
        <v>335</v>
      </c>
      <c r="G406" s="4">
        <v>2</v>
      </c>
      <c r="L406" s="44" t="s">
        <v>813</v>
      </c>
    </row>
    <row r="407" spans="1:12">
      <c r="B407" s="9" t="s">
        <v>335</v>
      </c>
      <c r="D407" s="9" t="s">
        <v>335</v>
      </c>
      <c r="E407" t="str">
        <f t="shared" ref="E407:E470" si="9">CONCATENATE("'",L407,"'")</f>
        <v>''</v>
      </c>
      <c r="F407" s="9" t="s">
        <v>335</v>
      </c>
    </row>
    <row r="408" spans="1:12">
      <c r="A408">
        <v>1</v>
      </c>
      <c r="B408" s="9" t="s">
        <v>335</v>
      </c>
      <c r="C408" s="50">
        <v>40960.810416666667</v>
      </c>
      <c r="D408" s="9" t="s">
        <v>335</v>
      </c>
      <c r="E408" t="str">
        <f t="shared" si="9"/>
        <v>'73c3c20'</v>
      </c>
      <c r="F408" s="9" t="s">
        <v>335</v>
      </c>
      <c r="G408" s="4">
        <v>1</v>
      </c>
      <c r="H408" t="s">
        <v>1957</v>
      </c>
      <c r="L408" s="58" t="s">
        <v>1007</v>
      </c>
    </row>
    <row r="409" spans="1:12">
      <c r="A409">
        <v>1</v>
      </c>
      <c r="B409" s="9" t="s">
        <v>335</v>
      </c>
      <c r="C409" s="50">
        <v>41015.504166666666</v>
      </c>
      <c r="D409" s="9" t="s">
        <v>335</v>
      </c>
      <c r="E409" t="str">
        <f t="shared" si="9"/>
        <v>'95c8707'</v>
      </c>
      <c r="F409" s="9" t="s">
        <v>335</v>
      </c>
      <c r="G409" s="4">
        <v>2</v>
      </c>
      <c r="L409" s="58" t="s">
        <v>221</v>
      </c>
    </row>
    <row r="410" spans="1:12">
      <c r="A410">
        <v>2</v>
      </c>
      <c r="B410" s="9" t="s">
        <v>335</v>
      </c>
      <c r="C410" s="50">
        <v>41011.948611111111</v>
      </c>
      <c r="D410" s="9" t="s">
        <v>335</v>
      </c>
      <c r="E410" t="str">
        <f t="shared" si="9"/>
        <v>'9721b05'</v>
      </c>
      <c r="F410" s="9" t="s">
        <v>335</v>
      </c>
      <c r="G410" s="4">
        <v>1</v>
      </c>
      <c r="L410" s="58" t="s">
        <v>199</v>
      </c>
    </row>
    <row r="411" spans="1:12">
      <c r="A411">
        <v>3</v>
      </c>
      <c r="B411" s="9" t="s">
        <v>335</v>
      </c>
      <c r="C411" s="50">
        <v>40994.512499999997</v>
      </c>
      <c r="D411" s="9" t="s">
        <v>335</v>
      </c>
      <c r="E411" t="str">
        <f t="shared" si="9"/>
        <v>'7ae303f'</v>
      </c>
      <c r="F411" s="9" t="s">
        <v>335</v>
      </c>
      <c r="G411" s="4">
        <v>1</v>
      </c>
      <c r="L411" s="58" t="s">
        <v>273</v>
      </c>
    </row>
    <row r="412" spans="1:12">
      <c r="A412">
        <v>4</v>
      </c>
      <c r="B412" s="9" t="s">
        <v>335</v>
      </c>
      <c r="C412" s="50">
        <v>40969.949999999997</v>
      </c>
      <c r="D412" s="9" t="s">
        <v>335</v>
      </c>
      <c r="E412" t="str">
        <f t="shared" si="9"/>
        <v>'8b6089b'</v>
      </c>
      <c r="F412" s="9" t="s">
        <v>335</v>
      </c>
      <c r="G412" s="4">
        <v>1</v>
      </c>
      <c r="L412" s="58" t="s">
        <v>61</v>
      </c>
    </row>
    <row r="413" spans="1:12">
      <c r="A413">
        <v>4</v>
      </c>
      <c r="B413" s="9" t="s">
        <v>335</v>
      </c>
      <c r="C413" s="50">
        <v>40970.705555555556</v>
      </c>
      <c r="D413" s="9" t="s">
        <v>335</v>
      </c>
      <c r="E413" t="str">
        <f t="shared" si="9"/>
        <v>'e2db7a5'</v>
      </c>
      <c r="F413" s="9" t="s">
        <v>335</v>
      </c>
      <c r="G413" s="4">
        <v>2</v>
      </c>
      <c r="L413" s="58" t="s">
        <v>216</v>
      </c>
    </row>
    <row r="414" spans="1:12">
      <c r="A414">
        <v>4</v>
      </c>
      <c r="B414" s="9" t="s">
        <v>335</v>
      </c>
      <c r="C414" s="50">
        <v>40970.722916666666</v>
      </c>
      <c r="D414" s="9" t="s">
        <v>335</v>
      </c>
      <c r="E414" t="str">
        <f t="shared" si="9"/>
        <v>'2610d0e'</v>
      </c>
      <c r="F414" s="9" t="s">
        <v>335</v>
      </c>
      <c r="G414" s="4">
        <v>3</v>
      </c>
      <c r="L414" s="58" t="s">
        <v>166</v>
      </c>
    </row>
    <row r="415" spans="1:12">
      <c r="A415">
        <v>4</v>
      </c>
      <c r="B415" s="9" t="s">
        <v>335</v>
      </c>
      <c r="C415" s="50">
        <v>40995.716666666667</v>
      </c>
      <c r="D415" s="9" t="s">
        <v>335</v>
      </c>
      <c r="E415" t="str">
        <f t="shared" si="9"/>
        <v>'2453985'</v>
      </c>
      <c r="F415" s="9" t="s">
        <v>335</v>
      </c>
      <c r="G415" s="4">
        <v>4</v>
      </c>
      <c r="L415" s="58" t="s">
        <v>1943</v>
      </c>
    </row>
    <row r="416" spans="1:12">
      <c r="A416">
        <v>5</v>
      </c>
      <c r="B416" s="9" t="s">
        <v>335</v>
      </c>
      <c r="C416" s="50">
        <v>40982.525000000001</v>
      </c>
      <c r="D416" s="9" t="s">
        <v>335</v>
      </c>
      <c r="E416" t="str">
        <f t="shared" si="9"/>
        <v>'0aba1bc'</v>
      </c>
      <c r="F416" s="9" t="s">
        <v>335</v>
      </c>
      <c r="G416" s="4">
        <v>1</v>
      </c>
      <c r="L416" s="58" t="s">
        <v>193</v>
      </c>
    </row>
    <row r="417" spans="1:12">
      <c r="A417">
        <v>5</v>
      </c>
      <c r="B417" s="9" t="s">
        <v>335</v>
      </c>
      <c r="C417" s="50">
        <v>40997.409722222219</v>
      </c>
      <c r="D417" s="9" t="s">
        <v>335</v>
      </c>
      <c r="E417" t="str">
        <f t="shared" si="9"/>
        <v>'e4abef2'</v>
      </c>
      <c r="F417" s="9" t="s">
        <v>335</v>
      </c>
      <c r="G417" s="4">
        <v>2</v>
      </c>
      <c r="L417" s="58" t="s">
        <v>258</v>
      </c>
    </row>
    <row r="418" spans="1:12">
      <c r="A418">
        <v>5</v>
      </c>
      <c r="B418" s="9" t="s">
        <v>335</v>
      </c>
      <c r="C418" s="50">
        <v>41015.53125</v>
      </c>
      <c r="D418" s="9" t="s">
        <v>335</v>
      </c>
      <c r="E418" t="str">
        <f t="shared" si="9"/>
        <v>'32e798d'</v>
      </c>
      <c r="F418" s="9" t="s">
        <v>335</v>
      </c>
      <c r="G418" s="4">
        <v>3</v>
      </c>
      <c r="L418" s="58" t="s">
        <v>26</v>
      </c>
    </row>
    <row r="419" spans="1:12">
      <c r="A419">
        <v>5</v>
      </c>
      <c r="B419" s="9" t="s">
        <v>335</v>
      </c>
      <c r="C419" s="50">
        <v>41015.532638888886</v>
      </c>
      <c r="D419" s="9" t="s">
        <v>335</v>
      </c>
      <c r="E419" t="str">
        <f t="shared" si="9"/>
        <v>'37fbcf4'</v>
      </c>
      <c r="F419" s="9" t="s">
        <v>335</v>
      </c>
      <c r="G419" s="4">
        <v>4</v>
      </c>
      <c r="L419" s="58" t="s">
        <v>35</v>
      </c>
    </row>
    <row r="420" spans="1:12">
      <c r="A420">
        <v>5</v>
      </c>
      <c r="B420" s="9" t="s">
        <v>335</v>
      </c>
      <c r="C420" s="50">
        <v>41015.532638888886</v>
      </c>
      <c r="D420" s="9" t="s">
        <v>335</v>
      </c>
      <c r="E420" t="str">
        <f t="shared" si="9"/>
        <v>'ca3ad78'</v>
      </c>
      <c r="F420" s="9" t="s">
        <v>335</v>
      </c>
      <c r="G420" s="4">
        <v>5</v>
      </c>
      <c r="L420" s="58" t="s">
        <v>105</v>
      </c>
    </row>
    <row r="421" spans="1:12">
      <c r="A421">
        <v>5</v>
      </c>
      <c r="B421" s="9" t="s">
        <v>335</v>
      </c>
      <c r="C421" s="50">
        <v>41015.533333333333</v>
      </c>
      <c r="D421" s="9" t="s">
        <v>335</v>
      </c>
      <c r="E421" t="str">
        <f t="shared" si="9"/>
        <v>'b96bbd6'</v>
      </c>
      <c r="F421" s="9" t="s">
        <v>335</v>
      </c>
      <c r="G421" s="4">
        <v>6</v>
      </c>
      <c r="L421" s="58" t="s">
        <v>210</v>
      </c>
    </row>
    <row r="422" spans="1:12">
      <c r="A422">
        <v>6</v>
      </c>
      <c r="B422" s="9" t="s">
        <v>335</v>
      </c>
      <c r="C422" s="50">
        <v>40989.593055555553</v>
      </c>
      <c r="D422" s="9" t="s">
        <v>335</v>
      </c>
      <c r="E422" t="str">
        <f t="shared" si="9"/>
        <v>'3629aeb'</v>
      </c>
      <c r="F422" s="9" t="s">
        <v>335</v>
      </c>
      <c r="G422" s="4">
        <v>1</v>
      </c>
      <c r="L422" s="58" t="s">
        <v>239</v>
      </c>
    </row>
    <row r="423" spans="1:12">
      <c r="A423">
        <v>7</v>
      </c>
      <c r="B423" s="9" t="s">
        <v>335</v>
      </c>
      <c r="C423" s="50">
        <v>41046.456250000003</v>
      </c>
      <c r="D423" s="9" t="s">
        <v>335</v>
      </c>
      <c r="E423" t="str">
        <f t="shared" si="9"/>
        <v>'7a84ab1'</v>
      </c>
      <c r="F423" s="9" t="s">
        <v>335</v>
      </c>
      <c r="G423" s="4">
        <v>1</v>
      </c>
      <c r="L423" s="58" t="s">
        <v>136</v>
      </c>
    </row>
    <row r="424" spans="1:12">
      <c r="A424">
        <v>8</v>
      </c>
      <c r="B424" s="9" t="s">
        <v>335</v>
      </c>
      <c r="C424" s="50">
        <v>41037.834027777775</v>
      </c>
      <c r="D424" s="9" t="s">
        <v>335</v>
      </c>
      <c r="E424" t="str">
        <f t="shared" si="9"/>
        <v>'9d8f300'</v>
      </c>
      <c r="F424" s="9" t="s">
        <v>335</v>
      </c>
      <c r="G424" s="4">
        <v>1</v>
      </c>
      <c r="L424" s="58" t="s">
        <v>16</v>
      </c>
    </row>
    <row r="425" spans="1:12">
      <c r="A425">
        <v>9</v>
      </c>
      <c r="B425" s="9" t="s">
        <v>335</v>
      </c>
      <c r="C425" s="50">
        <v>41052.743055555555</v>
      </c>
      <c r="D425" s="9" t="s">
        <v>335</v>
      </c>
      <c r="E425" t="str">
        <f t="shared" si="9"/>
        <v>'cd34e38'</v>
      </c>
      <c r="F425" s="9" t="s">
        <v>335</v>
      </c>
      <c r="G425" s="4">
        <v>1</v>
      </c>
      <c r="L425" s="58" t="s">
        <v>132</v>
      </c>
    </row>
    <row r="426" spans="1:12">
      <c r="A426">
        <v>10</v>
      </c>
      <c r="B426" s="9" t="s">
        <v>335</v>
      </c>
      <c r="C426" s="50">
        <v>40957.664583333331</v>
      </c>
      <c r="D426" s="9" t="s">
        <v>335</v>
      </c>
      <c r="E426" t="str">
        <f t="shared" si="9"/>
        <v>'05937f5'</v>
      </c>
      <c r="F426" s="9" t="s">
        <v>335</v>
      </c>
      <c r="G426" s="4">
        <v>1</v>
      </c>
      <c r="L426" s="58" t="s">
        <v>1388</v>
      </c>
    </row>
    <row r="427" spans="1:12">
      <c r="A427">
        <v>10</v>
      </c>
      <c r="B427" s="9" t="s">
        <v>335</v>
      </c>
      <c r="C427" s="50">
        <v>40957.943055555559</v>
      </c>
      <c r="D427" s="9" t="s">
        <v>335</v>
      </c>
      <c r="E427" t="str">
        <f t="shared" si="9"/>
        <v>'42dbb2d'</v>
      </c>
      <c r="F427" s="9" t="s">
        <v>335</v>
      </c>
      <c r="G427" s="4">
        <v>2</v>
      </c>
      <c r="L427" s="58" t="s">
        <v>655</v>
      </c>
    </row>
    <row r="428" spans="1:12">
      <c r="A428">
        <v>10</v>
      </c>
      <c r="B428" s="9" t="s">
        <v>335</v>
      </c>
      <c r="C428" s="50">
        <v>40973.567361111112</v>
      </c>
      <c r="D428" s="9" t="s">
        <v>335</v>
      </c>
      <c r="E428" t="str">
        <f t="shared" si="9"/>
        <v>'c4dd892'</v>
      </c>
      <c r="F428" s="9" t="s">
        <v>335</v>
      </c>
      <c r="G428" s="4">
        <v>3</v>
      </c>
      <c r="L428" s="58" t="s">
        <v>70</v>
      </c>
    </row>
    <row r="429" spans="1:12">
      <c r="A429">
        <v>10</v>
      </c>
      <c r="B429" s="9" t="s">
        <v>335</v>
      </c>
      <c r="C429" s="50">
        <v>41005.584027777775</v>
      </c>
      <c r="D429" s="9" t="s">
        <v>335</v>
      </c>
      <c r="E429" t="str">
        <f t="shared" si="9"/>
        <v>'1d249b9'</v>
      </c>
      <c r="F429" s="9" t="s">
        <v>335</v>
      </c>
      <c r="G429" s="4">
        <v>4</v>
      </c>
      <c r="L429" s="58" t="s">
        <v>23</v>
      </c>
    </row>
    <row r="430" spans="1:12">
      <c r="A430">
        <v>10</v>
      </c>
      <c r="B430" s="9" t="s">
        <v>335</v>
      </c>
      <c r="C430" s="50">
        <v>41007.436805555553</v>
      </c>
      <c r="D430" s="9" t="s">
        <v>335</v>
      </c>
      <c r="E430" t="str">
        <f t="shared" si="9"/>
        <v>'e330af1'</v>
      </c>
      <c r="F430" s="9" t="s">
        <v>335</v>
      </c>
      <c r="G430" s="4">
        <v>5</v>
      </c>
      <c r="L430" s="58" t="s">
        <v>262</v>
      </c>
    </row>
    <row r="431" spans="1:12">
      <c r="A431">
        <v>11</v>
      </c>
      <c r="B431" s="9" t="s">
        <v>335</v>
      </c>
      <c r="C431" s="50">
        <v>41047.494444444441</v>
      </c>
      <c r="D431" s="9" t="s">
        <v>335</v>
      </c>
      <c r="E431" t="str">
        <f t="shared" si="9"/>
        <v>'76edfd3'</v>
      </c>
      <c r="F431" s="9" t="s">
        <v>335</v>
      </c>
      <c r="G431" s="4">
        <v>1</v>
      </c>
      <c r="L431" s="58" t="s">
        <v>138</v>
      </c>
    </row>
    <row r="432" spans="1:12">
      <c r="A432">
        <v>12</v>
      </c>
      <c r="B432" s="9" t="s">
        <v>335</v>
      </c>
      <c r="C432" s="50">
        <v>40949.40902777778</v>
      </c>
      <c r="D432" s="9" t="s">
        <v>335</v>
      </c>
      <c r="E432" t="str">
        <f t="shared" si="9"/>
        <v>'15665b4'</v>
      </c>
      <c r="F432" s="9" t="s">
        <v>335</v>
      </c>
      <c r="G432" s="4">
        <v>1</v>
      </c>
      <c r="L432" s="58" t="s">
        <v>709</v>
      </c>
    </row>
    <row r="433" spans="1:12">
      <c r="A433">
        <v>13</v>
      </c>
      <c r="B433" s="9" t="s">
        <v>335</v>
      </c>
      <c r="C433" s="50">
        <v>40977.490277777775</v>
      </c>
      <c r="D433" s="9" t="s">
        <v>335</v>
      </c>
      <c r="E433" t="str">
        <f t="shared" si="9"/>
        <v>'4f44e61'</v>
      </c>
      <c r="F433" s="9" t="s">
        <v>335</v>
      </c>
      <c r="G433" s="4">
        <v>1</v>
      </c>
      <c r="L433" s="58" t="s">
        <v>192</v>
      </c>
    </row>
    <row r="434" spans="1:12">
      <c r="A434">
        <v>14</v>
      </c>
      <c r="B434" s="9" t="s">
        <v>335</v>
      </c>
      <c r="C434" s="50">
        <v>40962.061111111114</v>
      </c>
      <c r="D434" s="9" t="s">
        <v>335</v>
      </c>
      <c r="E434" t="str">
        <f t="shared" si="9"/>
        <v>'1acb830'</v>
      </c>
      <c r="F434" s="9" t="s">
        <v>335</v>
      </c>
      <c r="G434" s="4">
        <v>1</v>
      </c>
      <c r="L434" s="58" t="s">
        <v>1535</v>
      </c>
    </row>
    <row r="435" spans="1:12">
      <c r="A435">
        <v>14</v>
      </c>
      <c r="B435" s="9" t="s">
        <v>335</v>
      </c>
      <c r="C435" s="50">
        <v>40988.061805555553</v>
      </c>
      <c r="D435" s="9" t="s">
        <v>335</v>
      </c>
      <c r="E435" t="str">
        <f t="shared" si="9"/>
        <v>'ff4b025'</v>
      </c>
      <c r="F435" s="9" t="s">
        <v>335</v>
      </c>
      <c r="G435" s="4">
        <v>2</v>
      </c>
      <c r="L435" s="58" t="s">
        <v>183</v>
      </c>
    </row>
    <row r="436" spans="1:12">
      <c r="A436">
        <v>14</v>
      </c>
      <c r="B436" s="9" t="s">
        <v>335</v>
      </c>
      <c r="C436" s="50">
        <v>41008.994444444441</v>
      </c>
      <c r="D436" s="9" t="s">
        <v>335</v>
      </c>
      <c r="E436" t="str">
        <f t="shared" si="9"/>
        <v>'be88e01'</v>
      </c>
      <c r="F436" s="9" t="s">
        <v>335</v>
      </c>
      <c r="G436" s="4">
        <v>3</v>
      </c>
      <c r="L436" s="58" t="s">
        <v>25</v>
      </c>
    </row>
    <row r="437" spans="1:12">
      <c r="A437">
        <v>14</v>
      </c>
      <c r="B437" s="9" t="s">
        <v>335</v>
      </c>
      <c r="C437" s="50">
        <v>41009.071527777778</v>
      </c>
      <c r="D437" s="9" t="s">
        <v>335</v>
      </c>
      <c r="E437" t="str">
        <f t="shared" si="9"/>
        <v>'7681ab0'</v>
      </c>
      <c r="F437" s="9" t="s">
        <v>335</v>
      </c>
      <c r="G437" s="4">
        <v>4</v>
      </c>
      <c r="L437" s="58" t="s">
        <v>209</v>
      </c>
    </row>
    <row r="438" spans="1:12">
      <c r="A438">
        <v>14</v>
      </c>
      <c r="B438" s="9" t="s">
        <v>335</v>
      </c>
      <c r="C438" s="50">
        <v>41018.047222222223</v>
      </c>
      <c r="D438" s="9" t="s">
        <v>335</v>
      </c>
      <c r="E438" t="str">
        <f t="shared" si="9"/>
        <v>'795ff51'</v>
      </c>
      <c r="F438" s="9" t="s">
        <v>335</v>
      </c>
      <c r="G438" s="4">
        <v>5</v>
      </c>
      <c r="L438" s="58" t="s">
        <v>49</v>
      </c>
    </row>
    <row r="439" spans="1:12">
      <c r="A439">
        <v>14</v>
      </c>
      <c r="B439" s="9" t="s">
        <v>335</v>
      </c>
      <c r="C439" s="50">
        <v>41034.786805555559</v>
      </c>
      <c r="D439" s="9" t="s">
        <v>335</v>
      </c>
      <c r="E439" t="str">
        <f t="shared" si="9"/>
        <v>'79153a6'</v>
      </c>
      <c r="F439" s="9" t="s">
        <v>335</v>
      </c>
      <c r="G439" s="4">
        <v>6</v>
      </c>
      <c r="L439" s="58" t="s">
        <v>88</v>
      </c>
    </row>
    <row r="440" spans="1:12">
      <c r="A440">
        <v>15</v>
      </c>
      <c r="B440" s="9" t="s">
        <v>335</v>
      </c>
      <c r="C440" s="50">
        <v>40960.944444444445</v>
      </c>
      <c r="D440" s="9" t="s">
        <v>335</v>
      </c>
      <c r="E440" t="str">
        <f t="shared" si="9"/>
        <v>'c1d2c94'</v>
      </c>
      <c r="F440" s="9" t="s">
        <v>335</v>
      </c>
      <c r="G440" s="4">
        <v>1</v>
      </c>
      <c r="L440" s="58" t="s">
        <v>1401</v>
      </c>
    </row>
    <row r="441" spans="1:12">
      <c r="A441">
        <v>16</v>
      </c>
      <c r="B441" s="9" t="s">
        <v>335</v>
      </c>
      <c r="C441" s="50">
        <v>41007.128472222219</v>
      </c>
      <c r="D441" s="9" t="s">
        <v>335</v>
      </c>
      <c r="E441" t="str">
        <f t="shared" si="9"/>
        <v>'f8a0fc0'</v>
      </c>
      <c r="F441" s="9" t="s">
        <v>335</v>
      </c>
      <c r="G441" s="4">
        <v>1</v>
      </c>
      <c r="L441" s="58" t="s">
        <v>260</v>
      </c>
    </row>
    <row r="442" spans="1:12">
      <c r="A442">
        <v>17</v>
      </c>
      <c r="B442" s="9" t="s">
        <v>335</v>
      </c>
      <c r="C442" s="50">
        <v>40981.4375</v>
      </c>
      <c r="D442" s="9" t="s">
        <v>335</v>
      </c>
      <c r="E442" t="str">
        <f t="shared" si="9"/>
        <v>'a78e6e3'</v>
      </c>
      <c r="F442" s="9" t="s">
        <v>335</v>
      </c>
      <c r="G442" s="4">
        <v>1</v>
      </c>
      <c r="L442" s="58" t="s">
        <v>249</v>
      </c>
    </row>
    <row r="443" spans="1:12">
      <c r="A443">
        <v>18</v>
      </c>
      <c r="B443" s="9" t="s">
        <v>335</v>
      </c>
      <c r="C443" s="50">
        <v>41051.552083333336</v>
      </c>
      <c r="D443" s="9" t="s">
        <v>335</v>
      </c>
      <c r="E443" t="str">
        <f t="shared" si="9"/>
        <v>'4e8775f'</v>
      </c>
      <c r="F443" s="9" t="s">
        <v>335</v>
      </c>
      <c r="G443" s="4">
        <v>1</v>
      </c>
      <c r="L443" s="58" t="s">
        <v>254</v>
      </c>
    </row>
    <row r="444" spans="1:12">
      <c r="A444">
        <v>19</v>
      </c>
      <c r="B444" s="9" t="s">
        <v>335</v>
      </c>
      <c r="C444" s="50">
        <v>40937.15902777778</v>
      </c>
      <c r="D444" s="9" t="s">
        <v>335</v>
      </c>
      <c r="E444" t="str">
        <f t="shared" si="9"/>
        <v>'2b2877e'</v>
      </c>
      <c r="F444" s="9" t="s">
        <v>335</v>
      </c>
      <c r="G444" s="4">
        <v>1</v>
      </c>
      <c r="L444" s="58" t="s">
        <v>357</v>
      </c>
    </row>
    <row r="445" spans="1:12">
      <c r="A445">
        <v>20</v>
      </c>
      <c r="B445" s="9" t="s">
        <v>335</v>
      </c>
      <c r="C445" s="50">
        <v>40959.827777777777</v>
      </c>
      <c r="D445" s="9" t="s">
        <v>335</v>
      </c>
      <c r="E445" t="str">
        <f t="shared" si="9"/>
        <v>'8d220fb'</v>
      </c>
      <c r="F445" s="9" t="s">
        <v>335</v>
      </c>
      <c r="G445" s="4">
        <v>1</v>
      </c>
      <c r="L445" s="58" t="s">
        <v>421</v>
      </c>
    </row>
    <row r="446" spans="1:12">
      <c r="A446">
        <v>20</v>
      </c>
      <c r="B446" s="9" t="s">
        <v>335</v>
      </c>
      <c r="C446" s="50">
        <v>40960.771527777775</v>
      </c>
      <c r="D446" s="9" t="s">
        <v>335</v>
      </c>
      <c r="E446" t="str">
        <f t="shared" si="9"/>
        <v>'4d27250'</v>
      </c>
      <c r="F446" s="9" t="s">
        <v>335</v>
      </c>
      <c r="G446" s="4">
        <v>2</v>
      </c>
      <c r="L446" s="58" t="s">
        <v>1400</v>
      </c>
    </row>
    <row r="447" spans="1:12">
      <c r="A447">
        <v>20</v>
      </c>
      <c r="B447" s="9" t="s">
        <v>335</v>
      </c>
      <c r="C447" s="50">
        <v>40961.787499999999</v>
      </c>
      <c r="D447" s="9" t="s">
        <v>335</v>
      </c>
      <c r="E447" t="str">
        <f t="shared" si="9"/>
        <v>'40e8952'</v>
      </c>
      <c r="F447" s="9" t="s">
        <v>335</v>
      </c>
      <c r="G447" s="4">
        <v>3</v>
      </c>
      <c r="L447" s="58" t="s">
        <v>1534</v>
      </c>
    </row>
    <row r="448" spans="1:12">
      <c r="A448">
        <v>20</v>
      </c>
      <c r="B448" s="9" t="s">
        <v>335</v>
      </c>
      <c r="C448" s="50">
        <v>40994.649305555555</v>
      </c>
      <c r="D448" s="9" t="s">
        <v>335</v>
      </c>
      <c r="E448" t="str">
        <f t="shared" si="9"/>
        <v>'0b9fc0d'</v>
      </c>
      <c r="F448" s="9" t="s">
        <v>335</v>
      </c>
      <c r="G448" s="4">
        <v>4</v>
      </c>
      <c r="L448" s="58" t="s">
        <v>144</v>
      </c>
    </row>
    <row r="449" spans="1:12">
      <c r="A449">
        <v>21</v>
      </c>
      <c r="B449" s="9" t="s">
        <v>335</v>
      </c>
      <c r="C449" s="50">
        <v>40959.738194444442</v>
      </c>
      <c r="D449" s="9" t="s">
        <v>335</v>
      </c>
      <c r="E449" t="str">
        <f t="shared" si="9"/>
        <v>'51a53ab'</v>
      </c>
      <c r="F449" s="9" t="s">
        <v>335</v>
      </c>
      <c r="G449" s="4">
        <v>1</v>
      </c>
      <c r="L449" s="58" t="s">
        <v>942</v>
      </c>
    </row>
    <row r="450" spans="1:12">
      <c r="A450">
        <v>22</v>
      </c>
      <c r="B450" s="9" t="s">
        <v>335</v>
      </c>
      <c r="C450" s="50">
        <v>40914.582638888889</v>
      </c>
      <c r="D450" s="9" t="s">
        <v>335</v>
      </c>
      <c r="E450" t="str">
        <f t="shared" si="9"/>
        <v>'09d06a9'</v>
      </c>
      <c r="F450" s="9" t="s">
        <v>335</v>
      </c>
      <c r="G450" s="4">
        <v>1</v>
      </c>
      <c r="L450" s="58" t="s">
        <v>990</v>
      </c>
    </row>
    <row r="451" spans="1:12">
      <c r="A451">
        <v>23</v>
      </c>
      <c r="B451" s="9" t="s">
        <v>335</v>
      </c>
      <c r="C451" s="50">
        <v>41017.348611111112</v>
      </c>
      <c r="D451" s="9" t="s">
        <v>335</v>
      </c>
      <c r="E451" t="str">
        <f t="shared" si="9"/>
        <v>'84f0837'</v>
      </c>
      <c r="F451" s="9" t="s">
        <v>335</v>
      </c>
      <c r="G451" s="4">
        <v>1</v>
      </c>
      <c r="L451" s="58" t="s">
        <v>109</v>
      </c>
    </row>
    <row r="452" spans="1:12">
      <c r="A452">
        <v>23</v>
      </c>
      <c r="B452" s="9" t="s">
        <v>335</v>
      </c>
      <c r="C452" s="50">
        <v>41030.487500000003</v>
      </c>
      <c r="D452" s="9" t="s">
        <v>335</v>
      </c>
      <c r="E452" t="str">
        <f t="shared" si="9"/>
        <v>'4aab81f'</v>
      </c>
      <c r="F452" s="9" t="s">
        <v>335</v>
      </c>
      <c r="G452" s="4">
        <v>2</v>
      </c>
      <c r="L452" s="58" t="s">
        <v>282</v>
      </c>
    </row>
    <row r="453" spans="1:12">
      <c r="A453">
        <v>24</v>
      </c>
      <c r="B453" s="9" t="s">
        <v>335</v>
      </c>
      <c r="C453" s="50">
        <v>40937.724305555559</v>
      </c>
      <c r="D453" s="9" t="s">
        <v>335</v>
      </c>
      <c r="E453" t="str">
        <f t="shared" si="9"/>
        <v>'fa2908b'</v>
      </c>
      <c r="F453" s="9" t="s">
        <v>335</v>
      </c>
      <c r="G453" s="4">
        <v>1</v>
      </c>
      <c r="L453" s="58" t="s">
        <v>528</v>
      </c>
    </row>
    <row r="454" spans="1:12">
      <c r="A454">
        <v>24</v>
      </c>
      <c r="B454" s="9" t="s">
        <v>335</v>
      </c>
      <c r="C454" s="50">
        <v>41002.907638888886</v>
      </c>
      <c r="D454" s="9" t="s">
        <v>335</v>
      </c>
      <c r="E454" t="str">
        <f t="shared" si="9"/>
        <v>'5a0f1aa'</v>
      </c>
      <c r="F454" s="9" t="s">
        <v>335</v>
      </c>
      <c r="G454" s="4">
        <v>2</v>
      </c>
      <c r="L454" s="58" t="s">
        <v>284</v>
      </c>
    </row>
    <row r="455" spans="1:12">
      <c r="A455">
        <v>25</v>
      </c>
      <c r="B455" s="9" t="s">
        <v>335</v>
      </c>
      <c r="C455" s="50">
        <v>40926.729861111111</v>
      </c>
      <c r="D455" s="9" t="s">
        <v>335</v>
      </c>
      <c r="E455" t="str">
        <f t="shared" si="9"/>
        <v>'6066009'</v>
      </c>
      <c r="F455" s="9" t="s">
        <v>335</v>
      </c>
      <c r="G455" s="4">
        <v>1</v>
      </c>
      <c r="L455" s="58" t="s">
        <v>1942</v>
      </c>
    </row>
    <row r="456" spans="1:12">
      <c r="A456">
        <v>26</v>
      </c>
      <c r="B456" s="9" t="s">
        <v>335</v>
      </c>
      <c r="C456" s="50">
        <v>40911.863888888889</v>
      </c>
      <c r="D456" s="9" t="s">
        <v>335</v>
      </c>
      <c r="E456" t="str">
        <f t="shared" si="9"/>
        <v>'5c0b36d'</v>
      </c>
      <c r="F456" s="9" t="s">
        <v>335</v>
      </c>
      <c r="G456" s="4">
        <v>1</v>
      </c>
      <c r="L456" s="58" t="s">
        <v>1077</v>
      </c>
    </row>
    <row r="457" spans="1:12">
      <c r="A457">
        <v>26</v>
      </c>
      <c r="B457" s="9" t="s">
        <v>335</v>
      </c>
      <c r="C457" s="50">
        <v>40952.481249999997</v>
      </c>
      <c r="D457" s="9" t="s">
        <v>335</v>
      </c>
      <c r="E457" t="str">
        <f t="shared" si="9"/>
        <v>'e85a292'</v>
      </c>
      <c r="F457" s="9" t="s">
        <v>335</v>
      </c>
      <c r="G457" s="4">
        <v>2</v>
      </c>
      <c r="L457" s="58" t="s">
        <v>364</v>
      </c>
    </row>
    <row r="458" spans="1:12">
      <c r="A458">
        <v>26</v>
      </c>
      <c r="B458" s="9" t="s">
        <v>335</v>
      </c>
      <c r="C458" s="50">
        <v>40968.780555555553</v>
      </c>
      <c r="D458" s="9" t="s">
        <v>335</v>
      </c>
      <c r="E458" t="str">
        <f t="shared" si="9"/>
        <v>'f414de0'</v>
      </c>
      <c r="F458" s="9" t="s">
        <v>335</v>
      </c>
      <c r="G458" s="4">
        <v>3</v>
      </c>
      <c r="L458" s="58" t="s">
        <v>237</v>
      </c>
    </row>
    <row r="459" spans="1:12">
      <c r="A459">
        <v>26</v>
      </c>
      <c r="B459" s="9" t="s">
        <v>335</v>
      </c>
      <c r="C459" s="50">
        <v>40969.927777777775</v>
      </c>
      <c r="D459" s="9" t="s">
        <v>335</v>
      </c>
      <c r="E459" t="str">
        <f t="shared" si="9"/>
        <v>'66e221e'</v>
      </c>
      <c r="F459" s="9" t="s">
        <v>335</v>
      </c>
      <c r="G459" s="4">
        <v>4</v>
      </c>
      <c r="L459" s="58" t="s">
        <v>91</v>
      </c>
    </row>
    <row r="460" spans="1:12">
      <c r="A460">
        <v>26</v>
      </c>
      <c r="B460" s="9" t="s">
        <v>335</v>
      </c>
      <c r="C460" s="50">
        <v>40973.827777777777</v>
      </c>
      <c r="D460" s="9" t="s">
        <v>335</v>
      </c>
      <c r="E460" t="str">
        <f t="shared" si="9"/>
        <v>'f6ad2e6'</v>
      </c>
      <c r="F460" s="9" t="s">
        <v>335</v>
      </c>
      <c r="G460" s="4">
        <v>5</v>
      </c>
      <c r="L460" s="58" t="s">
        <v>121</v>
      </c>
    </row>
    <row r="461" spans="1:12">
      <c r="A461">
        <v>26</v>
      </c>
      <c r="B461" s="9" t="s">
        <v>335</v>
      </c>
      <c r="C461" s="50">
        <v>40980.429861111108</v>
      </c>
      <c r="D461" s="9" t="s">
        <v>335</v>
      </c>
      <c r="E461" t="str">
        <f t="shared" si="9"/>
        <v>'e59fdcf'</v>
      </c>
      <c r="F461" s="9" t="s">
        <v>335</v>
      </c>
      <c r="G461" s="4">
        <v>6</v>
      </c>
      <c r="L461" s="58" t="s">
        <v>2</v>
      </c>
    </row>
    <row r="462" spans="1:12">
      <c r="A462">
        <v>26</v>
      </c>
      <c r="B462" s="9" t="s">
        <v>335</v>
      </c>
      <c r="C462" s="50">
        <v>41008.398611111108</v>
      </c>
      <c r="D462" s="9" t="s">
        <v>335</v>
      </c>
      <c r="E462" t="str">
        <f t="shared" si="9"/>
        <v>'2e2c302'</v>
      </c>
      <c r="F462" s="9" t="s">
        <v>335</v>
      </c>
      <c r="G462" s="4">
        <v>7</v>
      </c>
      <c r="L462" s="58" t="s">
        <v>263</v>
      </c>
    </row>
    <row r="463" spans="1:12">
      <c r="A463">
        <v>26</v>
      </c>
      <c r="B463" s="9" t="s">
        <v>335</v>
      </c>
      <c r="C463" s="50">
        <v>41009.888888888891</v>
      </c>
      <c r="D463" s="9" t="s">
        <v>335</v>
      </c>
      <c r="E463" t="str">
        <f t="shared" si="9"/>
        <v>'2df71d0'</v>
      </c>
      <c r="F463" s="9" t="s">
        <v>335</v>
      </c>
      <c r="G463" s="4">
        <v>8</v>
      </c>
      <c r="L463" s="58" t="s">
        <v>127</v>
      </c>
    </row>
    <row r="464" spans="1:12">
      <c r="A464">
        <v>26</v>
      </c>
      <c r="B464" s="9" t="s">
        <v>335</v>
      </c>
      <c r="C464" s="50">
        <v>41024.636111111111</v>
      </c>
      <c r="D464" s="9" t="s">
        <v>335</v>
      </c>
      <c r="E464" t="str">
        <f t="shared" si="9"/>
        <v>'fdaee7e'</v>
      </c>
      <c r="F464" s="9" t="s">
        <v>335</v>
      </c>
      <c r="G464" s="4">
        <v>9</v>
      </c>
      <c r="L464" s="58" t="s">
        <v>169</v>
      </c>
    </row>
    <row r="465" spans="1:12">
      <c r="A465">
        <v>26</v>
      </c>
      <c r="B465" s="9" t="s">
        <v>335</v>
      </c>
      <c r="C465" s="50">
        <v>41024.911111111112</v>
      </c>
      <c r="D465" s="9" t="s">
        <v>335</v>
      </c>
      <c r="E465" t="str">
        <f t="shared" si="9"/>
        <v>'35de7e7'</v>
      </c>
      <c r="F465" s="9" t="s">
        <v>335</v>
      </c>
      <c r="G465" s="4">
        <v>10</v>
      </c>
      <c r="L465" s="58" t="s">
        <v>219</v>
      </c>
    </row>
    <row r="466" spans="1:12">
      <c r="A466">
        <v>26</v>
      </c>
      <c r="B466" s="9" t="s">
        <v>335</v>
      </c>
      <c r="C466" s="50">
        <v>41029.450694444444</v>
      </c>
      <c r="D466" s="9" t="s">
        <v>335</v>
      </c>
      <c r="E466" t="str">
        <f t="shared" si="9"/>
        <v>'b5a3453'</v>
      </c>
      <c r="F466" s="9" t="s">
        <v>335</v>
      </c>
      <c r="G466" s="4">
        <v>11</v>
      </c>
      <c r="L466" s="58" t="s">
        <v>243</v>
      </c>
    </row>
    <row r="467" spans="1:12">
      <c r="A467">
        <v>26</v>
      </c>
      <c r="B467" s="9" t="s">
        <v>335</v>
      </c>
      <c r="C467" s="50">
        <v>41029.520833333336</v>
      </c>
      <c r="D467" s="9" t="s">
        <v>335</v>
      </c>
      <c r="E467" t="str">
        <f t="shared" si="9"/>
        <v>'7057bd7'</v>
      </c>
      <c r="F467" s="9" t="s">
        <v>335</v>
      </c>
      <c r="G467" s="4">
        <v>12</v>
      </c>
      <c r="L467" s="58" t="s">
        <v>118</v>
      </c>
    </row>
    <row r="468" spans="1:12">
      <c r="A468">
        <v>26</v>
      </c>
      <c r="B468" s="9" t="s">
        <v>335</v>
      </c>
      <c r="C468" s="50">
        <v>41036.728472222225</v>
      </c>
      <c r="D468" s="9" t="s">
        <v>335</v>
      </c>
      <c r="E468" t="str">
        <f t="shared" si="9"/>
        <v>'f98857b'</v>
      </c>
      <c r="F468" s="9" t="s">
        <v>335</v>
      </c>
      <c r="G468" s="4">
        <v>13</v>
      </c>
      <c r="L468" s="58" t="s">
        <v>155</v>
      </c>
    </row>
    <row r="469" spans="1:12">
      <c r="A469">
        <v>26</v>
      </c>
      <c r="B469" s="9" t="s">
        <v>335</v>
      </c>
      <c r="C469" s="50">
        <v>41043.48333333333</v>
      </c>
      <c r="D469" s="9" t="s">
        <v>335</v>
      </c>
      <c r="E469" t="str">
        <f t="shared" si="9"/>
        <v>'1ccc78b'</v>
      </c>
      <c r="F469" s="9" t="s">
        <v>335</v>
      </c>
      <c r="G469" s="4">
        <v>14</v>
      </c>
      <c r="L469" s="58" t="s">
        <v>234</v>
      </c>
    </row>
    <row r="470" spans="1:12">
      <c r="A470">
        <v>26</v>
      </c>
      <c r="B470" s="9" t="s">
        <v>335</v>
      </c>
      <c r="C470" s="50">
        <v>41044.59652777778</v>
      </c>
      <c r="D470" s="9" t="s">
        <v>335</v>
      </c>
      <c r="E470" t="str">
        <f t="shared" si="9"/>
        <v>'8833154'</v>
      </c>
      <c r="F470" s="9" t="s">
        <v>335</v>
      </c>
      <c r="G470" s="4">
        <v>15</v>
      </c>
      <c r="L470" s="58" t="s">
        <v>1946</v>
      </c>
    </row>
    <row r="471" spans="1:12">
      <c r="A471">
        <v>26</v>
      </c>
      <c r="B471" s="9" t="s">
        <v>335</v>
      </c>
      <c r="C471" s="50">
        <v>41050.595833333333</v>
      </c>
      <c r="D471" s="9" t="s">
        <v>335</v>
      </c>
      <c r="E471" t="str">
        <f t="shared" ref="E471:E534" si="10">CONCATENATE("'",L471,"'")</f>
        <v>'bbad34b'</v>
      </c>
      <c r="F471" s="9" t="s">
        <v>335</v>
      </c>
      <c r="G471" s="4">
        <v>16</v>
      </c>
      <c r="L471" s="58" t="s">
        <v>202</v>
      </c>
    </row>
    <row r="472" spans="1:12">
      <c r="A472">
        <v>26</v>
      </c>
      <c r="B472" s="9" t="s">
        <v>335</v>
      </c>
      <c r="C472" s="50">
        <v>41050.75277777778</v>
      </c>
      <c r="D472" s="9" t="s">
        <v>335</v>
      </c>
      <c r="E472" t="str">
        <f t="shared" si="10"/>
        <v>'5753ca5'</v>
      </c>
      <c r="F472" s="9" t="s">
        <v>335</v>
      </c>
      <c r="G472" s="4">
        <v>17</v>
      </c>
      <c r="L472" s="58" t="s">
        <v>161</v>
      </c>
    </row>
    <row r="473" spans="1:12">
      <c r="A473">
        <v>26</v>
      </c>
      <c r="B473" s="9" t="s">
        <v>335</v>
      </c>
      <c r="C473" s="50">
        <v>41051.70208333333</v>
      </c>
      <c r="D473" s="9" t="s">
        <v>335</v>
      </c>
      <c r="E473" t="str">
        <f t="shared" si="10"/>
        <v>'ec87354'</v>
      </c>
      <c r="F473" s="9" t="s">
        <v>335</v>
      </c>
      <c r="G473" s="4">
        <v>18</v>
      </c>
      <c r="L473" s="58" t="s">
        <v>172</v>
      </c>
    </row>
    <row r="474" spans="1:12">
      <c r="A474">
        <v>26</v>
      </c>
      <c r="B474" s="9" t="s">
        <v>335</v>
      </c>
      <c r="C474" s="50">
        <v>41052.723611111112</v>
      </c>
      <c r="D474" s="9" t="s">
        <v>335</v>
      </c>
      <c r="E474" t="str">
        <f t="shared" si="10"/>
        <v>'be1f8f9'</v>
      </c>
      <c r="F474" s="9" t="s">
        <v>335</v>
      </c>
      <c r="G474" s="4">
        <v>19</v>
      </c>
      <c r="L474" s="58" t="s">
        <v>178</v>
      </c>
    </row>
    <row r="475" spans="1:12">
      <c r="A475">
        <v>26</v>
      </c>
      <c r="B475" s="9" t="s">
        <v>335</v>
      </c>
      <c r="C475" s="50">
        <v>41058.80972222222</v>
      </c>
      <c r="D475" s="9" t="s">
        <v>335</v>
      </c>
      <c r="E475" t="str">
        <f t="shared" si="10"/>
        <v>'359aca3'</v>
      </c>
      <c r="F475" s="9" t="s">
        <v>335</v>
      </c>
      <c r="G475" s="4">
        <v>20</v>
      </c>
      <c r="L475" s="58" t="s">
        <v>276</v>
      </c>
    </row>
    <row r="476" spans="1:12">
      <c r="A476">
        <v>26</v>
      </c>
      <c r="B476" s="9" t="s">
        <v>335</v>
      </c>
      <c r="C476" s="50">
        <v>41059.599305555559</v>
      </c>
      <c r="D476" s="9" t="s">
        <v>335</v>
      </c>
      <c r="E476" t="str">
        <f t="shared" si="10"/>
        <v>'0ffe9d5'</v>
      </c>
      <c r="F476" s="9" t="s">
        <v>335</v>
      </c>
      <c r="G476" s="4">
        <v>21</v>
      </c>
      <c r="L476" s="58" t="s">
        <v>204</v>
      </c>
    </row>
    <row r="477" spans="1:12">
      <c r="A477">
        <v>26</v>
      </c>
      <c r="B477" s="9" t="s">
        <v>335</v>
      </c>
      <c r="C477" s="50">
        <v>41064.902777777781</v>
      </c>
      <c r="D477" s="9" t="s">
        <v>335</v>
      </c>
      <c r="E477" t="str">
        <f t="shared" si="10"/>
        <v>'75c3992'</v>
      </c>
      <c r="F477" s="9" t="s">
        <v>335</v>
      </c>
      <c r="G477" s="4">
        <v>22</v>
      </c>
      <c r="L477" s="58" t="s">
        <v>265</v>
      </c>
    </row>
    <row r="478" spans="1:12">
      <c r="A478">
        <v>26</v>
      </c>
      <c r="B478" s="9" t="s">
        <v>335</v>
      </c>
      <c r="C478" s="50">
        <v>41065.640972222223</v>
      </c>
      <c r="D478" s="9" t="s">
        <v>335</v>
      </c>
      <c r="E478" t="str">
        <f t="shared" si="10"/>
        <v>'ddd6867'</v>
      </c>
      <c r="F478" s="9" t="s">
        <v>335</v>
      </c>
      <c r="G478" s="4">
        <v>23</v>
      </c>
      <c r="L478" s="58" t="s">
        <v>94</v>
      </c>
    </row>
    <row r="479" spans="1:12">
      <c r="A479">
        <v>26</v>
      </c>
      <c r="B479" s="9" t="s">
        <v>335</v>
      </c>
      <c r="C479" s="50">
        <v>41065.854166666664</v>
      </c>
      <c r="D479" s="9" t="s">
        <v>335</v>
      </c>
      <c r="E479" t="str">
        <f t="shared" si="10"/>
        <v>'372e8cb'</v>
      </c>
      <c r="F479" s="9" t="s">
        <v>335</v>
      </c>
      <c r="G479" s="4">
        <v>24</v>
      </c>
      <c r="L479" s="58" t="s">
        <v>55</v>
      </c>
    </row>
    <row r="480" spans="1:12">
      <c r="A480">
        <v>26</v>
      </c>
      <c r="B480" s="9" t="s">
        <v>335</v>
      </c>
      <c r="C480" s="50">
        <v>41071.416666666664</v>
      </c>
      <c r="D480" s="9" t="s">
        <v>335</v>
      </c>
      <c r="E480" t="str">
        <f t="shared" si="10"/>
        <v>'18e6e67'</v>
      </c>
      <c r="F480" s="9" t="s">
        <v>335</v>
      </c>
      <c r="G480" s="4">
        <v>25</v>
      </c>
      <c r="L480" s="58" t="s">
        <v>175</v>
      </c>
    </row>
    <row r="481" spans="1:12">
      <c r="A481">
        <v>26</v>
      </c>
      <c r="B481" s="9" t="s">
        <v>335</v>
      </c>
      <c r="C481" s="50">
        <v>41071.484027777777</v>
      </c>
      <c r="D481" s="9" t="s">
        <v>335</v>
      </c>
      <c r="E481" t="str">
        <f t="shared" si="10"/>
        <v>'d5513b0'</v>
      </c>
      <c r="F481" s="9" t="s">
        <v>335</v>
      </c>
      <c r="G481" s="4">
        <v>26</v>
      </c>
      <c r="L481" s="58" t="s">
        <v>102</v>
      </c>
    </row>
    <row r="482" spans="1:12">
      <c r="A482">
        <v>26</v>
      </c>
      <c r="B482" s="9" t="s">
        <v>335</v>
      </c>
      <c r="C482" s="50">
        <v>41071.63958333333</v>
      </c>
      <c r="D482" s="9" t="s">
        <v>335</v>
      </c>
      <c r="E482" t="str">
        <f t="shared" si="10"/>
        <v>'72fbaba'</v>
      </c>
      <c r="F482" s="9" t="s">
        <v>335</v>
      </c>
      <c r="G482" s="4">
        <v>27</v>
      </c>
      <c r="L482" s="58" t="s">
        <v>8</v>
      </c>
    </row>
    <row r="483" spans="1:12">
      <c r="A483">
        <v>26</v>
      </c>
      <c r="B483" s="9" t="s">
        <v>335</v>
      </c>
      <c r="C483" s="50">
        <v>41071.969444444447</v>
      </c>
      <c r="D483" s="9" t="s">
        <v>335</v>
      </c>
      <c r="E483" t="str">
        <f t="shared" si="10"/>
        <v>'201bd2f'</v>
      </c>
      <c r="F483" s="9" t="s">
        <v>335</v>
      </c>
      <c r="G483" s="4">
        <v>28</v>
      </c>
      <c r="L483" s="58" t="s">
        <v>207</v>
      </c>
    </row>
    <row r="484" spans="1:12">
      <c r="A484">
        <v>26</v>
      </c>
      <c r="B484" s="9" t="s">
        <v>335</v>
      </c>
      <c r="C484" s="50">
        <v>41078.938194444447</v>
      </c>
      <c r="D484" s="9" t="s">
        <v>335</v>
      </c>
      <c r="E484" t="str">
        <f t="shared" si="10"/>
        <v>'8234d48'</v>
      </c>
      <c r="F484" s="9" t="s">
        <v>335</v>
      </c>
      <c r="G484" s="4">
        <v>29</v>
      </c>
      <c r="L484" s="58" t="s">
        <v>147</v>
      </c>
    </row>
    <row r="485" spans="1:12">
      <c r="A485">
        <v>27</v>
      </c>
      <c r="B485" s="9" t="s">
        <v>335</v>
      </c>
      <c r="C485" s="50">
        <v>40910.809027777781</v>
      </c>
      <c r="D485" s="9" t="s">
        <v>335</v>
      </c>
      <c r="E485" t="str">
        <f t="shared" si="10"/>
        <v>'4a6cee4'</v>
      </c>
      <c r="F485" s="9" t="s">
        <v>335</v>
      </c>
      <c r="G485" s="4">
        <v>1</v>
      </c>
      <c r="L485" s="58" t="s">
        <v>1141</v>
      </c>
    </row>
    <row r="486" spans="1:12">
      <c r="A486">
        <v>27</v>
      </c>
      <c r="B486" s="9" t="s">
        <v>335</v>
      </c>
      <c r="C486" s="50">
        <v>40910.395833333336</v>
      </c>
      <c r="D486" s="9" t="s">
        <v>335</v>
      </c>
      <c r="E486" t="str">
        <f t="shared" si="10"/>
        <v>'24d561f'</v>
      </c>
      <c r="F486" s="9" t="s">
        <v>335</v>
      </c>
      <c r="G486" s="4">
        <v>2</v>
      </c>
      <c r="L486" s="58" t="s">
        <v>1076</v>
      </c>
    </row>
    <row r="487" spans="1:12">
      <c r="A487">
        <v>27</v>
      </c>
      <c r="B487" s="9" t="s">
        <v>335</v>
      </c>
      <c r="C487" s="50">
        <v>40917.43472222222</v>
      </c>
      <c r="D487" s="9" t="s">
        <v>335</v>
      </c>
      <c r="E487" t="str">
        <f t="shared" si="10"/>
        <v>'b1d1127'</v>
      </c>
      <c r="F487" s="9" t="s">
        <v>335</v>
      </c>
      <c r="G487" s="4">
        <v>3</v>
      </c>
      <c r="L487" s="58" t="s">
        <v>1138</v>
      </c>
    </row>
    <row r="488" spans="1:12">
      <c r="A488">
        <v>27</v>
      </c>
      <c r="B488" s="9" t="s">
        <v>335</v>
      </c>
      <c r="C488" s="50">
        <v>40918.729861111111</v>
      </c>
      <c r="D488" s="9" t="s">
        <v>335</v>
      </c>
      <c r="E488" t="str">
        <f t="shared" si="10"/>
        <v>'70838bf'</v>
      </c>
      <c r="F488" s="9" t="s">
        <v>335</v>
      </c>
      <c r="G488" s="4">
        <v>4</v>
      </c>
      <c r="L488" s="58" t="s">
        <v>1301</v>
      </c>
    </row>
    <row r="489" spans="1:12">
      <c r="A489">
        <v>27</v>
      </c>
      <c r="B489" s="9" t="s">
        <v>335</v>
      </c>
      <c r="C489" s="50">
        <v>40925.411805555559</v>
      </c>
      <c r="D489" s="9" t="s">
        <v>335</v>
      </c>
      <c r="E489" t="str">
        <f t="shared" si="10"/>
        <v>'16ca4e7'</v>
      </c>
      <c r="F489" s="9" t="s">
        <v>335</v>
      </c>
      <c r="G489" s="4">
        <v>5</v>
      </c>
      <c r="L489" s="58" t="s">
        <v>1527</v>
      </c>
    </row>
    <row r="490" spans="1:12">
      <c r="A490">
        <v>27</v>
      </c>
      <c r="B490" s="9" t="s">
        <v>335</v>
      </c>
      <c r="C490" s="50">
        <v>40926.443055555559</v>
      </c>
      <c r="D490" s="9" t="s">
        <v>335</v>
      </c>
      <c r="E490" t="str">
        <f t="shared" si="10"/>
        <v>'c8ccee1'</v>
      </c>
      <c r="F490" s="9" t="s">
        <v>335</v>
      </c>
      <c r="G490" s="4">
        <v>6</v>
      </c>
      <c r="L490" s="58" t="s">
        <v>1146</v>
      </c>
    </row>
    <row r="491" spans="1:12">
      <c r="A491">
        <v>27</v>
      </c>
      <c r="B491" s="9" t="s">
        <v>335</v>
      </c>
      <c r="C491" s="50">
        <v>40931.647916666669</v>
      </c>
      <c r="D491" s="9" t="s">
        <v>335</v>
      </c>
      <c r="E491" t="str">
        <f t="shared" si="10"/>
        <v>'ba4fd14'</v>
      </c>
      <c r="F491" s="9" t="s">
        <v>335</v>
      </c>
      <c r="G491" s="4">
        <v>7</v>
      </c>
      <c r="L491" s="58" t="s">
        <v>612</v>
      </c>
    </row>
    <row r="492" spans="1:12">
      <c r="A492">
        <v>27</v>
      </c>
      <c r="B492" s="9" t="s">
        <v>335</v>
      </c>
      <c r="C492" s="50">
        <v>40934.60833333333</v>
      </c>
      <c r="D492" s="9" t="s">
        <v>335</v>
      </c>
      <c r="E492" t="str">
        <f t="shared" si="10"/>
        <v>'65339ff'</v>
      </c>
      <c r="F492" s="9" t="s">
        <v>335</v>
      </c>
      <c r="G492" s="4">
        <v>8</v>
      </c>
      <c r="L492" s="58" t="s">
        <v>444</v>
      </c>
    </row>
    <row r="493" spans="1:12">
      <c r="A493">
        <v>27</v>
      </c>
      <c r="B493" s="9" t="s">
        <v>335</v>
      </c>
      <c r="C493" s="50">
        <v>40935.731249999997</v>
      </c>
      <c r="D493" s="9" t="s">
        <v>335</v>
      </c>
      <c r="E493" t="str">
        <f t="shared" si="10"/>
        <v>'7360f45'</v>
      </c>
      <c r="F493" s="9" t="s">
        <v>335</v>
      </c>
      <c r="G493" s="4">
        <v>9</v>
      </c>
      <c r="L493" s="58" t="s">
        <v>356</v>
      </c>
    </row>
    <row r="494" spans="1:12">
      <c r="A494">
        <v>27</v>
      </c>
      <c r="B494" s="9" t="s">
        <v>335</v>
      </c>
      <c r="C494" s="50">
        <v>40938.620138888888</v>
      </c>
      <c r="D494" s="9" t="s">
        <v>335</v>
      </c>
      <c r="E494" t="str">
        <f t="shared" si="10"/>
        <v>'36012c2'</v>
      </c>
      <c r="F494" s="9" t="s">
        <v>335</v>
      </c>
      <c r="G494" s="4">
        <v>10</v>
      </c>
      <c r="L494" s="58" t="s">
        <v>737</v>
      </c>
    </row>
    <row r="495" spans="1:12">
      <c r="A495">
        <v>27</v>
      </c>
      <c r="B495" s="9" t="s">
        <v>335</v>
      </c>
      <c r="C495" s="50">
        <v>40938.73333333333</v>
      </c>
      <c r="D495" s="9" t="s">
        <v>335</v>
      </c>
      <c r="E495" t="str">
        <f t="shared" si="10"/>
        <v>'4a2c185'</v>
      </c>
      <c r="F495" s="9" t="s">
        <v>335</v>
      </c>
      <c r="G495" s="4">
        <v>11</v>
      </c>
      <c r="L495" s="58" t="s">
        <v>766</v>
      </c>
    </row>
    <row r="496" spans="1:12">
      <c r="A496">
        <v>27</v>
      </c>
      <c r="B496" s="9" t="s">
        <v>335</v>
      </c>
      <c r="C496" s="50">
        <v>40945.615972222222</v>
      </c>
      <c r="D496" s="9" t="s">
        <v>335</v>
      </c>
      <c r="E496" t="str">
        <f t="shared" si="10"/>
        <v>'7028097'</v>
      </c>
      <c r="F496" s="9" t="s">
        <v>335</v>
      </c>
      <c r="G496" s="4">
        <v>12</v>
      </c>
      <c r="L496" s="58" t="s">
        <v>1916</v>
      </c>
    </row>
    <row r="497" spans="1:12">
      <c r="A497">
        <v>27</v>
      </c>
      <c r="B497" s="9" t="s">
        <v>335</v>
      </c>
      <c r="C497" s="50">
        <v>40947.335416666669</v>
      </c>
      <c r="D497" s="9" t="s">
        <v>335</v>
      </c>
      <c r="E497" t="str">
        <f t="shared" si="10"/>
        <v>'f278916'</v>
      </c>
      <c r="F497" s="9" t="s">
        <v>335</v>
      </c>
      <c r="G497" s="4">
        <v>13</v>
      </c>
      <c r="L497" s="58" t="s">
        <v>819</v>
      </c>
    </row>
    <row r="498" spans="1:12">
      <c r="A498">
        <v>27</v>
      </c>
      <c r="B498" s="9" t="s">
        <v>335</v>
      </c>
      <c r="C498" s="50">
        <v>40952.4375</v>
      </c>
      <c r="D498" s="9" t="s">
        <v>335</v>
      </c>
      <c r="E498" t="str">
        <f t="shared" si="10"/>
        <v>'1ac4872'</v>
      </c>
      <c r="F498" s="9" t="s">
        <v>335</v>
      </c>
      <c r="G498" s="4">
        <v>14</v>
      </c>
      <c r="L498" s="58" t="s">
        <v>363</v>
      </c>
    </row>
    <row r="499" spans="1:12">
      <c r="A499">
        <v>27</v>
      </c>
      <c r="B499" s="9" t="s">
        <v>335</v>
      </c>
      <c r="C499" s="50">
        <v>40955.412499999999</v>
      </c>
      <c r="D499" s="9" t="s">
        <v>335</v>
      </c>
      <c r="E499" t="str">
        <f t="shared" si="10"/>
        <v>'9db1436'</v>
      </c>
      <c r="F499" s="9" t="s">
        <v>335</v>
      </c>
      <c r="G499" s="4">
        <v>15</v>
      </c>
      <c r="L499" s="58" t="s">
        <v>782</v>
      </c>
    </row>
    <row r="500" spans="1:12">
      <c r="A500">
        <v>27</v>
      </c>
      <c r="B500" s="9" t="s">
        <v>335</v>
      </c>
      <c r="C500" s="50">
        <v>40958.42291666667</v>
      </c>
      <c r="D500" s="9" t="s">
        <v>335</v>
      </c>
      <c r="E500" t="str">
        <f t="shared" si="10"/>
        <v>'d0c9ee6'</v>
      </c>
      <c r="F500" s="9" t="s">
        <v>335</v>
      </c>
      <c r="G500" s="4">
        <v>16</v>
      </c>
      <c r="L500" s="58" t="s">
        <v>656</v>
      </c>
    </row>
    <row r="501" spans="1:12">
      <c r="A501">
        <v>27</v>
      </c>
      <c r="B501" s="9" t="s">
        <v>335</v>
      </c>
      <c r="C501" s="50">
        <v>40966.38958333333</v>
      </c>
      <c r="D501" s="9" t="s">
        <v>335</v>
      </c>
      <c r="E501" t="str">
        <f t="shared" si="10"/>
        <v>'5bda9c1'</v>
      </c>
      <c r="F501" s="9" t="s">
        <v>335</v>
      </c>
      <c r="G501" s="4">
        <v>17</v>
      </c>
      <c r="L501" s="58" t="s">
        <v>44</v>
      </c>
    </row>
    <row r="502" spans="1:12">
      <c r="A502">
        <v>27</v>
      </c>
      <c r="B502" s="9" t="s">
        <v>335</v>
      </c>
      <c r="C502" s="50">
        <v>40967.851388888892</v>
      </c>
      <c r="D502" s="9" t="s">
        <v>335</v>
      </c>
      <c r="E502" t="str">
        <f t="shared" si="10"/>
        <v>'c690b1f'</v>
      </c>
      <c r="F502" s="9" t="s">
        <v>335</v>
      </c>
      <c r="G502" s="4">
        <v>18</v>
      </c>
      <c r="L502" s="58" t="s">
        <v>11</v>
      </c>
    </row>
    <row r="503" spans="1:12">
      <c r="A503">
        <v>27</v>
      </c>
      <c r="B503" s="9" t="s">
        <v>335</v>
      </c>
      <c r="C503" s="50">
        <v>40968.638888888891</v>
      </c>
      <c r="D503" s="9" t="s">
        <v>335</v>
      </c>
      <c r="E503" t="str">
        <f t="shared" si="10"/>
        <v>'0c1f8e2'</v>
      </c>
      <c r="F503" s="9" t="s">
        <v>335</v>
      </c>
      <c r="G503" s="4">
        <v>19</v>
      </c>
      <c r="L503" s="58" t="s">
        <v>236</v>
      </c>
    </row>
    <row r="504" spans="1:12">
      <c r="A504">
        <v>27</v>
      </c>
      <c r="B504" s="9" t="s">
        <v>335</v>
      </c>
      <c r="C504" s="50">
        <v>40969.923611111109</v>
      </c>
      <c r="D504" s="9" t="s">
        <v>335</v>
      </c>
      <c r="E504" t="str">
        <f t="shared" si="10"/>
        <v>'34e8117'</v>
      </c>
      <c r="F504" s="9" t="s">
        <v>335</v>
      </c>
      <c r="G504" s="4">
        <v>20</v>
      </c>
      <c r="L504" s="58" t="s">
        <v>90</v>
      </c>
    </row>
    <row r="505" spans="1:12">
      <c r="A505">
        <v>27</v>
      </c>
      <c r="B505" s="9" t="s">
        <v>335</v>
      </c>
      <c r="C505" s="50">
        <v>40968.785416666666</v>
      </c>
      <c r="D505" s="9" t="s">
        <v>335</v>
      </c>
      <c r="E505" t="str">
        <f t="shared" si="10"/>
        <v>'7bf8e8e'</v>
      </c>
      <c r="F505" s="9" t="s">
        <v>335</v>
      </c>
      <c r="G505" s="4">
        <v>21</v>
      </c>
      <c r="L505" s="58" t="s">
        <v>60</v>
      </c>
    </row>
    <row r="506" spans="1:12">
      <c r="A506">
        <v>27</v>
      </c>
      <c r="B506" s="9" t="s">
        <v>335</v>
      </c>
      <c r="C506" s="50">
        <v>40969.943055555559</v>
      </c>
      <c r="D506" s="9" t="s">
        <v>335</v>
      </c>
      <c r="E506" t="str">
        <f t="shared" si="10"/>
        <v>'5603f30'</v>
      </c>
      <c r="F506" s="9" t="s">
        <v>335</v>
      </c>
      <c r="G506" s="4">
        <v>22</v>
      </c>
      <c r="L506" s="58" t="s">
        <v>215</v>
      </c>
    </row>
    <row r="507" spans="1:12">
      <c r="A507">
        <v>27</v>
      </c>
      <c r="B507" s="9" t="s">
        <v>335</v>
      </c>
      <c r="C507" s="50">
        <v>40970.750694444447</v>
      </c>
      <c r="D507" s="9" t="s">
        <v>335</v>
      </c>
      <c r="E507" t="str">
        <f t="shared" si="10"/>
        <v>'0e70012'</v>
      </c>
      <c r="F507" s="9" t="s">
        <v>335</v>
      </c>
      <c r="G507" s="4">
        <v>23</v>
      </c>
      <c r="L507" s="58" t="s">
        <v>149</v>
      </c>
    </row>
    <row r="508" spans="1:12">
      <c r="A508">
        <v>27</v>
      </c>
      <c r="B508" s="9" t="s">
        <v>335</v>
      </c>
      <c r="C508" s="50">
        <v>40973.425694444442</v>
      </c>
      <c r="D508" s="9" t="s">
        <v>335</v>
      </c>
      <c r="E508" t="str">
        <f t="shared" si="10"/>
        <v>'0551c8f'</v>
      </c>
      <c r="F508" s="9" t="s">
        <v>335</v>
      </c>
      <c r="G508" s="4">
        <v>24</v>
      </c>
      <c r="L508" s="58" t="s">
        <v>69</v>
      </c>
    </row>
    <row r="509" spans="1:12">
      <c r="A509">
        <v>27</v>
      </c>
      <c r="B509" s="9" t="s">
        <v>335</v>
      </c>
      <c r="C509" s="50">
        <v>40973.679166666669</v>
      </c>
      <c r="D509" s="9" t="s">
        <v>335</v>
      </c>
      <c r="E509" t="str">
        <f t="shared" si="10"/>
        <v>'7d71f88'</v>
      </c>
      <c r="F509" s="9" t="s">
        <v>335</v>
      </c>
      <c r="G509" s="4">
        <v>25</v>
      </c>
      <c r="L509" s="58" t="s">
        <v>256</v>
      </c>
    </row>
    <row r="510" spans="1:12">
      <c r="A510">
        <v>27</v>
      </c>
      <c r="B510" s="9" t="s">
        <v>335</v>
      </c>
      <c r="C510" s="50">
        <v>40973.811805555553</v>
      </c>
      <c r="D510" s="9" t="s">
        <v>335</v>
      </c>
      <c r="E510" t="str">
        <f t="shared" si="10"/>
        <v>'48fc05d'</v>
      </c>
      <c r="F510" s="9" t="s">
        <v>335</v>
      </c>
      <c r="G510" s="4">
        <v>26</v>
      </c>
      <c r="L510" s="58" t="s">
        <v>120</v>
      </c>
    </row>
    <row r="511" spans="1:12">
      <c r="A511">
        <v>27</v>
      </c>
      <c r="B511" s="9" t="s">
        <v>335</v>
      </c>
      <c r="C511" s="50">
        <v>40977.926388888889</v>
      </c>
      <c r="D511" s="9" t="s">
        <v>335</v>
      </c>
      <c r="E511" t="str">
        <f t="shared" si="10"/>
        <v>'f5e2f19'</v>
      </c>
      <c r="F511" s="9" t="s">
        <v>335</v>
      </c>
      <c r="G511" s="4">
        <v>27</v>
      </c>
      <c r="L511" s="58" t="s">
        <v>1</v>
      </c>
    </row>
    <row r="512" spans="1:12">
      <c r="A512">
        <v>27</v>
      </c>
      <c r="B512" s="9" t="s">
        <v>335</v>
      </c>
      <c r="C512" s="50">
        <v>40978.484027777777</v>
      </c>
      <c r="D512" s="9" t="s">
        <v>335</v>
      </c>
      <c r="E512" t="str">
        <f t="shared" si="10"/>
        <v>'8f39483'</v>
      </c>
      <c r="F512" s="9" t="s">
        <v>335</v>
      </c>
      <c r="G512" s="4">
        <v>28</v>
      </c>
      <c r="L512" s="58" t="s">
        <v>248</v>
      </c>
    </row>
    <row r="513" spans="1:12">
      <c r="A513">
        <v>27</v>
      </c>
      <c r="B513" s="9" t="s">
        <v>335</v>
      </c>
      <c r="C513" s="50">
        <v>40983.663194444445</v>
      </c>
      <c r="D513" s="9" t="s">
        <v>335</v>
      </c>
      <c r="E513" t="str">
        <f t="shared" si="10"/>
        <v>'f65c348'</v>
      </c>
      <c r="F513" s="9" t="s">
        <v>335</v>
      </c>
      <c r="G513" s="4">
        <v>29</v>
      </c>
      <c r="L513" s="58" t="s">
        <v>269</v>
      </c>
    </row>
    <row r="514" spans="1:12">
      <c r="A514">
        <v>27</v>
      </c>
      <c r="B514" s="9" t="s">
        <v>335</v>
      </c>
      <c r="C514" s="50">
        <v>40987.399305555555</v>
      </c>
      <c r="D514" s="9" t="s">
        <v>335</v>
      </c>
      <c r="E514" t="str">
        <f t="shared" si="10"/>
        <v>'8f17988'</v>
      </c>
      <c r="F514" s="9" t="s">
        <v>335</v>
      </c>
      <c r="G514" s="4">
        <v>30</v>
      </c>
      <c r="L514" s="58" t="s">
        <v>76</v>
      </c>
    </row>
    <row r="515" spans="1:12">
      <c r="A515">
        <v>27</v>
      </c>
      <c r="B515" s="9" t="s">
        <v>335</v>
      </c>
      <c r="C515" s="50">
        <v>40990.456250000003</v>
      </c>
      <c r="D515" s="9" t="s">
        <v>335</v>
      </c>
      <c r="E515" t="str">
        <f t="shared" si="10"/>
        <v>'5b5743c'</v>
      </c>
      <c r="F515" s="9" t="s">
        <v>335</v>
      </c>
      <c r="G515" s="4">
        <v>31</v>
      </c>
      <c r="L515" s="58" t="s">
        <v>195</v>
      </c>
    </row>
    <row r="516" spans="1:12">
      <c r="A516">
        <v>27</v>
      </c>
      <c r="B516" s="9" t="s">
        <v>335</v>
      </c>
      <c r="C516" s="50">
        <v>40994.488888888889</v>
      </c>
      <c r="D516" s="9" t="s">
        <v>335</v>
      </c>
      <c r="E516" t="str">
        <f t="shared" si="10"/>
        <v>'bb258d9'</v>
      </c>
      <c r="F516" s="9" t="s">
        <v>335</v>
      </c>
      <c r="G516" s="4">
        <v>32</v>
      </c>
      <c r="L516" s="58" t="s">
        <v>272</v>
      </c>
    </row>
    <row r="517" spans="1:12">
      <c r="A517">
        <v>27</v>
      </c>
      <c r="B517" s="9" t="s">
        <v>335</v>
      </c>
      <c r="C517" s="50">
        <v>40994.488888888889</v>
      </c>
      <c r="D517" s="9" t="s">
        <v>335</v>
      </c>
      <c r="E517" t="str">
        <f t="shared" si="10"/>
        <v>'4c53f02'</v>
      </c>
      <c r="F517" s="9" t="s">
        <v>335</v>
      </c>
      <c r="G517" s="4">
        <v>33</v>
      </c>
      <c r="L517" s="58" t="s">
        <v>143</v>
      </c>
    </row>
    <row r="518" spans="1:12">
      <c r="A518">
        <v>27</v>
      </c>
      <c r="B518" s="9" t="s">
        <v>335</v>
      </c>
      <c r="C518" s="50">
        <v>40995.789583333331</v>
      </c>
      <c r="D518" s="9" t="s">
        <v>335</v>
      </c>
      <c r="E518" t="str">
        <f t="shared" si="10"/>
        <v>'5a2d5eb'</v>
      </c>
      <c r="F518" s="9" t="s">
        <v>335</v>
      </c>
      <c r="G518" s="4">
        <v>34</v>
      </c>
      <c r="L518" s="58" t="s">
        <v>184</v>
      </c>
    </row>
    <row r="519" spans="1:12">
      <c r="A519">
        <v>27</v>
      </c>
      <c r="B519" s="9" t="s">
        <v>335</v>
      </c>
      <c r="C519" s="50">
        <v>41000.388888888891</v>
      </c>
      <c r="D519" s="9" t="s">
        <v>335</v>
      </c>
      <c r="E519" t="str">
        <f t="shared" si="10"/>
        <v>'85e1330'</v>
      </c>
      <c r="F519" s="9" t="s">
        <v>335</v>
      </c>
      <c r="G519" s="4">
        <v>35</v>
      </c>
      <c r="L519" s="58" t="s">
        <v>19</v>
      </c>
    </row>
    <row r="520" spans="1:12">
      <c r="A520">
        <v>27</v>
      </c>
      <c r="B520" s="9" t="s">
        <v>335</v>
      </c>
      <c r="C520" s="50">
        <v>41001.488888888889</v>
      </c>
      <c r="D520" s="9" t="s">
        <v>335</v>
      </c>
      <c r="E520" t="str">
        <f t="shared" si="10"/>
        <v>'0b486b9'</v>
      </c>
      <c r="F520" s="9" t="s">
        <v>335</v>
      </c>
      <c r="G520" s="4">
        <v>36</v>
      </c>
      <c r="L520" s="58" t="s">
        <v>13</v>
      </c>
    </row>
    <row r="521" spans="1:12">
      <c r="A521">
        <v>27</v>
      </c>
      <c r="B521" s="9" t="s">
        <v>335</v>
      </c>
      <c r="C521" s="50">
        <v>40994.454861111109</v>
      </c>
      <c r="D521" s="9" t="s">
        <v>335</v>
      </c>
      <c r="E521" t="str">
        <f t="shared" si="10"/>
        <v>'9dd770a'</v>
      </c>
      <c r="F521" s="9" t="s">
        <v>335</v>
      </c>
      <c r="G521" s="4">
        <v>37</v>
      </c>
      <c r="L521" s="58" t="s">
        <v>22</v>
      </c>
    </row>
    <row r="522" spans="1:12">
      <c r="A522">
        <v>27</v>
      </c>
      <c r="B522" s="9" t="s">
        <v>335</v>
      </c>
      <c r="C522" s="50">
        <v>41005.688888888886</v>
      </c>
      <c r="D522" s="9" t="s">
        <v>335</v>
      </c>
      <c r="E522" t="str">
        <f t="shared" si="10"/>
        <v>'5432576'</v>
      </c>
      <c r="F522" s="9" t="s">
        <v>335</v>
      </c>
      <c r="G522" s="4">
        <v>38</v>
      </c>
      <c r="L522" s="58" t="s">
        <v>1944</v>
      </c>
    </row>
    <row r="523" spans="1:12">
      <c r="A523">
        <v>27</v>
      </c>
      <c r="B523" s="9" t="s">
        <v>335</v>
      </c>
      <c r="C523" s="50">
        <v>41008.398611111108</v>
      </c>
      <c r="D523" s="9" t="s">
        <v>335</v>
      </c>
      <c r="E523" t="str">
        <f t="shared" si="10"/>
        <v>'e4244cc'</v>
      </c>
      <c r="F523" s="9" t="s">
        <v>335</v>
      </c>
      <c r="G523" s="4">
        <v>39</v>
      </c>
      <c r="L523" s="58" t="s">
        <v>126</v>
      </c>
    </row>
    <row r="524" spans="1:12">
      <c r="A524">
        <v>27</v>
      </c>
      <c r="B524" s="9" t="s">
        <v>335</v>
      </c>
      <c r="C524" s="50">
        <v>41013.315972222219</v>
      </c>
      <c r="D524" s="9" t="s">
        <v>335</v>
      </c>
      <c r="E524" t="str">
        <f t="shared" si="10"/>
        <v>'0f08dc0'</v>
      </c>
      <c r="F524" s="9" t="s">
        <v>335</v>
      </c>
      <c r="G524" s="4">
        <v>40</v>
      </c>
      <c r="L524" s="58" t="s">
        <v>186</v>
      </c>
    </row>
    <row r="525" spans="1:12">
      <c r="A525">
        <v>27</v>
      </c>
      <c r="B525" s="9" t="s">
        <v>335</v>
      </c>
      <c r="C525" s="50">
        <v>41013.918055555558</v>
      </c>
      <c r="D525" s="9" t="s">
        <v>335</v>
      </c>
      <c r="E525" t="str">
        <f t="shared" si="10"/>
        <v>'b5b73b8'</v>
      </c>
      <c r="F525" s="9" t="s">
        <v>335</v>
      </c>
      <c r="G525" s="4">
        <v>41</v>
      </c>
      <c r="L525" s="58" t="s">
        <v>51</v>
      </c>
    </row>
    <row r="526" spans="1:12">
      <c r="A526">
        <v>27</v>
      </c>
      <c r="B526" s="9" t="s">
        <v>335</v>
      </c>
      <c r="C526" s="50">
        <v>41015.884722222225</v>
      </c>
      <c r="D526" s="9" t="s">
        <v>335</v>
      </c>
      <c r="E526" t="str">
        <f t="shared" si="10"/>
        <v>'c15ce7d'</v>
      </c>
      <c r="F526" s="9" t="s">
        <v>335</v>
      </c>
      <c r="G526" s="4">
        <v>42</v>
      </c>
      <c r="L526" s="58" t="s">
        <v>222</v>
      </c>
    </row>
    <row r="527" spans="1:12">
      <c r="A527">
        <v>27</v>
      </c>
      <c r="B527" s="9" t="s">
        <v>335</v>
      </c>
      <c r="C527" s="50">
        <v>41016.488888888889</v>
      </c>
      <c r="D527" s="9" t="s">
        <v>335</v>
      </c>
      <c r="E527" t="str">
        <f t="shared" si="10"/>
        <v>'2697474'</v>
      </c>
      <c r="F527" s="9" t="s">
        <v>335</v>
      </c>
      <c r="G527" s="4">
        <v>43</v>
      </c>
      <c r="L527" s="58" t="s">
        <v>1945</v>
      </c>
    </row>
    <row r="528" spans="1:12">
      <c r="A528">
        <v>27</v>
      </c>
      <c r="B528" s="9" t="s">
        <v>335</v>
      </c>
      <c r="C528" s="50">
        <v>41018.561111111114</v>
      </c>
      <c r="D528" s="9" t="s">
        <v>335</v>
      </c>
      <c r="E528" t="str">
        <f t="shared" si="10"/>
        <v>'d98926a'</v>
      </c>
      <c r="F528" s="9" t="s">
        <v>335</v>
      </c>
      <c r="G528" s="4">
        <v>44</v>
      </c>
      <c r="L528" s="58" t="s">
        <v>32</v>
      </c>
    </row>
    <row r="529" spans="1:12">
      <c r="A529">
        <v>27</v>
      </c>
      <c r="B529" s="9" t="s">
        <v>335</v>
      </c>
      <c r="C529" s="50">
        <v>41022.647222222222</v>
      </c>
      <c r="D529" s="9" t="s">
        <v>335</v>
      </c>
      <c r="E529" t="str">
        <f t="shared" si="10"/>
        <v>'6f841d4'</v>
      </c>
      <c r="F529" s="9" t="s">
        <v>335</v>
      </c>
      <c r="G529" s="4">
        <v>45</v>
      </c>
      <c r="L529" s="58" t="s">
        <v>58</v>
      </c>
    </row>
    <row r="530" spans="1:12">
      <c r="A530">
        <v>27</v>
      </c>
      <c r="B530" s="9" t="s">
        <v>335</v>
      </c>
      <c r="C530" s="50">
        <v>41024.42291666667</v>
      </c>
      <c r="D530" s="9" t="s">
        <v>335</v>
      </c>
      <c r="E530" t="str">
        <f t="shared" si="10"/>
        <v>'6cc90dd'</v>
      </c>
      <c r="F530" s="9" t="s">
        <v>335</v>
      </c>
      <c r="G530" s="4">
        <v>46</v>
      </c>
      <c r="L530" s="58" t="s">
        <v>168</v>
      </c>
    </row>
    <row r="531" spans="1:12">
      <c r="A531">
        <v>27</v>
      </c>
      <c r="B531" s="9" t="s">
        <v>335</v>
      </c>
      <c r="C531" s="50">
        <v>41018.743055555555</v>
      </c>
      <c r="D531" s="9" t="s">
        <v>335</v>
      </c>
      <c r="E531" t="str">
        <f t="shared" si="10"/>
        <v>'58267c4'</v>
      </c>
      <c r="F531" s="9" t="s">
        <v>335</v>
      </c>
      <c r="G531" s="4">
        <v>47</v>
      </c>
      <c r="L531" s="58" t="s">
        <v>218</v>
      </c>
    </row>
    <row r="532" spans="1:12">
      <c r="A532">
        <v>27</v>
      </c>
      <c r="B532" s="9" t="s">
        <v>335</v>
      </c>
      <c r="C532" s="50">
        <v>41024.956250000003</v>
      </c>
      <c r="D532" s="9" t="s">
        <v>335</v>
      </c>
      <c r="E532" t="str">
        <f t="shared" si="10"/>
        <v>'444ab61'</v>
      </c>
      <c r="F532" s="9" t="s">
        <v>335</v>
      </c>
      <c r="G532" s="4">
        <v>48</v>
      </c>
      <c r="L532" s="58" t="s">
        <v>246</v>
      </c>
    </row>
    <row r="533" spans="1:12">
      <c r="A533">
        <v>27</v>
      </c>
      <c r="B533" s="9" t="s">
        <v>335</v>
      </c>
      <c r="C533" s="50">
        <v>41026.67291666667</v>
      </c>
      <c r="D533" s="9" t="s">
        <v>335</v>
      </c>
      <c r="E533" t="str">
        <f t="shared" si="10"/>
        <v>'3b5e9f9'</v>
      </c>
      <c r="F533" s="9" t="s">
        <v>335</v>
      </c>
      <c r="G533" s="4">
        <v>49</v>
      </c>
      <c r="L533" s="58" t="s">
        <v>242</v>
      </c>
    </row>
    <row r="534" spans="1:12">
      <c r="A534">
        <v>27</v>
      </c>
      <c r="B534" s="9" t="s">
        <v>335</v>
      </c>
      <c r="C534" s="50">
        <v>41029.450694444444</v>
      </c>
      <c r="D534" s="9" t="s">
        <v>335</v>
      </c>
      <c r="E534" t="str">
        <f t="shared" si="10"/>
        <v>'57c788a'</v>
      </c>
      <c r="F534" s="9" t="s">
        <v>335</v>
      </c>
      <c r="G534" s="4">
        <v>50</v>
      </c>
      <c r="L534" s="58" t="s">
        <v>117</v>
      </c>
    </row>
    <row r="535" spans="1:12">
      <c r="A535">
        <v>27</v>
      </c>
      <c r="B535" s="9" t="s">
        <v>335</v>
      </c>
      <c r="C535" s="50">
        <v>41033.542361111111</v>
      </c>
      <c r="D535" s="9" t="s">
        <v>335</v>
      </c>
      <c r="E535" t="str">
        <f t="shared" ref="E535:E598" si="11">CONCATENATE("'",L535,"'")</f>
        <v>'7a0bd97'</v>
      </c>
      <c r="F535" s="9" t="s">
        <v>335</v>
      </c>
      <c r="G535" s="4">
        <v>51</v>
      </c>
      <c r="L535" s="58" t="s">
        <v>87</v>
      </c>
    </row>
    <row r="536" spans="1:12">
      <c r="A536">
        <v>27</v>
      </c>
      <c r="B536" s="9" t="s">
        <v>335</v>
      </c>
      <c r="C536" s="50">
        <v>41036.455555555556</v>
      </c>
      <c r="D536" s="9" t="s">
        <v>335</v>
      </c>
      <c r="E536" t="str">
        <f t="shared" si="11"/>
        <v>'b106fe4'</v>
      </c>
      <c r="F536" s="9" t="s">
        <v>335</v>
      </c>
      <c r="G536" s="4">
        <v>52</v>
      </c>
      <c r="L536" s="58" t="s">
        <v>29</v>
      </c>
    </row>
    <row r="537" spans="1:12">
      <c r="A537">
        <v>27</v>
      </c>
      <c r="B537" s="9" t="s">
        <v>335</v>
      </c>
      <c r="C537" s="50">
        <v>41036.570833333331</v>
      </c>
      <c r="D537" s="9" t="s">
        <v>335</v>
      </c>
      <c r="E537" t="str">
        <f t="shared" si="11"/>
        <v>'3cc8b21'</v>
      </c>
      <c r="F537" s="9" t="s">
        <v>335</v>
      </c>
      <c r="G537" s="4">
        <v>53</v>
      </c>
      <c r="L537" s="58" t="s">
        <v>64</v>
      </c>
    </row>
    <row r="538" spans="1:12">
      <c r="A538">
        <v>27</v>
      </c>
      <c r="B538" s="9" t="s">
        <v>335</v>
      </c>
      <c r="C538" s="50">
        <v>41036.570833333331</v>
      </c>
      <c r="D538" s="9" t="s">
        <v>335</v>
      </c>
      <c r="E538" t="str">
        <f t="shared" si="11"/>
        <v>'aa7bfd9'</v>
      </c>
      <c r="F538" s="9" t="s">
        <v>335</v>
      </c>
      <c r="G538" s="4">
        <v>54</v>
      </c>
      <c r="L538" s="58" t="s">
        <v>154</v>
      </c>
    </row>
    <row r="539" spans="1:12">
      <c r="A539">
        <v>27</v>
      </c>
      <c r="B539" s="9" t="s">
        <v>335</v>
      </c>
      <c r="C539" s="50">
        <v>41036.745833333334</v>
      </c>
      <c r="D539" s="9" t="s">
        <v>335</v>
      </c>
      <c r="E539" t="str">
        <f t="shared" si="11"/>
        <v>'7b8bbb7'</v>
      </c>
      <c r="F539" s="9" t="s">
        <v>335</v>
      </c>
      <c r="G539" s="4">
        <v>55</v>
      </c>
      <c r="L539" s="58" t="s">
        <v>157</v>
      </c>
    </row>
    <row r="540" spans="1:12">
      <c r="A540">
        <v>27</v>
      </c>
      <c r="B540" s="9" t="s">
        <v>335</v>
      </c>
      <c r="C540" s="50">
        <v>41038.575694444444</v>
      </c>
      <c r="D540" s="9" t="s">
        <v>335</v>
      </c>
      <c r="E540" t="str">
        <f t="shared" si="11"/>
        <v>'f9d8efb'</v>
      </c>
      <c r="F540" s="9" t="s">
        <v>335</v>
      </c>
      <c r="G540" s="4">
        <v>56</v>
      </c>
      <c r="L540" s="58" t="s">
        <v>233</v>
      </c>
    </row>
    <row r="541" spans="1:12">
      <c r="A541">
        <v>27</v>
      </c>
      <c r="B541" s="9" t="s">
        <v>335</v>
      </c>
      <c r="C541" s="50">
        <v>41043.48333333333</v>
      </c>
      <c r="D541" s="9" t="s">
        <v>335</v>
      </c>
      <c r="E541" t="str">
        <f t="shared" si="11"/>
        <v>'e87967c'</v>
      </c>
      <c r="F541" s="9" t="s">
        <v>335</v>
      </c>
      <c r="G541" s="4">
        <v>57</v>
      </c>
      <c r="L541" s="58" t="s">
        <v>17</v>
      </c>
    </row>
    <row r="542" spans="1:12">
      <c r="A542">
        <v>27</v>
      </c>
      <c r="B542" s="9" t="s">
        <v>335</v>
      </c>
      <c r="C542" s="50">
        <v>41043.793055555558</v>
      </c>
      <c r="D542" s="9" t="s">
        <v>335</v>
      </c>
      <c r="E542" t="str">
        <f t="shared" si="11"/>
        <v>'f19ee83'</v>
      </c>
      <c r="F542" s="9" t="s">
        <v>335</v>
      </c>
      <c r="G542" s="4">
        <v>58</v>
      </c>
      <c r="L542" s="58" t="s">
        <v>115</v>
      </c>
    </row>
    <row r="543" spans="1:12">
      <c r="A543">
        <v>27</v>
      </c>
      <c r="B543" s="9" t="s">
        <v>335</v>
      </c>
      <c r="C543" s="50">
        <v>41044.958333333336</v>
      </c>
      <c r="D543" s="9" t="s">
        <v>335</v>
      </c>
      <c r="E543" t="str">
        <f t="shared" si="11"/>
        <v>'124706a'</v>
      </c>
      <c r="F543" s="9" t="s">
        <v>335</v>
      </c>
      <c r="G543" s="4">
        <v>59</v>
      </c>
      <c r="L543" s="58" t="s">
        <v>135</v>
      </c>
    </row>
    <row r="544" spans="1:12">
      <c r="A544">
        <v>27</v>
      </c>
      <c r="B544" s="9" t="s">
        <v>335</v>
      </c>
      <c r="C544" s="50">
        <v>41047.689583333333</v>
      </c>
      <c r="D544" s="9" t="s">
        <v>335</v>
      </c>
      <c r="E544" t="str">
        <f t="shared" si="11"/>
        <v>'c86aa67'</v>
      </c>
      <c r="F544" s="9" t="s">
        <v>335</v>
      </c>
      <c r="G544" s="4">
        <v>60</v>
      </c>
      <c r="L544" s="58" t="s">
        <v>201</v>
      </c>
    </row>
    <row r="545" spans="1:12">
      <c r="A545">
        <v>27</v>
      </c>
      <c r="B545" s="9" t="s">
        <v>335</v>
      </c>
      <c r="C545" s="50">
        <v>41050.595833333333</v>
      </c>
      <c r="D545" s="9" t="s">
        <v>335</v>
      </c>
      <c r="E545" t="str">
        <f t="shared" si="11"/>
        <v>'1521986'</v>
      </c>
      <c r="F545" s="9" t="s">
        <v>335</v>
      </c>
      <c r="G545" s="4">
        <v>61</v>
      </c>
      <c r="L545" s="58" t="s">
        <v>1948</v>
      </c>
    </row>
    <row r="546" spans="1:12">
      <c r="A546">
        <v>27</v>
      </c>
      <c r="B546" s="9" t="s">
        <v>335</v>
      </c>
      <c r="C546" s="50">
        <v>41050.745833333334</v>
      </c>
      <c r="D546" s="9" t="s">
        <v>335</v>
      </c>
      <c r="E546" t="str">
        <f t="shared" si="11"/>
        <v>'905a3c9'</v>
      </c>
      <c r="F546" s="9" t="s">
        <v>335</v>
      </c>
      <c r="G546" s="4">
        <v>62</v>
      </c>
      <c r="L546" s="58" t="s">
        <v>160</v>
      </c>
    </row>
    <row r="547" spans="1:12">
      <c r="A547">
        <v>27</v>
      </c>
      <c r="B547" s="9" t="s">
        <v>335</v>
      </c>
      <c r="C547" s="50">
        <v>41050.779166666667</v>
      </c>
      <c r="D547" s="9" t="s">
        <v>335</v>
      </c>
      <c r="E547" t="str">
        <f t="shared" si="11"/>
        <v>'fe67909'</v>
      </c>
      <c r="F547" s="9" t="s">
        <v>335</v>
      </c>
      <c r="G547" s="4">
        <v>63</v>
      </c>
      <c r="L547" s="58" t="s">
        <v>230</v>
      </c>
    </row>
    <row r="548" spans="1:12">
      <c r="A548">
        <v>27</v>
      </c>
      <c r="B548" s="9" t="s">
        <v>335</v>
      </c>
      <c r="C548" s="50">
        <v>41051.689583333333</v>
      </c>
      <c r="D548" s="9" t="s">
        <v>335</v>
      </c>
      <c r="E548" t="str">
        <f t="shared" si="11"/>
        <v>'1589ec4'</v>
      </c>
      <c r="F548" s="9" t="s">
        <v>335</v>
      </c>
      <c r="G548" s="4">
        <v>64</v>
      </c>
      <c r="L548" s="58" t="s">
        <v>171</v>
      </c>
    </row>
    <row r="549" spans="1:12">
      <c r="A549">
        <v>27</v>
      </c>
      <c r="B549" s="9" t="s">
        <v>335</v>
      </c>
      <c r="C549" s="50">
        <v>41051.779861111114</v>
      </c>
      <c r="D549" s="9" t="s">
        <v>335</v>
      </c>
      <c r="E549" t="str">
        <f t="shared" si="11"/>
        <v>'95c1728'</v>
      </c>
      <c r="F549" s="9" t="s">
        <v>335</v>
      </c>
      <c r="G549" s="4">
        <v>65</v>
      </c>
      <c r="L549" s="58" t="s">
        <v>177</v>
      </c>
    </row>
    <row r="550" spans="1:12">
      <c r="A550">
        <v>27</v>
      </c>
      <c r="B550" s="9" t="s">
        <v>335</v>
      </c>
      <c r="C550" s="50">
        <v>41052.84097222222</v>
      </c>
      <c r="D550" s="9" t="s">
        <v>335</v>
      </c>
      <c r="E550" t="str">
        <f t="shared" si="11"/>
        <v>'18963ee'</v>
      </c>
      <c r="F550" s="9" t="s">
        <v>335</v>
      </c>
      <c r="G550" s="4">
        <v>66</v>
      </c>
      <c r="L550" s="58" t="s">
        <v>133</v>
      </c>
    </row>
    <row r="551" spans="1:12">
      <c r="A551">
        <v>27</v>
      </c>
      <c r="B551" s="9" t="s">
        <v>335</v>
      </c>
      <c r="C551" s="50">
        <v>41053.832638888889</v>
      </c>
      <c r="D551" s="9" t="s">
        <v>335</v>
      </c>
      <c r="E551" t="str">
        <f t="shared" si="11"/>
        <v>'10c1eb3'</v>
      </c>
      <c r="F551" s="9" t="s">
        <v>335</v>
      </c>
      <c r="G551" s="4">
        <v>67</v>
      </c>
      <c r="L551" s="58" t="s">
        <v>213</v>
      </c>
    </row>
    <row r="552" spans="1:12">
      <c r="A552">
        <v>27</v>
      </c>
      <c r="B552" s="9" t="s">
        <v>335</v>
      </c>
      <c r="C552" s="50">
        <v>41057.824999999997</v>
      </c>
      <c r="D552" s="9" t="s">
        <v>335</v>
      </c>
      <c r="E552" t="str">
        <f t="shared" si="11"/>
        <v>'e6b31e7'</v>
      </c>
      <c r="F552" s="9" t="s">
        <v>335</v>
      </c>
      <c r="G552" s="4">
        <v>68</v>
      </c>
      <c r="L552" s="58" t="s">
        <v>107</v>
      </c>
    </row>
    <row r="553" spans="1:12">
      <c r="A553">
        <v>27</v>
      </c>
      <c r="B553" s="9" t="s">
        <v>335</v>
      </c>
      <c r="C553" s="50">
        <v>41058.488194444442</v>
      </c>
      <c r="D553" s="9" t="s">
        <v>335</v>
      </c>
      <c r="E553" t="str">
        <f t="shared" si="11"/>
        <v>'65c659d'</v>
      </c>
      <c r="F553" s="9" t="s">
        <v>335</v>
      </c>
      <c r="G553" s="4">
        <v>69</v>
      </c>
      <c r="L553" s="58" t="s">
        <v>38</v>
      </c>
    </row>
    <row r="554" spans="1:12">
      <c r="A554">
        <v>27</v>
      </c>
      <c r="B554" s="9" t="s">
        <v>335</v>
      </c>
      <c r="C554" s="50">
        <v>41058.743055555555</v>
      </c>
      <c r="D554" s="9" t="s">
        <v>335</v>
      </c>
      <c r="E554" t="str">
        <f t="shared" si="11"/>
        <v>'12a2a3a'</v>
      </c>
      <c r="F554" s="9" t="s">
        <v>335</v>
      </c>
      <c r="G554" s="4">
        <v>70</v>
      </c>
      <c r="L554" s="58" t="s">
        <v>275</v>
      </c>
    </row>
    <row r="555" spans="1:12">
      <c r="A555">
        <v>27</v>
      </c>
      <c r="B555" s="9" t="s">
        <v>335</v>
      </c>
      <c r="C555" s="50">
        <v>41059.59375</v>
      </c>
      <c r="D555" s="9" t="s">
        <v>335</v>
      </c>
      <c r="E555" t="str">
        <f t="shared" si="11"/>
        <v>'4672995'</v>
      </c>
      <c r="F555" s="9" t="s">
        <v>335</v>
      </c>
      <c r="G555" s="4">
        <v>71</v>
      </c>
      <c r="L555" s="58" t="s">
        <v>1949</v>
      </c>
    </row>
    <row r="556" spans="1:12">
      <c r="A556">
        <v>27</v>
      </c>
      <c r="B556" s="9" t="s">
        <v>335</v>
      </c>
      <c r="C556" s="50">
        <v>41059.742361111108</v>
      </c>
      <c r="D556" s="9" t="s">
        <v>335</v>
      </c>
      <c r="E556" t="str">
        <f t="shared" si="11"/>
        <v>'fe0c718'</v>
      </c>
      <c r="F556" s="9" t="s">
        <v>335</v>
      </c>
      <c r="G556" s="4">
        <v>72</v>
      </c>
      <c r="L556" s="58" t="s">
        <v>84</v>
      </c>
    </row>
    <row r="557" spans="1:12">
      <c r="A557">
        <v>27</v>
      </c>
      <c r="B557" s="9" t="s">
        <v>335</v>
      </c>
      <c r="C557" s="50">
        <v>41064.474999999999</v>
      </c>
      <c r="D557" s="9" t="s">
        <v>335</v>
      </c>
      <c r="E557" t="str">
        <f t="shared" si="11"/>
        <v>'0e12fe4'</v>
      </c>
      <c r="F557" s="9" t="s">
        <v>335</v>
      </c>
      <c r="G557" s="4">
        <v>73</v>
      </c>
      <c r="L557" s="58" t="s">
        <v>130</v>
      </c>
    </row>
    <row r="558" spans="1:12">
      <c r="A558">
        <v>27</v>
      </c>
      <c r="B558" s="9" t="s">
        <v>335</v>
      </c>
      <c r="C558" s="50">
        <v>41064.615972222222</v>
      </c>
      <c r="D558" s="9" t="s">
        <v>335</v>
      </c>
      <c r="E558" t="str">
        <f t="shared" si="11"/>
        <v>'0dfb3ee'</v>
      </c>
      <c r="F558" s="9" t="s">
        <v>335</v>
      </c>
      <c r="G558" s="4">
        <v>74</v>
      </c>
      <c r="L558" s="58" t="s">
        <v>228</v>
      </c>
    </row>
    <row r="559" spans="1:12">
      <c r="A559">
        <v>27</v>
      </c>
      <c r="B559" s="9" t="s">
        <v>335</v>
      </c>
      <c r="C559" s="50">
        <v>41064.902777777781</v>
      </c>
      <c r="D559" s="9" t="s">
        <v>335</v>
      </c>
      <c r="E559" t="str">
        <f t="shared" si="11"/>
        <v>'0032c50'</v>
      </c>
      <c r="F559" s="9" t="s">
        <v>335</v>
      </c>
      <c r="G559" s="4">
        <v>75</v>
      </c>
      <c r="L559" s="58" t="s">
        <v>93</v>
      </c>
    </row>
    <row r="560" spans="1:12">
      <c r="A560">
        <v>27</v>
      </c>
      <c r="B560" s="9" t="s">
        <v>335</v>
      </c>
      <c r="C560" s="50">
        <v>41065.722222222219</v>
      </c>
      <c r="D560" s="9" t="s">
        <v>335</v>
      </c>
      <c r="E560" t="str">
        <f t="shared" si="11"/>
        <v>'99b11d0'</v>
      </c>
      <c r="F560" s="9" t="s">
        <v>335</v>
      </c>
      <c r="G560" s="4">
        <v>76</v>
      </c>
      <c r="L560" s="58" t="s">
        <v>82</v>
      </c>
    </row>
    <row r="561" spans="1:12">
      <c r="A561">
        <v>27</v>
      </c>
      <c r="B561" s="9" t="s">
        <v>335</v>
      </c>
      <c r="C561" s="50">
        <v>41065.76458333333</v>
      </c>
      <c r="D561" s="9" t="s">
        <v>335</v>
      </c>
      <c r="E561" t="str">
        <f t="shared" si="11"/>
        <v>'d3f233d'</v>
      </c>
      <c r="F561" s="9" t="s">
        <v>335</v>
      </c>
      <c r="G561" s="4">
        <v>77</v>
      </c>
      <c r="L561" s="58" t="s">
        <v>54</v>
      </c>
    </row>
    <row r="562" spans="1:12">
      <c r="A562">
        <v>27</v>
      </c>
      <c r="B562" s="9" t="s">
        <v>335</v>
      </c>
      <c r="C562" s="50">
        <v>41069.53125</v>
      </c>
      <c r="D562" s="9" t="s">
        <v>335</v>
      </c>
      <c r="E562" t="str">
        <f t="shared" si="11"/>
        <v>'4ec7ebf'</v>
      </c>
      <c r="F562" s="9" t="s">
        <v>335</v>
      </c>
      <c r="G562" s="4">
        <v>78</v>
      </c>
      <c r="L562" s="58" t="s">
        <v>174</v>
      </c>
    </row>
    <row r="563" spans="1:12">
      <c r="A563">
        <v>27</v>
      </c>
      <c r="B563" s="9" t="s">
        <v>335</v>
      </c>
      <c r="C563" s="50">
        <v>41071.44027777778</v>
      </c>
      <c r="D563" s="9" t="s">
        <v>335</v>
      </c>
      <c r="E563" t="str">
        <f t="shared" si="11"/>
        <v>'dea9588'</v>
      </c>
      <c r="F563" s="9" t="s">
        <v>335</v>
      </c>
      <c r="G563" s="4">
        <v>79</v>
      </c>
      <c r="L563" s="58" t="s">
        <v>101</v>
      </c>
    </row>
    <row r="564" spans="1:12">
      <c r="A564">
        <v>27</v>
      </c>
      <c r="B564" s="9" t="s">
        <v>335</v>
      </c>
      <c r="C564" s="50">
        <v>41071.495833333334</v>
      </c>
      <c r="D564" s="9" t="s">
        <v>335</v>
      </c>
      <c r="E564" t="str">
        <f t="shared" si="11"/>
        <v>'5d78f3c'</v>
      </c>
      <c r="F564" s="9" t="s">
        <v>335</v>
      </c>
      <c r="G564" s="4">
        <v>80</v>
      </c>
      <c r="L564" s="58" t="s">
        <v>7</v>
      </c>
    </row>
    <row r="565" spans="1:12">
      <c r="A565">
        <v>27</v>
      </c>
      <c r="B565" s="9" t="s">
        <v>335</v>
      </c>
      <c r="C565" s="50">
        <v>41071.746527777781</v>
      </c>
      <c r="D565" s="9" t="s">
        <v>335</v>
      </c>
      <c r="E565" t="str">
        <f t="shared" si="11"/>
        <v>'3445fe1'</v>
      </c>
      <c r="F565" s="9" t="s">
        <v>335</v>
      </c>
      <c r="G565" s="4">
        <v>81</v>
      </c>
      <c r="L565" s="58" t="s">
        <v>251</v>
      </c>
    </row>
    <row r="566" spans="1:12">
      <c r="A566">
        <v>27</v>
      </c>
      <c r="B566" s="9" t="s">
        <v>335</v>
      </c>
      <c r="C566" s="50">
        <v>41071.44027777778</v>
      </c>
      <c r="D566" s="9" t="s">
        <v>335</v>
      </c>
      <c r="E566" t="str">
        <f t="shared" si="11"/>
        <v>'3427f2c'</v>
      </c>
      <c r="F566" s="9" t="s">
        <v>335</v>
      </c>
      <c r="G566" s="4">
        <v>82</v>
      </c>
      <c r="L566" s="58" t="s">
        <v>206</v>
      </c>
    </row>
    <row r="567" spans="1:12">
      <c r="A567">
        <v>27</v>
      </c>
      <c r="B567" s="9" t="s">
        <v>335</v>
      </c>
      <c r="C567" s="50">
        <v>41071.980555555558</v>
      </c>
      <c r="D567" s="9" t="s">
        <v>335</v>
      </c>
      <c r="E567" t="str">
        <f t="shared" si="11"/>
        <v>'368bd24'</v>
      </c>
      <c r="F567" s="9" t="s">
        <v>335</v>
      </c>
      <c r="G567" s="4">
        <v>83</v>
      </c>
      <c r="L567" s="58" t="s">
        <v>140</v>
      </c>
    </row>
    <row r="568" spans="1:12">
      <c r="A568">
        <v>27</v>
      </c>
      <c r="B568" s="9" t="s">
        <v>335</v>
      </c>
      <c r="C568" s="50">
        <v>41073.449305555558</v>
      </c>
      <c r="D568" s="9" t="s">
        <v>335</v>
      </c>
      <c r="E568" t="str">
        <f t="shared" si="11"/>
        <v>'03a63ea'</v>
      </c>
      <c r="F568" s="9" t="s">
        <v>335</v>
      </c>
      <c r="G568" s="4">
        <v>84</v>
      </c>
      <c r="L568" s="58" t="s">
        <v>66</v>
      </c>
    </row>
    <row r="569" spans="1:12">
      <c r="A569">
        <v>27</v>
      </c>
      <c r="B569" s="9" t="s">
        <v>335</v>
      </c>
      <c r="C569" s="50">
        <v>41073.447916666664</v>
      </c>
      <c r="D569" s="9" t="s">
        <v>335</v>
      </c>
      <c r="E569" t="str">
        <f t="shared" si="11"/>
        <v>'afff123'</v>
      </c>
      <c r="F569" s="9" t="s">
        <v>335</v>
      </c>
      <c r="G569" s="4">
        <v>85</v>
      </c>
      <c r="L569" s="58" t="s">
        <v>46</v>
      </c>
    </row>
    <row r="570" spans="1:12">
      <c r="A570">
        <v>27</v>
      </c>
      <c r="B570" s="9" t="s">
        <v>335</v>
      </c>
      <c r="C570" s="50">
        <v>41075.770833333336</v>
      </c>
      <c r="D570" s="9" t="s">
        <v>335</v>
      </c>
      <c r="E570" t="str">
        <f t="shared" si="11"/>
        <v>'f49d625'</v>
      </c>
      <c r="F570" s="9" t="s">
        <v>335</v>
      </c>
      <c r="G570" s="4">
        <v>86</v>
      </c>
      <c r="L570" s="58" t="s">
        <v>146</v>
      </c>
    </row>
    <row r="571" spans="1:12">
      <c r="A571">
        <v>27</v>
      </c>
      <c r="B571" s="9" t="s">
        <v>335</v>
      </c>
      <c r="C571" s="50">
        <v>41078.976388888892</v>
      </c>
      <c r="D571" s="9" t="s">
        <v>335</v>
      </c>
      <c r="E571" t="str">
        <f t="shared" si="11"/>
        <v>'966b176'</v>
      </c>
      <c r="F571" s="9" t="s">
        <v>335</v>
      </c>
      <c r="G571" s="4">
        <v>87</v>
      </c>
      <c r="L571" s="58" t="s">
        <v>225</v>
      </c>
    </row>
    <row r="572" spans="1:12">
      <c r="A572">
        <v>27</v>
      </c>
      <c r="B572" s="9" t="s">
        <v>335</v>
      </c>
      <c r="C572" s="50">
        <v>41079.57916666667</v>
      </c>
      <c r="D572" s="9" t="s">
        <v>335</v>
      </c>
      <c r="E572" t="str">
        <f t="shared" si="11"/>
        <v>'6c70afa'</v>
      </c>
      <c r="F572" s="9" t="s">
        <v>335</v>
      </c>
      <c r="G572" s="4">
        <v>88</v>
      </c>
      <c r="L572" s="58" t="s">
        <v>79</v>
      </c>
    </row>
    <row r="573" spans="1:12">
      <c r="A573">
        <v>27</v>
      </c>
      <c r="B573" s="9" t="s">
        <v>335</v>
      </c>
      <c r="C573" s="50">
        <v>41079.677083333336</v>
      </c>
      <c r="D573" s="9" t="s">
        <v>335</v>
      </c>
      <c r="E573" t="str">
        <f t="shared" si="11"/>
        <v>'9fbd6d3'</v>
      </c>
      <c r="F573" s="9" t="s">
        <v>335</v>
      </c>
      <c r="G573" s="4">
        <v>89</v>
      </c>
      <c r="L573" s="58" t="s">
        <v>96</v>
      </c>
    </row>
    <row r="574" spans="1:12">
      <c r="A574">
        <v>28</v>
      </c>
      <c r="B574" s="9" t="s">
        <v>335</v>
      </c>
      <c r="C574" s="50">
        <v>40955.561111111114</v>
      </c>
      <c r="D574" s="9" t="s">
        <v>335</v>
      </c>
      <c r="E574" t="str">
        <f t="shared" si="11"/>
        <v>'24dc000'</v>
      </c>
      <c r="F574" s="9" t="s">
        <v>335</v>
      </c>
      <c r="G574" s="4">
        <v>1</v>
      </c>
      <c r="L574" s="58" t="s">
        <v>783</v>
      </c>
    </row>
    <row r="575" spans="1:12">
      <c r="A575">
        <v>28</v>
      </c>
      <c r="B575" s="9" t="s">
        <v>335</v>
      </c>
      <c r="C575" s="50">
        <v>40999.972222222219</v>
      </c>
      <c r="D575" s="9" t="s">
        <v>335</v>
      </c>
      <c r="E575" t="str">
        <f t="shared" si="11"/>
        <v>'1c041b4'</v>
      </c>
      <c r="F575" s="9" t="s">
        <v>335</v>
      </c>
      <c r="G575" s="4">
        <v>2</v>
      </c>
      <c r="L575" s="58" t="s">
        <v>124</v>
      </c>
    </row>
    <row r="576" spans="1:12">
      <c r="A576">
        <v>28</v>
      </c>
      <c r="B576" s="9" t="s">
        <v>335</v>
      </c>
      <c r="C576" s="50">
        <v>41060.527777777781</v>
      </c>
      <c r="D576" s="9" t="s">
        <v>335</v>
      </c>
      <c r="E576" t="str">
        <f t="shared" si="11"/>
        <v>'ef442a8'</v>
      </c>
      <c r="F576" s="9" t="s">
        <v>335</v>
      </c>
      <c r="G576" s="4">
        <v>3</v>
      </c>
      <c r="L576" s="58" t="s">
        <v>113</v>
      </c>
    </row>
    <row r="577" spans="1:12">
      <c r="A577">
        <v>28</v>
      </c>
      <c r="B577" s="9" t="s">
        <v>335</v>
      </c>
      <c r="C577" s="50">
        <v>41073.388888888891</v>
      </c>
      <c r="D577" s="9" t="s">
        <v>335</v>
      </c>
      <c r="E577" t="str">
        <f t="shared" si="11"/>
        <v>'fed2d0f'</v>
      </c>
      <c r="F577" s="9" t="s">
        <v>335</v>
      </c>
      <c r="G577" s="4">
        <v>4</v>
      </c>
      <c r="L577" s="58" t="s">
        <v>141</v>
      </c>
    </row>
    <row r="578" spans="1:12">
      <c r="A578">
        <v>28</v>
      </c>
      <c r="B578" s="9" t="s">
        <v>335</v>
      </c>
      <c r="C578" s="50">
        <v>41073.553472222222</v>
      </c>
      <c r="D578" s="9" t="s">
        <v>335</v>
      </c>
      <c r="E578" t="str">
        <f t="shared" si="11"/>
        <v>'c667523'</v>
      </c>
      <c r="F578" s="9" t="s">
        <v>335</v>
      </c>
      <c r="G578" s="4">
        <v>5</v>
      </c>
      <c r="L578" s="58" t="s">
        <v>67</v>
      </c>
    </row>
    <row r="579" spans="1:12">
      <c r="A579">
        <v>29</v>
      </c>
      <c r="B579" s="9" t="s">
        <v>335</v>
      </c>
      <c r="C579" s="50">
        <v>41051.522222222222</v>
      </c>
      <c r="D579" s="9" t="s">
        <v>335</v>
      </c>
      <c r="E579" t="str">
        <f t="shared" si="11"/>
        <v>'1f5bc9b'</v>
      </c>
      <c r="F579" s="9" t="s">
        <v>335</v>
      </c>
      <c r="G579" s="4">
        <v>1</v>
      </c>
      <c r="L579" s="58" t="s">
        <v>231</v>
      </c>
    </row>
    <row r="580" spans="1:12">
      <c r="A580">
        <v>29</v>
      </c>
      <c r="B580" s="9" t="s">
        <v>335</v>
      </c>
      <c r="C580" s="50">
        <v>41053.470833333333</v>
      </c>
      <c r="D580" s="9" t="s">
        <v>335</v>
      </c>
      <c r="E580" t="str">
        <f t="shared" si="11"/>
        <v>'9d15a7a'</v>
      </c>
      <c r="F580" s="9" t="s">
        <v>335</v>
      </c>
      <c r="G580" s="4">
        <v>2</v>
      </c>
      <c r="L580" s="58" t="s">
        <v>212</v>
      </c>
    </row>
    <row r="581" spans="1:12">
      <c r="A581">
        <v>30</v>
      </c>
      <c r="B581" s="9" t="s">
        <v>335</v>
      </c>
      <c r="C581" s="50">
        <v>41009.717361111114</v>
      </c>
      <c r="D581" s="9" t="s">
        <v>335</v>
      </c>
      <c r="E581" t="str">
        <f t="shared" si="11"/>
        <v>'7066daf'</v>
      </c>
      <c r="F581" s="9" t="s">
        <v>335</v>
      </c>
      <c r="G581" s="4">
        <v>1</v>
      </c>
      <c r="L581" s="58" t="s">
        <v>31</v>
      </c>
    </row>
    <row r="582" spans="1:12">
      <c r="A582">
        <v>30</v>
      </c>
      <c r="B582" s="9" t="s">
        <v>335</v>
      </c>
      <c r="C582" s="50">
        <v>41024.824305555558</v>
      </c>
      <c r="D582" s="9" t="s">
        <v>335</v>
      </c>
      <c r="E582" t="str">
        <f t="shared" si="11"/>
        <v>'11c52ee'</v>
      </c>
      <c r="F582" s="9" t="s">
        <v>335</v>
      </c>
      <c r="G582" s="4">
        <v>2</v>
      </c>
      <c r="L582" s="58" t="s">
        <v>245</v>
      </c>
    </row>
    <row r="583" spans="1:12">
      <c r="A583">
        <v>31</v>
      </c>
      <c r="B583" s="9" t="s">
        <v>335</v>
      </c>
      <c r="C583" s="50">
        <v>40922.570833333331</v>
      </c>
      <c r="D583" s="9" t="s">
        <v>335</v>
      </c>
      <c r="E583" t="str">
        <f t="shared" si="11"/>
        <v>'3f86179'</v>
      </c>
      <c r="F583" s="9" t="s">
        <v>335</v>
      </c>
      <c r="G583" s="4">
        <v>1</v>
      </c>
      <c r="L583" s="58" t="s">
        <v>1251</v>
      </c>
    </row>
    <row r="584" spans="1:12">
      <c r="A584">
        <v>31</v>
      </c>
      <c r="B584" s="9" t="s">
        <v>335</v>
      </c>
      <c r="C584" s="50">
        <v>40922.800694444442</v>
      </c>
      <c r="D584" s="9" t="s">
        <v>335</v>
      </c>
      <c r="E584" t="str">
        <f t="shared" si="11"/>
        <v>'255a3e6'</v>
      </c>
      <c r="F584" s="9" t="s">
        <v>335</v>
      </c>
      <c r="G584" s="4">
        <v>2</v>
      </c>
      <c r="L584" s="58" t="s">
        <v>1537</v>
      </c>
    </row>
    <row r="585" spans="1:12">
      <c r="A585">
        <v>32</v>
      </c>
      <c r="B585" s="9" t="s">
        <v>335</v>
      </c>
      <c r="C585" s="50">
        <v>40933.959027777775</v>
      </c>
      <c r="D585" s="9" t="s">
        <v>335</v>
      </c>
      <c r="E585" t="str">
        <f t="shared" si="11"/>
        <v>'645851e'</v>
      </c>
      <c r="F585" s="9" t="s">
        <v>335</v>
      </c>
      <c r="G585" s="4">
        <v>1</v>
      </c>
      <c r="L585" s="58" t="s">
        <v>1222</v>
      </c>
    </row>
    <row r="586" spans="1:12">
      <c r="A586">
        <v>33</v>
      </c>
      <c r="B586" s="9" t="s">
        <v>335</v>
      </c>
      <c r="C586" s="50">
        <v>40933.592361111114</v>
      </c>
      <c r="D586" s="9" t="s">
        <v>335</v>
      </c>
      <c r="E586" t="str">
        <f t="shared" si="11"/>
        <v>'acef92c'</v>
      </c>
      <c r="F586" s="9" t="s">
        <v>335</v>
      </c>
      <c r="G586" s="4">
        <v>1</v>
      </c>
      <c r="L586" s="58" t="s">
        <v>1394</v>
      </c>
    </row>
    <row r="587" spans="1:12">
      <c r="A587">
        <v>33</v>
      </c>
      <c r="B587" s="9" t="s">
        <v>335</v>
      </c>
      <c r="C587" s="50">
        <v>40933.609027777777</v>
      </c>
      <c r="D587" s="9" t="s">
        <v>335</v>
      </c>
      <c r="E587" t="str">
        <f t="shared" si="11"/>
        <v>'e013b56'</v>
      </c>
      <c r="F587" s="9" t="s">
        <v>335</v>
      </c>
      <c r="G587" s="4">
        <v>2</v>
      </c>
      <c r="L587" s="58" t="s">
        <v>1221</v>
      </c>
    </row>
    <row r="588" spans="1:12">
      <c r="A588">
        <v>33</v>
      </c>
      <c r="B588" s="9" t="s">
        <v>335</v>
      </c>
      <c r="C588" s="50">
        <v>40938.285416666666</v>
      </c>
      <c r="D588" s="9" t="s">
        <v>335</v>
      </c>
      <c r="E588" t="str">
        <f t="shared" si="11"/>
        <v>'b6e38cc'</v>
      </c>
      <c r="F588" s="9" t="s">
        <v>335</v>
      </c>
      <c r="G588" s="4">
        <v>3</v>
      </c>
      <c r="L588" s="58" t="s">
        <v>536</v>
      </c>
    </row>
    <row r="589" spans="1:12">
      <c r="A589">
        <v>33</v>
      </c>
      <c r="B589" s="9" t="s">
        <v>335</v>
      </c>
      <c r="C589" s="50">
        <v>41022.025694444441</v>
      </c>
      <c r="D589" s="9" t="s">
        <v>335</v>
      </c>
      <c r="E589" t="str">
        <f t="shared" si="11"/>
        <v>'8060a13'</v>
      </c>
      <c r="F589" s="9" t="s">
        <v>335</v>
      </c>
      <c r="G589" s="4">
        <v>4</v>
      </c>
      <c r="L589" s="58" t="s">
        <v>57</v>
      </c>
    </row>
    <row r="590" spans="1:12">
      <c r="A590">
        <v>33</v>
      </c>
      <c r="B590" s="9" t="s">
        <v>335</v>
      </c>
      <c r="C590" s="50">
        <v>41061.719444444447</v>
      </c>
      <c r="D590" s="9" t="s">
        <v>335</v>
      </c>
      <c r="E590" t="str">
        <f t="shared" si="11"/>
        <v>'de5938b'</v>
      </c>
      <c r="F590" s="9" t="s">
        <v>335</v>
      </c>
      <c r="G590" s="4">
        <v>5</v>
      </c>
      <c r="L590" s="58" t="s">
        <v>227</v>
      </c>
    </row>
    <row r="591" spans="1:12">
      <c r="A591">
        <v>33</v>
      </c>
      <c r="B591" s="9" t="s">
        <v>335</v>
      </c>
      <c r="C591" s="50">
        <v>41078.885416666664</v>
      </c>
      <c r="D591" s="9" t="s">
        <v>335</v>
      </c>
      <c r="E591" t="str">
        <f t="shared" si="11"/>
        <v>'0af54f0'</v>
      </c>
      <c r="F591" s="9" t="s">
        <v>335</v>
      </c>
      <c r="G591" s="4">
        <v>6</v>
      </c>
      <c r="L591" s="58" t="s">
        <v>224</v>
      </c>
    </row>
    <row r="592" spans="1:12">
      <c r="A592">
        <v>33</v>
      </c>
      <c r="B592" s="9" t="s">
        <v>335</v>
      </c>
      <c r="C592" s="50">
        <v>41079.390277777777</v>
      </c>
      <c r="D592" s="9" t="s">
        <v>335</v>
      </c>
      <c r="E592" t="str">
        <f t="shared" si="11"/>
        <v>'9bdaf8d'</v>
      </c>
      <c r="F592" s="9" t="s">
        <v>335</v>
      </c>
      <c r="G592" s="4">
        <v>7</v>
      </c>
      <c r="L592" s="58" t="s">
        <v>78</v>
      </c>
    </row>
    <row r="593" spans="1:12">
      <c r="A593">
        <v>34</v>
      </c>
      <c r="B593" s="9" t="s">
        <v>335</v>
      </c>
      <c r="C593" s="50">
        <v>40920.65</v>
      </c>
      <c r="D593" s="9" t="s">
        <v>335</v>
      </c>
      <c r="E593" t="str">
        <f t="shared" si="11"/>
        <v>'7534dc1'</v>
      </c>
      <c r="F593" s="9" t="s">
        <v>335</v>
      </c>
      <c r="G593" s="4">
        <v>1</v>
      </c>
      <c r="L593" s="58" t="s">
        <v>1302</v>
      </c>
    </row>
    <row r="594" spans="1:12">
      <c r="A594">
        <v>34</v>
      </c>
      <c r="B594" s="9" t="s">
        <v>335</v>
      </c>
      <c r="C594" s="50">
        <v>40918.513888888891</v>
      </c>
      <c r="D594" s="9" t="s">
        <v>335</v>
      </c>
      <c r="E594" t="str">
        <f t="shared" si="11"/>
        <v>'fda370b'</v>
      </c>
      <c r="F594" s="9" t="s">
        <v>335</v>
      </c>
      <c r="G594" s="4">
        <v>2</v>
      </c>
      <c r="L594" s="58" t="s">
        <v>765</v>
      </c>
    </row>
    <row r="595" spans="1:12">
      <c r="A595">
        <v>34</v>
      </c>
      <c r="B595" s="9" t="s">
        <v>335</v>
      </c>
      <c r="C595" s="50">
        <v>40970.720833333333</v>
      </c>
      <c r="D595" s="9" t="s">
        <v>335</v>
      </c>
      <c r="E595" t="str">
        <f t="shared" si="11"/>
        <v>'4535b18'</v>
      </c>
      <c r="F595" s="9" t="s">
        <v>335</v>
      </c>
      <c r="G595" s="4">
        <v>3</v>
      </c>
      <c r="L595" s="58" t="s">
        <v>152</v>
      </c>
    </row>
    <row r="596" spans="1:12">
      <c r="A596">
        <v>34</v>
      </c>
      <c r="B596" s="9" t="s">
        <v>335</v>
      </c>
      <c r="C596" s="50">
        <v>40991.37777777778</v>
      </c>
      <c r="D596" s="9" t="s">
        <v>335</v>
      </c>
      <c r="E596" t="str">
        <f t="shared" si="11"/>
        <v>'815c42c'</v>
      </c>
      <c r="F596" s="9" t="s">
        <v>335</v>
      </c>
      <c r="G596" s="4">
        <v>4</v>
      </c>
      <c r="L596" s="58" t="s">
        <v>180</v>
      </c>
    </row>
    <row r="597" spans="1:12">
      <c r="A597">
        <v>34</v>
      </c>
      <c r="B597" s="9" t="s">
        <v>335</v>
      </c>
      <c r="C597" s="50">
        <v>41073.738888888889</v>
      </c>
      <c r="D597" s="9" t="s">
        <v>335</v>
      </c>
      <c r="E597" t="str">
        <f t="shared" si="11"/>
        <v>'1a42a2f'</v>
      </c>
      <c r="F597" s="9" t="s">
        <v>335</v>
      </c>
      <c r="G597" s="4">
        <v>5</v>
      </c>
      <c r="L597" s="58" t="s">
        <v>47</v>
      </c>
    </row>
    <row r="598" spans="1:12">
      <c r="A598">
        <v>35</v>
      </c>
      <c r="B598" s="9" t="s">
        <v>335</v>
      </c>
      <c r="C598" s="50">
        <v>40928.781944444447</v>
      </c>
      <c r="D598" s="9" t="s">
        <v>335</v>
      </c>
      <c r="E598" t="str">
        <f t="shared" si="11"/>
        <v>'606742c'</v>
      </c>
      <c r="F598" s="9" t="s">
        <v>335</v>
      </c>
      <c r="G598" s="4">
        <v>1</v>
      </c>
      <c r="L598" s="58" t="s">
        <v>1040</v>
      </c>
    </row>
    <row r="599" spans="1:12">
      <c r="A599">
        <v>35</v>
      </c>
      <c r="B599" s="9" t="s">
        <v>335</v>
      </c>
      <c r="C599" s="50">
        <v>40933.012499999997</v>
      </c>
      <c r="D599" s="9" t="s">
        <v>335</v>
      </c>
      <c r="E599" t="str">
        <f t="shared" ref="E599:E662" si="12">CONCATENATE("'",L599,"'")</f>
        <v>'dfda1df'</v>
      </c>
      <c r="F599" s="9" t="s">
        <v>335</v>
      </c>
      <c r="G599" s="4">
        <v>2</v>
      </c>
      <c r="L599" s="58" t="s">
        <v>1393</v>
      </c>
    </row>
    <row r="600" spans="1:12">
      <c r="A600">
        <v>35</v>
      </c>
      <c r="B600" s="9" t="s">
        <v>335</v>
      </c>
      <c r="C600" s="50">
        <v>40933.982638888891</v>
      </c>
      <c r="D600" s="9" t="s">
        <v>335</v>
      </c>
      <c r="E600" t="str">
        <f t="shared" si="12"/>
        <v>'a979808'</v>
      </c>
      <c r="F600" s="9" t="s">
        <v>335</v>
      </c>
      <c r="G600" s="4">
        <v>3</v>
      </c>
      <c r="L600" s="58" t="s">
        <v>599</v>
      </c>
    </row>
    <row r="601" spans="1:12">
      <c r="A601">
        <v>35</v>
      </c>
      <c r="B601" s="9" t="s">
        <v>335</v>
      </c>
      <c r="C601" s="50">
        <v>40938.708333333336</v>
      </c>
      <c r="D601" s="9" t="s">
        <v>335</v>
      </c>
      <c r="E601" t="str">
        <f t="shared" si="12"/>
        <v>'1bdedc2'</v>
      </c>
      <c r="F601" s="9" t="s">
        <v>335</v>
      </c>
      <c r="G601" s="4">
        <v>4</v>
      </c>
      <c r="L601" s="58" t="s">
        <v>738</v>
      </c>
    </row>
    <row r="602" spans="1:12">
      <c r="A602">
        <v>35</v>
      </c>
      <c r="B602" s="9" t="s">
        <v>335</v>
      </c>
      <c r="C602" s="50">
        <v>40956.576388888891</v>
      </c>
      <c r="D602" s="9" t="s">
        <v>335</v>
      </c>
      <c r="E602" t="str">
        <f t="shared" si="12"/>
        <v>'bbcf286'</v>
      </c>
      <c r="F602" s="9" t="s">
        <v>335</v>
      </c>
      <c r="G602" s="4">
        <v>5</v>
      </c>
      <c r="L602" s="58" t="s">
        <v>1387</v>
      </c>
    </row>
    <row r="603" spans="1:12">
      <c r="A603">
        <v>35</v>
      </c>
      <c r="B603" s="9" t="s">
        <v>335</v>
      </c>
      <c r="C603" s="50">
        <v>40959.744444444441</v>
      </c>
      <c r="D603" s="9" t="s">
        <v>335</v>
      </c>
      <c r="E603" t="str">
        <f t="shared" si="12"/>
        <v>'8cce8dd'</v>
      </c>
      <c r="F603" s="9" t="s">
        <v>335</v>
      </c>
      <c r="G603" s="4">
        <v>6</v>
      </c>
      <c r="L603" s="58" t="s">
        <v>420</v>
      </c>
    </row>
    <row r="604" spans="1:12">
      <c r="A604">
        <v>35</v>
      </c>
      <c r="B604" s="9" t="s">
        <v>335</v>
      </c>
      <c r="C604" s="50">
        <v>40961.378472222219</v>
      </c>
      <c r="D604" s="9" t="s">
        <v>335</v>
      </c>
      <c r="E604" t="str">
        <f t="shared" si="12"/>
        <v>'64adabf'</v>
      </c>
      <c r="F604" s="9" t="s">
        <v>335</v>
      </c>
      <c r="G604" s="4">
        <v>7</v>
      </c>
      <c r="L604" s="58" t="s">
        <v>1008</v>
      </c>
    </row>
    <row r="605" spans="1:12">
      <c r="A605">
        <v>35</v>
      </c>
      <c r="B605" s="9" t="s">
        <v>335</v>
      </c>
      <c r="C605" s="50">
        <v>40965.975694444445</v>
      </c>
      <c r="D605" s="9" t="s">
        <v>335</v>
      </c>
      <c r="E605" t="str">
        <f t="shared" si="12"/>
        <v>'1ba1a0f'</v>
      </c>
      <c r="F605" s="9" t="s">
        <v>335</v>
      </c>
      <c r="G605" s="4">
        <v>8</v>
      </c>
      <c r="L605" s="58" t="s">
        <v>43</v>
      </c>
    </row>
    <row r="606" spans="1:12">
      <c r="A606">
        <v>35</v>
      </c>
      <c r="B606" s="9" t="s">
        <v>335</v>
      </c>
      <c r="C606" s="50">
        <v>40982.026388888888</v>
      </c>
      <c r="D606" s="9" t="s">
        <v>335</v>
      </c>
      <c r="E606" t="str">
        <f t="shared" si="12"/>
        <v>'e708c4e'</v>
      </c>
      <c r="F606" s="9" t="s">
        <v>335</v>
      </c>
      <c r="G606" s="4">
        <v>9</v>
      </c>
      <c r="L606" s="58" t="s">
        <v>73</v>
      </c>
    </row>
    <row r="607" spans="1:12">
      <c r="A607">
        <v>35</v>
      </c>
      <c r="B607" s="9" t="s">
        <v>335</v>
      </c>
      <c r="C607" s="50">
        <v>40997.352777777778</v>
      </c>
      <c r="D607" s="9" t="s">
        <v>335</v>
      </c>
      <c r="E607" t="str">
        <f t="shared" si="12"/>
        <v>'51f1c0b'</v>
      </c>
      <c r="F607" s="9" t="s">
        <v>335</v>
      </c>
      <c r="G607" s="4">
        <v>10</v>
      </c>
      <c r="L607" s="58" t="s">
        <v>279</v>
      </c>
    </row>
    <row r="608" spans="1:12">
      <c r="A608">
        <v>35</v>
      </c>
      <c r="B608" s="9" t="s">
        <v>335</v>
      </c>
      <c r="C608" s="50">
        <v>41013.532638888886</v>
      </c>
      <c r="D608" s="9" t="s">
        <v>335</v>
      </c>
      <c r="E608" t="str">
        <f t="shared" si="12"/>
        <v>'f0130bf'</v>
      </c>
      <c r="F608" s="9" t="s">
        <v>335</v>
      </c>
      <c r="G608" s="4">
        <v>11</v>
      </c>
      <c r="L608" s="58" t="s">
        <v>285</v>
      </c>
    </row>
    <row r="609" spans="1:12">
      <c r="A609">
        <v>35</v>
      </c>
      <c r="B609" s="9" t="s">
        <v>335</v>
      </c>
      <c r="C609" s="50">
        <v>41013.952777777777</v>
      </c>
      <c r="D609" s="9" t="s">
        <v>335</v>
      </c>
      <c r="E609" t="str">
        <f t="shared" si="12"/>
        <v>'0414b05'</v>
      </c>
      <c r="F609" s="9" t="s">
        <v>335</v>
      </c>
      <c r="G609" s="4">
        <v>12</v>
      </c>
      <c r="L609" s="58" t="s">
        <v>52</v>
      </c>
    </row>
    <row r="610" spans="1:12">
      <c r="A610">
        <v>35</v>
      </c>
      <c r="B610" s="9" t="s">
        <v>335</v>
      </c>
      <c r="C610" s="50">
        <v>41030.404861111114</v>
      </c>
      <c r="D610" s="9" t="s">
        <v>335</v>
      </c>
      <c r="E610" t="str">
        <f t="shared" si="12"/>
        <v>'207134d'</v>
      </c>
      <c r="F610" s="9" t="s">
        <v>335</v>
      </c>
      <c r="G610" s="4">
        <v>13</v>
      </c>
      <c r="L610" s="58" t="s">
        <v>41</v>
      </c>
    </row>
    <row r="611" spans="1:12">
      <c r="A611">
        <v>35</v>
      </c>
      <c r="B611" s="9" t="s">
        <v>335</v>
      </c>
      <c r="C611" s="50">
        <v>41032.65625</v>
      </c>
      <c r="D611" s="9" t="s">
        <v>335</v>
      </c>
      <c r="E611" t="str">
        <f t="shared" si="12"/>
        <v>'7056ba3'</v>
      </c>
      <c r="F611" s="9" t="s">
        <v>335</v>
      </c>
      <c r="G611" s="4">
        <v>14</v>
      </c>
      <c r="L611" s="58" t="s">
        <v>189</v>
      </c>
    </row>
    <row r="612" spans="1:12">
      <c r="A612">
        <v>35</v>
      </c>
      <c r="B612" s="9" t="s">
        <v>335</v>
      </c>
      <c r="C612" s="50">
        <v>41036.564583333333</v>
      </c>
      <c r="D612" s="9" t="s">
        <v>335</v>
      </c>
      <c r="E612" t="str">
        <f t="shared" si="12"/>
        <v>'a4ddfa7'</v>
      </c>
      <c r="F612" s="9" t="s">
        <v>335</v>
      </c>
      <c r="G612" s="4">
        <v>15</v>
      </c>
      <c r="L612" s="58" t="s">
        <v>63</v>
      </c>
    </row>
    <row r="613" spans="1:12">
      <c r="A613">
        <v>35</v>
      </c>
      <c r="B613" s="9" t="s">
        <v>335</v>
      </c>
      <c r="C613" s="50">
        <v>41057.35833333333</v>
      </c>
      <c r="D613" s="9" t="s">
        <v>335</v>
      </c>
      <c r="E613" t="str">
        <f t="shared" si="12"/>
        <v>'de20547'</v>
      </c>
      <c r="F613" s="9" t="s">
        <v>335</v>
      </c>
      <c r="G613" s="4">
        <v>16</v>
      </c>
      <c r="L613" s="58" t="s">
        <v>37</v>
      </c>
    </row>
    <row r="614" spans="1:12">
      <c r="A614">
        <v>35</v>
      </c>
      <c r="B614" s="9" t="s">
        <v>335</v>
      </c>
      <c r="C614" s="50">
        <v>41060.395138888889</v>
      </c>
      <c r="D614" s="9" t="s">
        <v>335</v>
      </c>
      <c r="E614" t="str">
        <f t="shared" si="12"/>
        <v>'de14777'</v>
      </c>
      <c r="F614" s="9" t="s">
        <v>335</v>
      </c>
      <c r="G614" s="4">
        <v>17</v>
      </c>
      <c r="L614" s="58" t="s">
        <v>112</v>
      </c>
    </row>
    <row r="615" spans="1:12">
      <c r="A615">
        <v>36</v>
      </c>
      <c r="B615" s="9" t="s">
        <v>335</v>
      </c>
      <c r="C615" s="50">
        <v>40927.743750000001</v>
      </c>
      <c r="D615" s="9" t="s">
        <v>335</v>
      </c>
      <c r="E615" t="str">
        <f t="shared" si="12"/>
        <v>'2e656fc'</v>
      </c>
      <c r="F615" s="9" t="s">
        <v>335</v>
      </c>
      <c r="G615" s="4">
        <v>1</v>
      </c>
      <c r="L615" s="58" t="s">
        <v>535</v>
      </c>
    </row>
    <row r="616" spans="1:12">
      <c r="A616">
        <v>37</v>
      </c>
      <c r="B616" s="9" t="s">
        <v>335</v>
      </c>
      <c r="C616" s="50">
        <v>40935.462500000001</v>
      </c>
      <c r="D616" s="9" t="s">
        <v>335</v>
      </c>
      <c r="E616" t="str">
        <f t="shared" si="12"/>
        <v>'5a95baf'</v>
      </c>
      <c r="F616" s="9" t="s">
        <v>335</v>
      </c>
      <c r="G616" s="4">
        <v>1</v>
      </c>
      <c r="L616" s="58" t="s">
        <v>445</v>
      </c>
    </row>
    <row r="617" spans="1:12">
      <c r="A617">
        <v>37</v>
      </c>
      <c r="B617" s="9" t="s">
        <v>335</v>
      </c>
      <c r="C617" s="50">
        <v>40983.779166666667</v>
      </c>
      <c r="D617" s="9" t="s">
        <v>335</v>
      </c>
      <c r="E617" t="str">
        <f t="shared" si="12"/>
        <v>'684fe36'</v>
      </c>
      <c r="F617" s="9" t="s">
        <v>335</v>
      </c>
      <c r="G617" s="4">
        <v>2</v>
      </c>
      <c r="L617" s="58" t="s">
        <v>270</v>
      </c>
    </row>
    <row r="618" spans="1:12">
      <c r="A618">
        <v>37</v>
      </c>
      <c r="B618" s="9" t="s">
        <v>335</v>
      </c>
      <c r="C618" s="50">
        <v>41020.477777777778</v>
      </c>
      <c r="D618" s="9" t="s">
        <v>335</v>
      </c>
      <c r="E618" t="str">
        <f t="shared" si="12"/>
        <v>'a857ad2'</v>
      </c>
      <c r="F618" s="9" t="s">
        <v>335</v>
      </c>
      <c r="G618" s="4">
        <v>3</v>
      </c>
      <c r="L618" s="58" t="s">
        <v>5</v>
      </c>
    </row>
    <row r="619" spans="1:12">
      <c r="A619">
        <v>37</v>
      </c>
      <c r="B619" s="9" t="s">
        <v>335</v>
      </c>
      <c r="C619" s="50">
        <v>41024.399305555555</v>
      </c>
      <c r="D619" s="9" t="s">
        <v>335</v>
      </c>
      <c r="E619" t="str">
        <f t="shared" si="12"/>
        <v>'0cc1346'</v>
      </c>
      <c r="F619" s="9" t="s">
        <v>335</v>
      </c>
      <c r="G619" s="4">
        <v>4</v>
      </c>
      <c r="L619" s="58" t="s">
        <v>181</v>
      </c>
    </row>
    <row r="620" spans="1:12">
      <c r="A620">
        <v>37</v>
      </c>
      <c r="B620" s="9" t="s">
        <v>335</v>
      </c>
      <c r="C620" s="50">
        <v>41036.775694444441</v>
      </c>
      <c r="D620" s="9" t="s">
        <v>335</v>
      </c>
      <c r="E620" t="str">
        <f t="shared" si="12"/>
        <v>'ad2912a'</v>
      </c>
      <c r="F620" s="9" t="s">
        <v>335</v>
      </c>
      <c r="G620" s="4">
        <v>5</v>
      </c>
      <c r="L620" s="58" t="s">
        <v>158</v>
      </c>
    </row>
    <row r="621" spans="1:12">
      <c r="A621">
        <v>37</v>
      </c>
      <c r="B621" s="9" t="s">
        <v>335</v>
      </c>
      <c r="C621" s="50">
        <v>41060.472916666666</v>
      </c>
      <c r="D621" s="9" t="s">
        <v>335</v>
      </c>
      <c r="E621" t="str">
        <f t="shared" si="12"/>
        <v>'e9ad7b2'</v>
      </c>
      <c r="F621" s="9" t="s">
        <v>335</v>
      </c>
      <c r="G621" s="4">
        <v>6</v>
      </c>
      <c r="L621" s="58" t="s">
        <v>85</v>
      </c>
    </row>
    <row r="622" spans="1:12">
      <c r="A622">
        <v>37</v>
      </c>
      <c r="B622" s="9" t="s">
        <v>335</v>
      </c>
      <c r="C622" s="50">
        <v>41061.676388888889</v>
      </c>
      <c r="D622" s="9" t="s">
        <v>335</v>
      </c>
      <c r="E622" t="str">
        <f t="shared" si="12"/>
        <v>'5a9f2c5'</v>
      </c>
      <c r="F622" s="9" t="s">
        <v>335</v>
      </c>
      <c r="G622" s="4">
        <v>7</v>
      </c>
      <c r="L622" s="58" t="s">
        <v>129</v>
      </c>
    </row>
    <row r="623" spans="1:12">
      <c r="A623">
        <v>38</v>
      </c>
      <c r="B623" s="9" t="s">
        <v>335</v>
      </c>
      <c r="C623" s="50">
        <v>40923.454861111109</v>
      </c>
      <c r="D623" s="9" t="s">
        <v>335</v>
      </c>
      <c r="E623" t="str">
        <f t="shared" si="12"/>
        <v>'ed06d14'</v>
      </c>
      <c r="F623" s="9" t="s">
        <v>335</v>
      </c>
      <c r="G623" s="4">
        <v>1</v>
      </c>
      <c r="L623" s="58" t="s">
        <v>1252</v>
      </c>
    </row>
    <row r="624" spans="1:12">
      <c r="A624">
        <v>39</v>
      </c>
      <c r="B624" s="9" t="s">
        <v>335</v>
      </c>
      <c r="C624" s="50">
        <v>40953.62222222222</v>
      </c>
      <c r="D624" s="9" t="s">
        <v>335</v>
      </c>
      <c r="E624" t="str">
        <f t="shared" si="12"/>
        <v>'8fff337'</v>
      </c>
      <c r="F624" s="9" t="s">
        <v>335</v>
      </c>
      <c r="G624" s="4">
        <v>1</v>
      </c>
      <c r="L624" s="58" t="s">
        <v>72</v>
      </c>
    </row>
    <row r="625" spans="1:12">
      <c r="A625">
        <v>40</v>
      </c>
      <c r="B625" s="9" t="s">
        <v>335</v>
      </c>
      <c r="C625" s="50">
        <v>40910.095138888886</v>
      </c>
      <c r="D625" s="9" t="s">
        <v>335</v>
      </c>
      <c r="E625" t="str">
        <f t="shared" si="12"/>
        <v>'a2f9583'</v>
      </c>
      <c r="F625" s="9" t="s">
        <v>335</v>
      </c>
      <c r="G625" s="4">
        <v>1</v>
      </c>
      <c r="L625" s="58" t="s">
        <v>1140</v>
      </c>
    </row>
    <row r="626" spans="1:12">
      <c r="A626">
        <v>40</v>
      </c>
      <c r="B626" s="9" t="s">
        <v>335</v>
      </c>
      <c r="C626" s="50">
        <v>40915.045138888891</v>
      </c>
      <c r="D626" s="9" t="s">
        <v>335</v>
      </c>
      <c r="E626" t="str">
        <f t="shared" si="12"/>
        <v>'0ba1bc0'</v>
      </c>
      <c r="F626" s="9" t="s">
        <v>335</v>
      </c>
      <c r="G626" s="4">
        <v>2</v>
      </c>
      <c r="L626" s="58" t="s">
        <v>991</v>
      </c>
    </row>
    <row r="627" spans="1:12">
      <c r="A627">
        <v>40</v>
      </c>
      <c r="B627" s="9" t="s">
        <v>335</v>
      </c>
      <c r="C627" s="50">
        <v>40928.941666666666</v>
      </c>
      <c r="D627" s="9" t="s">
        <v>335</v>
      </c>
      <c r="E627" t="str">
        <f t="shared" si="12"/>
        <v>'921359c'</v>
      </c>
      <c r="F627" s="9" t="s">
        <v>335</v>
      </c>
      <c r="G627" s="4">
        <v>3</v>
      </c>
      <c r="L627" s="58" t="s">
        <v>1041</v>
      </c>
    </row>
    <row r="628" spans="1:12">
      <c r="A628">
        <v>40</v>
      </c>
      <c r="B628" s="9" t="s">
        <v>335</v>
      </c>
      <c r="C628" s="50">
        <v>40937.467361111114</v>
      </c>
      <c r="D628" s="9" t="s">
        <v>335</v>
      </c>
      <c r="E628" t="str">
        <f t="shared" si="12"/>
        <v>'939d13c'</v>
      </c>
      <c r="F628" s="9" t="s">
        <v>335</v>
      </c>
      <c r="G628" s="4">
        <v>4</v>
      </c>
      <c r="L628" s="58" t="s">
        <v>527</v>
      </c>
    </row>
    <row r="629" spans="1:12">
      <c r="A629">
        <v>40</v>
      </c>
      <c r="B629" s="9" t="s">
        <v>335</v>
      </c>
      <c r="C629" s="50">
        <v>40946.012499999997</v>
      </c>
      <c r="D629" s="9" t="s">
        <v>335</v>
      </c>
      <c r="E629" t="str">
        <f t="shared" si="12"/>
        <v>'968c19d'</v>
      </c>
      <c r="F629" s="9" t="s">
        <v>335</v>
      </c>
      <c r="G629" s="4">
        <v>5</v>
      </c>
      <c r="L629" s="58" t="s">
        <v>818</v>
      </c>
    </row>
    <row r="630" spans="1:12">
      <c r="A630">
        <v>40</v>
      </c>
      <c r="B630" s="9" t="s">
        <v>335</v>
      </c>
      <c r="C630" s="50">
        <v>40971.477083333331</v>
      </c>
      <c r="D630" s="9" t="s">
        <v>335</v>
      </c>
      <c r="E630" t="str">
        <f t="shared" si="12"/>
        <v>'da760ef'</v>
      </c>
      <c r="F630" s="9" t="s">
        <v>335</v>
      </c>
      <c r="G630" s="4">
        <v>6</v>
      </c>
      <c r="L630" s="58" t="s">
        <v>150</v>
      </c>
    </row>
    <row r="631" spans="1:12">
      <c r="A631">
        <v>40</v>
      </c>
      <c r="B631" s="9" t="s">
        <v>335</v>
      </c>
      <c r="C631" s="50">
        <v>40987.040277777778</v>
      </c>
      <c r="D631" s="9" t="s">
        <v>335</v>
      </c>
      <c r="E631" t="str">
        <f t="shared" si="12"/>
        <v>'5454d17'</v>
      </c>
      <c r="F631" s="9" t="s">
        <v>335</v>
      </c>
      <c r="G631" s="4">
        <v>7</v>
      </c>
      <c r="L631" s="58" t="s">
        <v>75</v>
      </c>
    </row>
    <row r="632" spans="1:12">
      <c r="A632">
        <v>40</v>
      </c>
      <c r="B632" s="9" t="s">
        <v>335</v>
      </c>
      <c r="C632" s="50">
        <v>40989.836805555555</v>
      </c>
      <c r="D632" s="9" t="s">
        <v>335</v>
      </c>
      <c r="E632" t="str">
        <f t="shared" si="12"/>
        <v>'398154f'</v>
      </c>
      <c r="F632" s="9" t="s">
        <v>335</v>
      </c>
      <c r="G632" s="4">
        <v>8</v>
      </c>
      <c r="L632" s="58" t="s">
        <v>240</v>
      </c>
    </row>
    <row r="633" spans="1:12">
      <c r="A633">
        <v>40</v>
      </c>
      <c r="B633" s="9" t="s">
        <v>335</v>
      </c>
      <c r="C633" s="50">
        <v>40999.883333333331</v>
      </c>
      <c r="D633" s="9" t="s">
        <v>335</v>
      </c>
      <c r="E633" t="str">
        <f t="shared" si="12"/>
        <v>'1323a4f'</v>
      </c>
      <c r="F633" s="9" t="s">
        <v>335</v>
      </c>
      <c r="G633" s="4">
        <v>9</v>
      </c>
      <c r="L633" s="58" t="s">
        <v>123</v>
      </c>
    </row>
    <row r="634" spans="1:12">
      <c r="A634">
        <v>40</v>
      </c>
      <c r="B634" s="9" t="s">
        <v>335</v>
      </c>
      <c r="C634" s="50">
        <v>41011.868055555555</v>
      </c>
      <c r="D634" s="9" t="s">
        <v>335</v>
      </c>
      <c r="E634" t="str">
        <f t="shared" si="12"/>
        <v>'5fb009b'</v>
      </c>
      <c r="F634" s="9" t="s">
        <v>335</v>
      </c>
      <c r="G634" s="4">
        <v>10</v>
      </c>
      <c r="L634" s="58" t="s">
        <v>198</v>
      </c>
    </row>
    <row r="635" spans="1:12">
      <c r="A635">
        <v>40</v>
      </c>
      <c r="B635" s="9" t="s">
        <v>335</v>
      </c>
      <c r="C635" s="50">
        <v>41014.992361111108</v>
      </c>
      <c r="D635" s="9" t="s">
        <v>335</v>
      </c>
      <c r="E635" t="str">
        <f t="shared" si="12"/>
        <v>'bb55c07'</v>
      </c>
      <c r="F635" s="9" t="s">
        <v>335</v>
      </c>
      <c r="G635" s="4">
        <v>11</v>
      </c>
      <c r="L635" s="58" t="s">
        <v>104</v>
      </c>
    </row>
    <row r="636" spans="1:12">
      <c r="A636">
        <v>40</v>
      </c>
      <c r="B636" s="9" t="s">
        <v>335</v>
      </c>
      <c r="C636" s="50">
        <v>41020.418749999997</v>
      </c>
      <c r="D636" s="9" t="s">
        <v>335</v>
      </c>
      <c r="E636" t="str">
        <f t="shared" si="12"/>
        <v>'5587d13'</v>
      </c>
      <c r="F636" s="9" t="s">
        <v>335</v>
      </c>
      <c r="G636" s="4">
        <v>12</v>
      </c>
      <c r="L636" s="58" t="s">
        <v>4</v>
      </c>
    </row>
    <row r="637" spans="1:12">
      <c r="A637">
        <v>40</v>
      </c>
      <c r="B637" s="9" t="s">
        <v>335</v>
      </c>
      <c r="C637" s="50">
        <v>41032.681250000001</v>
      </c>
      <c r="D637" s="9" t="s">
        <v>335</v>
      </c>
      <c r="E637" t="str">
        <f t="shared" si="12"/>
        <v>'2c065f5'</v>
      </c>
      <c r="F637" s="9" t="s">
        <v>335</v>
      </c>
      <c r="G637" s="4">
        <v>13</v>
      </c>
      <c r="L637" s="58" t="s">
        <v>190</v>
      </c>
    </row>
    <row r="638" spans="1:12">
      <c r="A638">
        <v>40</v>
      </c>
      <c r="B638" s="9" t="s">
        <v>335</v>
      </c>
      <c r="C638" s="50">
        <v>41035.763888888891</v>
      </c>
      <c r="D638" s="9" t="s">
        <v>335</v>
      </c>
      <c r="E638" t="str">
        <f t="shared" si="12"/>
        <v>'3b01b29'</v>
      </c>
      <c r="F638" s="9" t="s">
        <v>335</v>
      </c>
      <c r="G638" s="4">
        <v>14</v>
      </c>
      <c r="L638" s="58" t="s">
        <v>28</v>
      </c>
    </row>
    <row r="639" spans="1:12">
      <c r="A639">
        <v>40</v>
      </c>
      <c r="B639" s="9" t="s">
        <v>335</v>
      </c>
      <c r="C639" s="50">
        <v>41051.17291666667</v>
      </c>
      <c r="D639" s="9" t="s">
        <v>335</v>
      </c>
      <c r="E639" t="str">
        <f t="shared" si="12"/>
        <v>'6e58e07'</v>
      </c>
      <c r="F639" s="9" t="s">
        <v>335</v>
      </c>
      <c r="G639" s="4">
        <v>15</v>
      </c>
      <c r="L639" s="58" t="s">
        <v>253</v>
      </c>
    </row>
    <row r="640" spans="1:12">
      <c r="A640">
        <v>41</v>
      </c>
      <c r="B640" s="9" t="s">
        <v>335</v>
      </c>
      <c r="C640" s="50">
        <v>41030.38958333333</v>
      </c>
      <c r="D640" s="9" t="s">
        <v>335</v>
      </c>
      <c r="E640" t="str">
        <f t="shared" si="12"/>
        <v>'c92c221'</v>
      </c>
      <c r="F640" s="9" t="s">
        <v>335</v>
      </c>
      <c r="G640" s="4">
        <v>1</v>
      </c>
      <c r="L640" s="58" t="s">
        <v>40</v>
      </c>
    </row>
    <row r="641" spans="1:12">
      <c r="A641">
        <v>41</v>
      </c>
      <c r="B641" s="9" t="s">
        <v>335</v>
      </c>
      <c r="C641" s="50">
        <v>41030.402083333334</v>
      </c>
      <c r="D641" s="9" t="s">
        <v>335</v>
      </c>
      <c r="E641" t="str">
        <f t="shared" si="12"/>
        <v>'71debc2'</v>
      </c>
      <c r="F641" s="9" t="s">
        <v>335</v>
      </c>
      <c r="G641" s="4">
        <v>2</v>
      </c>
      <c r="L641" s="58" t="s">
        <v>281</v>
      </c>
    </row>
    <row r="642" spans="1:12">
      <c r="A642">
        <v>41</v>
      </c>
      <c r="B642" s="9" t="s">
        <v>335</v>
      </c>
      <c r="C642" s="50">
        <v>41050.663194444445</v>
      </c>
      <c r="D642" s="9" t="s">
        <v>335</v>
      </c>
      <c r="E642" t="str">
        <f t="shared" si="12"/>
        <v>'5dd5129'</v>
      </c>
      <c r="F642" s="9" t="s">
        <v>335</v>
      </c>
      <c r="G642" s="4">
        <v>3</v>
      </c>
      <c r="L642" s="58" t="s">
        <v>267</v>
      </c>
    </row>
    <row r="643" spans="1:12">
      <c r="A643">
        <v>42</v>
      </c>
      <c r="B643" s="9" t="s">
        <v>335</v>
      </c>
      <c r="C643" s="50">
        <v>41008.543749999997</v>
      </c>
      <c r="D643" s="9" t="s">
        <v>335</v>
      </c>
      <c r="E643" t="str">
        <f t="shared" si="12"/>
        <v>'752a7c7'</v>
      </c>
      <c r="F643" s="9" t="s">
        <v>335</v>
      </c>
      <c r="G643" s="4">
        <v>1</v>
      </c>
      <c r="L643" s="58" t="s">
        <v>81</v>
      </c>
    </row>
    <row r="644" spans="1:12">
      <c r="A644">
        <v>43</v>
      </c>
      <c r="B644" s="9" t="s">
        <v>335</v>
      </c>
      <c r="C644" s="50">
        <v>40963.697222222225</v>
      </c>
      <c r="D644" s="9" t="s">
        <v>335</v>
      </c>
      <c r="E644" t="str">
        <f t="shared" si="12"/>
        <v>'2e8cb00'</v>
      </c>
      <c r="F644" s="9" t="s">
        <v>335</v>
      </c>
      <c r="G644" s="4">
        <v>1</v>
      </c>
      <c r="L644" s="58" t="s">
        <v>392</v>
      </c>
    </row>
    <row r="645" spans="1:12">
      <c r="A645">
        <v>43</v>
      </c>
      <c r="B645" s="9" t="s">
        <v>335</v>
      </c>
      <c r="C645" s="50">
        <v>41079.785416666666</v>
      </c>
      <c r="D645" s="9" t="s">
        <v>335</v>
      </c>
      <c r="E645" t="str">
        <f t="shared" si="12"/>
        <v>'2027421'</v>
      </c>
      <c r="F645" s="9" t="s">
        <v>335</v>
      </c>
      <c r="G645" s="4">
        <v>2</v>
      </c>
      <c r="L645" s="58" t="s">
        <v>1950</v>
      </c>
    </row>
    <row r="646" spans="1:12">
      <c r="A646">
        <v>44</v>
      </c>
      <c r="B646" s="9" t="s">
        <v>335</v>
      </c>
      <c r="C646" s="50">
        <v>40915.584027777775</v>
      </c>
      <c r="D646" s="9" t="s">
        <v>335</v>
      </c>
      <c r="E646" t="str">
        <f t="shared" si="12"/>
        <v>'58e0ea4'</v>
      </c>
      <c r="F646" s="9" t="s">
        <v>335</v>
      </c>
      <c r="G646" s="4">
        <v>1</v>
      </c>
      <c r="L646" s="58" t="s">
        <v>1493</v>
      </c>
    </row>
    <row r="647" spans="1:12">
      <c r="A647">
        <v>45</v>
      </c>
      <c r="B647" s="9" t="s">
        <v>335</v>
      </c>
      <c r="C647" s="50">
        <v>41013.703472222223</v>
      </c>
      <c r="D647" s="9" t="s">
        <v>335</v>
      </c>
      <c r="E647" t="str">
        <f t="shared" si="12"/>
        <v>'e465f72'</v>
      </c>
      <c r="F647" s="9" t="s">
        <v>335</v>
      </c>
      <c r="G647" s="4">
        <v>1</v>
      </c>
      <c r="L647" s="58" t="s">
        <v>34</v>
      </c>
    </row>
    <row r="648" spans="1:12">
      <c r="A648">
        <v>46</v>
      </c>
      <c r="B648" s="9" t="s">
        <v>335</v>
      </c>
      <c r="C648" s="50">
        <v>40990.819444444445</v>
      </c>
      <c r="D648" s="9" t="s">
        <v>335</v>
      </c>
      <c r="E648" t="str">
        <f t="shared" si="12"/>
        <v>'3c5d7cc'</v>
      </c>
      <c r="F648" s="9" t="s">
        <v>335</v>
      </c>
      <c r="G648" s="4">
        <v>1</v>
      </c>
      <c r="L648" s="58" t="s">
        <v>196</v>
      </c>
    </row>
    <row r="649" spans="1:12">
      <c r="A649">
        <v>46</v>
      </c>
      <c r="B649" s="9" t="s">
        <v>335</v>
      </c>
      <c r="C649" s="50">
        <v>40995.917361111111</v>
      </c>
      <c r="D649" s="9" t="s">
        <v>335</v>
      </c>
      <c r="E649" t="str">
        <f t="shared" si="12"/>
        <v>'07b3f2c'</v>
      </c>
      <c r="F649" s="9" t="s">
        <v>335</v>
      </c>
      <c r="G649" s="4">
        <v>2</v>
      </c>
      <c r="L649" s="58" t="s">
        <v>278</v>
      </c>
    </row>
    <row r="650" spans="1:12">
      <c r="A650">
        <v>46</v>
      </c>
      <c r="B650" s="9" t="s">
        <v>335</v>
      </c>
      <c r="C650" s="50">
        <v>41013.902777777781</v>
      </c>
      <c r="D650" s="9" t="s">
        <v>335</v>
      </c>
      <c r="E650" t="str">
        <f t="shared" si="12"/>
        <v>'1421ca1'</v>
      </c>
      <c r="F650" s="9" t="s">
        <v>335</v>
      </c>
      <c r="G650" s="4">
        <v>3</v>
      </c>
      <c r="L650" s="58" t="s">
        <v>187</v>
      </c>
    </row>
    <row r="651" spans="1:12">
      <c r="A651">
        <v>46</v>
      </c>
      <c r="B651" s="9" t="s">
        <v>335</v>
      </c>
      <c r="C651" s="50">
        <v>41035.727083333331</v>
      </c>
      <c r="D651" s="9" t="s">
        <v>335</v>
      </c>
      <c r="E651" t="str">
        <f t="shared" si="12"/>
        <v>'fc962ca'</v>
      </c>
      <c r="F651" s="9" t="s">
        <v>335</v>
      </c>
      <c r="G651" s="4">
        <v>4</v>
      </c>
      <c r="L651" s="58" t="s">
        <v>163</v>
      </c>
    </row>
    <row r="652" spans="1:12">
      <c r="A652">
        <v>47</v>
      </c>
      <c r="B652" s="9" t="s">
        <v>335</v>
      </c>
      <c r="C652" s="50">
        <v>40924.270833333336</v>
      </c>
      <c r="D652" s="9" t="s">
        <v>335</v>
      </c>
      <c r="E652" t="str">
        <f t="shared" si="12"/>
        <v>'c937126'</v>
      </c>
      <c r="F652" s="9" t="s">
        <v>335</v>
      </c>
      <c r="G652" s="4">
        <v>1</v>
      </c>
      <c r="L652" s="58" t="s">
        <v>1538</v>
      </c>
    </row>
    <row r="653" spans="1:12">
      <c r="A653">
        <v>47</v>
      </c>
      <c r="B653" s="9" t="s">
        <v>335</v>
      </c>
      <c r="C653" s="50">
        <v>40959.313888888886</v>
      </c>
      <c r="D653" s="9" t="s">
        <v>335</v>
      </c>
      <c r="E653" t="str">
        <f t="shared" si="12"/>
        <v>'4866198'</v>
      </c>
      <c r="F653" s="9" t="s">
        <v>335</v>
      </c>
      <c r="G653" s="4">
        <v>2</v>
      </c>
      <c r="L653" s="58" t="s">
        <v>1917</v>
      </c>
    </row>
    <row r="654" spans="1:12">
      <c r="A654">
        <v>47</v>
      </c>
      <c r="B654" s="9" t="s">
        <v>335</v>
      </c>
      <c r="C654" s="50">
        <v>40962.070138888892</v>
      </c>
      <c r="D654" s="9" t="s">
        <v>335</v>
      </c>
      <c r="E654" t="str">
        <f t="shared" si="12"/>
        <v>'6baefcc'</v>
      </c>
      <c r="F654" s="9" t="s">
        <v>335</v>
      </c>
      <c r="G654" s="4">
        <v>3</v>
      </c>
      <c r="L654" s="58" t="s">
        <v>391</v>
      </c>
    </row>
    <row r="655" spans="1:12">
      <c r="A655">
        <v>47</v>
      </c>
      <c r="B655" s="9" t="s">
        <v>335</v>
      </c>
      <c r="C655" s="50">
        <v>40970.339583333334</v>
      </c>
      <c r="D655" s="9" t="s">
        <v>335</v>
      </c>
      <c r="E655" t="str">
        <f t="shared" si="12"/>
        <v>'156e634'</v>
      </c>
      <c r="F655" s="9" t="s">
        <v>335</v>
      </c>
      <c r="G655" s="4">
        <v>4</v>
      </c>
      <c r="L655" s="58" t="s">
        <v>165</v>
      </c>
    </row>
    <row r="656" spans="1:12">
      <c r="A656">
        <v>47</v>
      </c>
      <c r="B656" s="9" t="s">
        <v>335</v>
      </c>
      <c r="C656" s="50">
        <v>41046.047222222223</v>
      </c>
      <c r="D656" s="9" t="s">
        <v>335</v>
      </c>
      <c r="E656" t="str">
        <f t="shared" si="12"/>
        <v>'4256334'</v>
      </c>
      <c r="F656" s="9" t="s">
        <v>335</v>
      </c>
      <c r="G656" s="4">
        <v>5</v>
      </c>
      <c r="L656" s="58" t="s">
        <v>1947</v>
      </c>
    </row>
    <row r="657" spans="1:12">
      <c r="A657">
        <v>48</v>
      </c>
      <c r="B657" s="9" t="s">
        <v>335</v>
      </c>
      <c r="C657" s="50">
        <v>40917.648611111108</v>
      </c>
      <c r="D657" s="9" t="s">
        <v>335</v>
      </c>
      <c r="E657" t="str">
        <f t="shared" si="12"/>
        <v>'6819716'</v>
      </c>
      <c r="F657" s="9" t="s">
        <v>335</v>
      </c>
      <c r="G657" s="4">
        <v>1</v>
      </c>
      <c r="L657" s="58" t="s">
        <v>1941</v>
      </c>
    </row>
    <row r="658" spans="1:12">
      <c r="A658">
        <v>48</v>
      </c>
      <c r="B658" s="9" t="s">
        <v>335</v>
      </c>
      <c r="C658" s="50">
        <v>40924.65</v>
      </c>
      <c r="D658" s="9" t="s">
        <v>335</v>
      </c>
      <c r="E658" t="str">
        <f t="shared" si="12"/>
        <v>'cc571a3'</v>
      </c>
      <c r="F658" s="9" t="s">
        <v>335</v>
      </c>
      <c r="G658" s="4">
        <v>2</v>
      </c>
      <c r="L658" s="58" t="s">
        <v>1526</v>
      </c>
    </row>
    <row r="659" spans="1:12">
      <c r="A659">
        <v>48</v>
      </c>
      <c r="B659" s="9" t="s">
        <v>335</v>
      </c>
      <c r="C659" s="50">
        <v>40931.65</v>
      </c>
      <c r="D659" s="9" t="s">
        <v>335</v>
      </c>
      <c r="E659" t="str">
        <f t="shared" si="12"/>
        <v>'05419eb'</v>
      </c>
      <c r="F659" s="9" t="s">
        <v>335</v>
      </c>
      <c r="G659" s="4">
        <v>3</v>
      </c>
      <c r="L659" s="58" t="s">
        <v>613</v>
      </c>
    </row>
    <row r="660" spans="1:12">
      <c r="A660">
        <v>48</v>
      </c>
      <c r="B660" s="9" t="s">
        <v>335</v>
      </c>
      <c r="C660" s="50">
        <v>40918.467361111114</v>
      </c>
      <c r="D660" s="9" t="s">
        <v>335</v>
      </c>
      <c r="E660" t="str">
        <f t="shared" si="12"/>
        <v>'6d61c80'</v>
      </c>
      <c r="F660" s="9" t="s">
        <v>335</v>
      </c>
      <c r="G660" s="4">
        <v>4</v>
      </c>
      <c r="L660" s="58" t="s">
        <v>598</v>
      </c>
    </row>
    <row r="661" spans="1:12">
      <c r="A661">
        <v>48</v>
      </c>
      <c r="B661" s="9" t="s">
        <v>335</v>
      </c>
      <c r="C661" s="50">
        <v>40956.519444444442</v>
      </c>
      <c r="D661" s="9" t="s">
        <v>335</v>
      </c>
      <c r="E661" t="str">
        <f t="shared" si="12"/>
        <v>'689b397'</v>
      </c>
      <c r="F661" s="9" t="s">
        <v>335</v>
      </c>
      <c r="G661" s="4">
        <v>5</v>
      </c>
      <c r="L661" s="58" t="s">
        <v>710</v>
      </c>
    </row>
    <row r="662" spans="1:12">
      <c r="A662">
        <v>48</v>
      </c>
      <c r="B662" s="9" t="s">
        <v>335</v>
      </c>
      <c r="C662" s="50">
        <v>40967.455555555556</v>
      </c>
      <c r="D662" s="9" t="s">
        <v>335</v>
      </c>
      <c r="E662" t="str">
        <f t="shared" si="12"/>
        <v>'105c573'</v>
      </c>
      <c r="F662" s="9" t="s">
        <v>335</v>
      </c>
      <c r="G662" s="4">
        <v>6</v>
      </c>
      <c r="L662" s="58" t="s">
        <v>10</v>
      </c>
    </row>
    <row r="663" spans="1:12">
      <c r="A663">
        <v>48</v>
      </c>
      <c r="B663" s="9" t="s">
        <v>335</v>
      </c>
      <c r="C663" s="50">
        <v>41000.882638888892</v>
      </c>
      <c r="D663" s="9" t="s">
        <v>335</v>
      </c>
      <c r="E663" t="str">
        <f t="shared" ref="E663:E665" si="13">CONCATENATE("'",L663,"'")</f>
        <v>'19865f3'</v>
      </c>
      <c r="F663" s="9" t="s">
        <v>335</v>
      </c>
      <c r="G663" s="4">
        <v>7</v>
      </c>
      <c r="L663" s="58" t="s">
        <v>20</v>
      </c>
    </row>
    <row r="664" spans="1:12">
      <c r="A664">
        <v>48</v>
      </c>
      <c r="B664" s="9" t="s">
        <v>335</v>
      </c>
      <c r="C664" s="50">
        <v>41001.499305555553</v>
      </c>
      <c r="D664" s="9" t="s">
        <v>335</v>
      </c>
      <c r="E664" t="str">
        <f t="shared" si="13"/>
        <v>'e93e056'</v>
      </c>
      <c r="F664" s="9" t="s">
        <v>335</v>
      </c>
      <c r="G664" s="4">
        <v>8</v>
      </c>
      <c r="L664" s="58" t="s">
        <v>14</v>
      </c>
    </row>
    <row r="665" spans="1:12">
      <c r="A665">
        <v>48</v>
      </c>
      <c r="B665" s="9" t="s">
        <v>335</v>
      </c>
      <c r="C665" s="50">
        <v>41023.429861111108</v>
      </c>
      <c r="D665" s="9" t="s">
        <v>335</v>
      </c>
      <c r="E665" t="str">
        <f t="shared" si="13"/>
        <v>'5f92a03'</v>
      </c>
      <c r="F665" s="9" t="s">
        <v>335</v>
      </c>
      <c r="G665" s="4">
        <v>9</v>
      </c>
      <c r="L665" s="58" t="s">
        <v>110</v>
      </c>
    </row>
    <row r="666" spans="1:12">
      <c r="B666" s="9" t="s">
        <v>335</v>
      </c>
      <c r="D666" s="9" t="s">
        <v>335</v>
      </c>
      <c r="E666" t="str">
        <f t="shared" ref="E666:E729" si="14">CONCATENATE("'",L666,"'")</f>
        <v>''</v>
      </c>
      <c r="F666" s="9" t="s">
        <v>335</v>
      </c>
    </row>
    <row r="667" spans="1:12">
      <c r="A667">
        <v>1</v>
      </c>
      <c r="B667" s="9" t="s">
        <v>335</v>
      </c>
      <c r="C667" s="50">
        <v>40585.862500000003</v>
      </c>
      <c r="D667" s="9" t="s">
        <v>335</v>
      </c>
      <c r="E667" t="str">
        <f t="shared" si="14"/>
        <v>'53a265e'</v>
      </c>
      <c r="F667" s="9" t="s">
        <v>335</v>
      </c>
      <c r="G667" s="4">
        <v>1</v>
      </c>
      <c r="H667" t="s">
        <v>1958</v>
      </c>
      <c r="L667" s="58" t="s">
        <v>1505</v>
      </c>
    </row>
    <row r="668" spans="1:12">
      <c r="A668">
        <v>2</v>
      </c>
      <c r="B668" s="9" t="s">
        <v>335</v>
      </c>
      <c r="C668" s="50">
        <v>40578.446527777778</v>
      </c>
      <c r="D668" s="9" t="s">
        <v>335</v>
      </c>
      <c r="E668" t="str">
        <f t="shared" si="14"/>
        <v>'c3e7be3'</v>
      </c>
      <c r="F668" s="9" t="s">
        <v>335</v>
      </c>
      <c r="G668" s="4">
        <v>1</v>
      </c>
      <c r="L668" s="58" t="s">
        <v>1328</v>
      </c>
    </row>
    <row r="669" spans="1:12">
      <c r="A669">
        <v>2</v>
      </c>
      <c r="B669" s="9" t="s">
        <v>335</v>
      </c>
      <c r="C669" s="50">
        <v>40589.693055555559</v>
      </c>
      <c r="D669" s="9" t="s">
        <v>335</v>
      </c>
      <c r="E669" t="str">
        <f t="shared" si="14"/>
        <v>'ebf4146'</v>
      </c>
      <c r="F669" s="9" t="s">
        <v>335</v>
      </c>
      <c r="G669" s="4">
        <v>2</v>
      </c>
      <c r="L669" s="58" t="s">
        <v>1438</v>
      </c>
    </row>
    <row r="670" spans="1:12">
      <c r="A670">
        <v>2</v>
      </c>
      <c r="B670" s="9" t="s">
        <v>335</v>
      </c>
      <c r="C670" s="50">
        <v>40597.75277777778</v>
      </c>
      <c r="D670" s="9" t="s">
        <v>335</v>
      </c>
      <c r="E670" t="str">
        <f t="shared" si="14"/>
        <v>'543dc87'</v>
      </c>
      <c r="F670" s="9" t="s">
        <v>335</v>
      </c>
      <c r="G670" s="4">
        <v>3</v>
      </c>
      <c r="L670" s="58" t="s">
        <v>1244</v>
      </c>
    </row>
    <row r="671" spans="1:12">
      <c r="A671">
        <v>2</v>
      </c>
      <c r="B671" s="9" t="s">
        <v>335</v>
      </c>
      <c r="C671" s="50">
        <v>40616.892361111109</v>
      </c>
      <c r="D671" s="9" t="s">
        <v>335</v>
      </c>
      <c r="E671" t="str">
        <f t="shared" si="14"/>
        <v>'3e0b5a6'</v>
      </c>
      <c r="F671" s="9" t="s">
        <v>335</v>
      </c>
      <c r="G671" s="4">
        <v>4</v>
      </c>
      <c r="L671" s="58" t="s">
        <v>762</v>
      </c>
    </row>
    <row r="672" spans="1:12">
      <c r="A672">
        <v>3</v>
      </c>
      <c r="B672" s="9" t="s">
        <v>335</v>
      </c>
      <c r="C672" s="50">
        <v>40585.870833333334</v>
      </c>
      <c r="D672" s="9" t="s">
        <v>335</v>
      </c>
      <c r="E672" t="str">
        <f t="shared" si="14"/>
        <v>'ec38211'</v>
      </c>
      <c r="F672" s="9" t="s">
        <v>335</v>
      </c>
      <c r="G672" s="4">
        <v>1</v>
      </c>
      <c r="L672" s="58" t="s">
        <v>374</v>
      </c>
    </row>
    <row r="673" spans="1:12">
      <c r="A673">
        <v>3</v>
      </c>
      <c r="B673" s="9" t="s">
        <v>335</v>
      </c>
      <c r="C673" s="50">
        <v>40585.879166666666</v>
      </c>
      <c r="D673" s="9" t="s">
        <v>335</v>
      </c>
      <c r="E673" t="str">
        <f t="shared" si="14"/>
        <v>'9a62931'</v>
      </c>
      <c r="F673" s="9" t="s">
        <v>335</v>
      </c>
      <c r="G673" s="4">
        <v>2</v>
      </c>
      <c r="L673" s="58" t="s">
        <v>1487</v>
      </c>
    </row>
    <row r="674" spans="1:12">
      <c r="A674">
        <v>3</v>
      </c>
      <c r="B674" s="9" t="s">
        <v>335</v>
      </c>
      <c r="C674" s="50">
        <v>40586.813194444447</v>
      </c>
      <c r="D674" s="9" t="s">
        <v>335</v>
      </c>
      <c r="E674" t="str">
        <f t="shared" si="14"/>
        <v>'c12848f'</v>
      </c>
      <c r="F674" s="9" t="s">
        <v>335</v>
      </c>
      <c r="G674" s="4">
        <v>3</v>
      </c>
      <c r="L674" s="58" t="s">
        <v>1242</v>
      </c>
    </row>
    <row r="675" spans="1:12">
      <c r="A675">
        <v>3</v>
      </c>
      <c r="B675" s="9" t="s">
        <v>335</v>
      </c>
      <c r="C675" s="50">
        <v>40593.719444444447</v>
      </c>
      <c r="D675" s="9" t="s">
        <v>335</v>
      </c>
      <c r="E675" t="str">
        <f t="shared" si="14"/>
        <v>'5e86a38'</v>
      </c>
      <c r="F675" s="9" t="s">
        <v>335</v>
      </c>
      <c r="G675" s="4">
        <v>4</v>
      </c>
      <c r="L675" s="58" t="s">
        <v>484</v>
      </c>
    </row>
    <row r="676" spans="1:12">
      <c r="A676">
        <v>3</v>
      </c>
      <c r="B676" s="9" t="s">
        <v>335</v>
      </c>
      <c r="C676" s="50">
        <v>40594.940972222219</v>
      </c>
      <c r="D676" s="9" t="s">
        <v>335</v>
      </c>
      <c r="E676" t="str">
        <f t="shared" si="14"/>
        <v>'6c7933c'</v>
      </c>
      <c r="F676" s="9" t="s">
        <v>335</v>
      </c>
      <c r="G676" s="4">
        <v>5</v>
      </c>
      <c r="L676" s="58" t="s">
        <v>689</v>
      </c>
    </row>
    <row r="677" spans="1:12">
      <c r="A677">
        <v>3</v>
      </c>
      <c r="B677" s="9" t="s">
        <v>335</v>
      </c>
      <c r="C677" s="50">
        <v>40594.943055555559</v>
      </c>
      <c r="D677" s="9" t="s">
        <v>335</v>
      </c>
      <c r="E677" t="str">
        <f t="shared" si="14"/>
        <v>'f934952'</v>
      </c>
      <c r="F677" s="9" t="s">
        <v>335</v>
      </c>
      <c r="G677" s="4">
        <v>6</v>
      </c>
      <c r="L677" s="58" t="s">
        <v>969</v>
      </c>
    </row>
    <row r="678" spans="1:12">
      <c r="A678">
        <v>3</v>
      </c>
      <c r="B678" s="9" t="s">
        <v>335</v>
      </c>
      <c r="C678" s="50">
        <v>40598.861111111109</v>
      </c>
      <c r="D678" s="9" t="s">
        <v>335</v>
      </c>
      <c r="E678" t="str">
        <f t="shared" si="14"/>
        <v>'e71bfe4'</v>
      </c>
      <c r="F678" s="9" t="s">
        <v>335</v>
      </c>
      <c r="G678" s="4">
        <v>7</v>
      </c>
      <c r="L678" s="58" t="s">
        <v>1245</v>
      </c>
    </row>
    <row r="679" spans="1:12">
      <c r="A679">
        <v>3</v>
      </c>
      <c r="B679" s="9" t="s">
        <v>335</v>
      </c>
      <c r="C679" s="50">
        <v>40598.863888888889</v>
      </c>
      <c r="D679" s="9" t="s">
        <v>335</v>
      </c>
      <c r="E679" t="str">
        <f t="shared" si="14"/>
        <v>'3a97ded'</v>
      </c>
      <c r="F679" s="9" t="s">
        <v>335</v>
      </c>
      <c r="G679" s="4">
        <v>8</v>
      </c>
      <c r="L679" s="58" t="s">
        <v>418</v>
      </c>
    </row>
    <row r="680" spans="1:12">
      <c r="A680">
        <v>4</v>
      </c>
      <c r="B680" s="9" t="s">
        <v>335</v>
      </c>
      <c r="C680" s="50">
        <v>40578.489583333336</v>
      </c>
      <c r="D680" s="9" t="s">
        <v>335</v>
      </c>
      <c r="E680" t="str">
        <f t="shared" si="14"/>
        <v>'657c487'</v>
      </c>
      <c r="F680" s="9" t="s">
        <v>335</v>
      </c>
      <c r="G680" s="4">
        <v>1</v>
      </c>
      <c r="L680" s="58" t="s">
        <v>1198</v>
      </c>
    </row>
    <row r="681" spans="1:12">
      <c r="A681">
        <v>4</v>
      </c>
      <c r="B681" s="9" t="s">
        <v>335</v>
      </c>
      <c r="C681" s="50">
        <v>40583.493055555555</v>
      </c>
      <c r="D681" s="9" t="s">
        <v>335</v>
      </c>
      <c r="E681" t="str">
        <f t="shared" si="14"/>
        <v>'354956f'</v>
      </c>
      <c r="F681" s="9" t="s">
        <v>335</v>
      </c>
      <c r="G681" s="4">
        <v>2</v>
      </c>
      <c r="L681" s="58" t="s">
        <v>1103</v>
      </c>
    </row>
    <row r="682" spans="1:12">
      <c r="A682">
        <v>4</v>
      </c>
      <c r="B682" s="9" t="s">
        <v>335</v>
      </c>
      <c r="C682" s="50">
        <v>40615.63958333333</v>
      </c>
      <c r="D682" s="9" t="s">
        <v>335</v>
      </c>
      <c r="E682" t="str">
        <f t="shared" si="14"/>
        <v>'5e3000f'</v>
      </c>
      <c r="F682" s="9" t="s">
        <v>335</v>
      </c>
      <c r="G682" s="4">
        <v>3</v>
      </c>
      <c r="L682" s="58" t="s">
        <v>1237</v>
      </c>
    </row>
    <row r="683" spans="1:12">
      <c r="A683">
        <v>4</v>
      </c>
      <c r="B683" s="9" t="s">
        <v>335</v>
      </c>
      <c r="C683" s="50">
        <v>40620.588194444441</v>
      </c>
      <c r="D683" s="9" t="s">
        <v>335</v>
      </c>
      <c r="E683" t="str">
        <f t="shared" si="14"/>
        <v>'3f81160'</v>
      </c>
      <c r="F683" s="9" t="s">
        <v>335</v>
      </c>
      <c r="G683" s="4">
        <v>4</v>
      </c>
      <c r="L683" s="58" t="s">
        <v>1171</v>
      </c>
    </row>
    <row r="684" spans="1:12">
      <c r="A684">
        <v>4</v>
      </c>
      <c r="B684" s="9" t="s">
        <v>335</v>
      </c>
      <c r="C684" s="50">
        <v>40654.533333333333</v>
      </c>
      <c r="D684" s="9" t="s">
        <v>335</v>
      </c>
      <c r="E684" t="str">
        <f t="shared" si="14"/>
        <v>'f28409e'</v>
      </c>
      <c r="F684" s="9" t="s">
        <v>335</v>
      </c>
      <c r="G684" s="4">
        <v>5</v>
      </c>
      <c r="L684" s="58" t="s">
        <v>1495</v>
      </c>
    </row>
    <row r="685" spans="1:12">
      <c r="A685">
        <v>4</v>
      </c>
      <c r="B685" s="9" t="s">
        <v>335</v>
      </c>
      <c r="C685" s="50">
        <v>40682.703472222223</v>
      </c>
      <c r="D685" s="9" t="s">
        <v>335</v>
      </c>
      <c r="E685" t="str">
        <f t="shared" si="14"/>
        <v>'0667a43'</v>
      </c>
      <c r="F685" s="9" t="s">
        <v>335</v>
      </c>
      <c r="G685" s="4">
        <v>6</v>
      </c>
      <c r="L685" s="58" t="s">
        <v>474</v>
      </c>
    </row>
    <row r="686" spans="1:12">
      <c r="A686">
        <v>4</v>
      </c>
      <c r="B686" s="9" t="s">
        <v>335</v>
      </c>
      <c r="C686" s="50">
        <v>40682.711805555555</v>
      </c>
      <c r="D686" s="9" t="s">
        <v>335</v>
      </c>
      <c r="E686" t="str">
        <f t="shared" si="14"/>
        <v>'ee8de0f'</v>
      </c>
      <c r="F686" s="9" t="s">
        <v>335</v>
      </c>
      <c r="G686" s="4">
        <v>7</v>
      </c>
      <c r="L686" s="58" t="s">
        <v>1470</v>
      </c>
    </row>
    <row r="687" spans="1:12">
      <c r="A687">
        <v>4</v>
      </c>
      <c r="B687" s="9" t="s">
        <v>335</v>
      </c>
      <c r="C687" s="50">
        <v>40682.713194444441</v>
      </c>
      <c r="D687" s="9" t="s">
        <v>335</v>
      </c>
      <c r="E687" t="str">
        <f t="shared" si="14"/>
        <v>'d7dcb96'</v>
      </c>
      <c r="F687" s="9" t="s">
        <v>335</v>
      </c>
      <c r="G687" s="4">
        <v>8</v>
      </c>
      <c r="L687" s="58" t="s">
        <v>453</v>
      </c>
    </row>
    <row r="688" spans="1:12">
      <c r="A688">
        <v>4</v>
      </c>
      <c r="B688" s="9" t="s">
        <v>335</v>
      </c>
      <c r="C688" s="50">
        <v>40686.472222222219</v>
      </c>
      <c r="D688" s="9" t="s">
        <v>335</v>
      </c>
      <c r="E688" t="str">
        <f t="shared" si="14"/>
        <v>'c0628ee'</v>
      </c>
      <c r="F688" s="9" t="s">
        <v>335</v>
      </c>
      <c r="G688" s="4">
        <v>9</v>
      </c>
      <c r="L688" s="58" t="s">
        <v>1449</v>
      </c>
    </row>
    <row r="689" spans="1:12">
      <c r="A689">
        <v>4</v>
      </c>
      <c r="B689" s="9" t="s">
        <v>335</v>
      </c>
      <c r="C689" s="50">
        <v>40708.739583333336</v>
      </c>
      <c r="D689" s="9" t="s">
        <v>335</v>
      </c>
      <c r="E689" t="str">
        <f t="shared" si="14"/>
        <v>'2b14fe3'</v>
      </c>
      <c r="F689" s="9" t="s">
        <v>335</v>
      </c>
      <c r="G689" s="4">
        <v>10</v>
      </c>
      <c r="L689" s="58" t="s">
        <v>1305</v>
      </c>
    </row>
    <row r="690" spans="1:12">
      <c r="A690">
        <v>5</v>
      </c>
      <c r="B690" s="9" t="s">
        <v>335</v>
      </c>
      <c r="C690" s="50">
        <v>40707.270833333336</v>
      </c>
      <c r="D690" s="9" t="s">
        <v>335</v>
      </c>
      <c r="E690" t="str">
        <f t="shared" si="14"/>
        <v>'06770c3'</v>
      </c>
      <c r="F690" s="9" t="s">
        <v>335</v>
      </c>
      <c r="G690" s="4">
        <v>1</v>
      </c>
      <c r="L690" s="58" t="s">
        <v>949</v>
      </c>
    </row>
    <row r="691" spans="1:12">
      <c r="A691">
        <v>6</v>
      </c>
      <c r="B691" s="9" t="s">
        <v>335</v>
      </c>
      <c r="C691" s="50">
        <v>40685.979861111111</v>
      </c>
      <c r="D691" s="9" t="s">
        <v>335</v>
      </c>
      <c r="E691" t="str">
        <f t="shared" si="14"/>
        <v>'073734f'</v>
      </c>
      <c r="F691" s="9" t="s">
        <v>335</v>
      </c>
      <c r="G691" s="4">
        <v>1</v>
      </c>
      <c r="L691" s="58" t="s">
        <v>1331</v>
      </c>
    </row>
    <row r="692" spans="1:12">
      <c r="A692">
        <v>7</v>
      </c>
      <c r="B692" s="9" t="s">
        <v>335</v>
      </c>
      <c r="C692" s="50">
        <v>40685.979861111111</v>
      </c>
      <c r="D692" s="9" t="s">
        <v>335</v>
      </c>
      <c r="E692" t="str">
        <f t="shared" si="14"/>
        <v>'0cfbe3f'</v>
      </c>
      <c r="F692" s="9" t="s">
        <v>335</v>
      </c>
      <c r="G692" s="4">
        <v>1</v>
      </c>
      <c r="L692" s="58" t="s">
        <v>1330</v>
      </c>
    </row>
    <row r="693" spans="1:12">
      <c r="A693">
        <v>7</v>
      </c>
      <c r="B693" s="9" t="s">
        <v>335</v>
      </c>
      <c r="C693" s="50">
        <v>40691.509027777778</v>
      </c>
      <c r="D693" s="9" t="s">
        <v>335</v>
      </c>
      <c r="E693" t="str">
        <f t="shared" si="14"/>
        <v>'3c88fc5'</v>
      </c>
      <c r="F693" s="9" t="s">
        <v>335</v>
      </c>
      <c r="G693" s="4">
        <v>2</v>
      </c>
      <c r="L693" s="58" t="s">
        <v>691</v>
      </c>
    </row>
    <row r="694" spans="1:12">
      <c r="A694">
        <v>7</v>
      </c>
      <c r="B694" s="9" t="s">
        <v>335</v>
      </c>
      <c r="C694" s="50">
        <v>40691.705555555556</v>
      </c>
      <c r="D694" s="9" t="s">
        <v>335</v>
      </c>
      <c r="E694" t="str">
        <f t="shared" si="14"/>
        <v>'be03ace'</v>
      </c>
      <c r="F694" s="9" t="s">
        <v>335</v>
      </c>
      <c r="G694" s="4">
        <v>3</v>
      </c>
      <c r="L694" s="58" t="s">
        <v>581</v>
      </c>
    </row>
    <row r="695" spans="1:12">
      <c r="A695">
        <v>7</v>
      </c>
      <c r="B695" s="9" t="s">
        <v>335</v>
      </c>
      <c r="C695" s="50">
        <v>40691.526388888888</v>
      </c>
      <c r="D695" s="9" t="s">
        <v>335</v>
      </c>
      <c r="E695" t="str">
        <f t="shared" si="14"/>
        <v>'8714352'</v>
      </c>
      <c r="F695" s="9" t="s">
        <v>335</v>
      </c>
      <c r="G695" s="4">
        <v>4</v>
      </c>
      <c r="L695" s="58" t="s">
        <v>1938</v>
      </c>
    </row>
    <row r="696" spans="1:12">
      <c r="A696">
        <v>7</v>
      </c>
      <c r="B696" s="9" t="s">
        <v>335</v>
      </c>
      <c r="C696" s="50">
        <v>40694.42083333333</v>
      </c>
      <c r="D696" s="9" t="s">
        <v>335</v>
      </c>
      <c r="E696" t="str">
        <f t="shared" si="14"/>
        <v>'fe30ad8'</v>
      </c>
      <c r="F696" s="9" t="s">
        <v>335</v>
      </c>
      <c r="G696" s="4">
        <v>5</v>
      </c>
      <c r="L696" s="58" t="s">
        <v>1038</v>
      </c>
    </row>
    <row r="697" spans="1:12">
      <c r="A697">
        <v>7</v>
      </c>
      <c r="B697" s="9" t="s">
        <v>335</v>
      </c>
      <c r="C697" s="50">
        <v>40695.972222222219</v>
      </c>
      <c r="D697" s="9" t="s">
        <v>335</v>
      </c>
      <c r="E697" t="str">
        <f t="shared" si="14"/>
        <v>'454682'</v>
      </c>
      <c r="F697" s="9" t="s">
        <v>335</v>
      </c>
      <c r="G697" s="4">
        <v>6</v>
      </c>
      <c r="L697" s="58" t="s">
        <v>1911</v>
      </c>
    </row>
    <row r="698" spans="1:12">
      <c r="A698">
        <v>7</v>
      </c>
      <c r="B698" s="9" t="s">
        <v>335</v>
      </c>
      <c r="C698" s="50">
        <v>40717.464583333334</v>
      </c>
      <c r="D698" s="9" t="s">
        <v>335</v>
      </c>
      <c r="E698" t="str">
        <f t="shared" si="14"/>
        <v>'34e8a40'</v>
      </c>
      <c r="F698" s="9" t="s">
        <v>335</v>
      </c>
      <c r="G698" s="4">
        <v>7</v>
      </c>
      <c r="L698" s="58" t="s">
        <v>940</v>
      </c>
    </row>
    <row r="699" spans="1:12">
      <c r="A699">
        <v>8</v>
      </c>
      <c r="B699" s="9" t="s">
        <v>335</v>
      </c>
      <c r="C699" s="50">
        <v>40643.603472222225</v>
      </c>
      <c r="D699" s="9" t="s">
        <v>335</v>
      </c>
      <c r="E699" t="str">
        <f t="shared" si="14"/>
        <v>'5cbe179'</v>
      </c>
      <c r="F699" s="9" t="s">
        <v>335</v>
      </c>
      <c r="G699" s="4">
        <v>1</v>
      </c>
      <c r="L699" s="58" t="s">
        <v>1179</v>
      </c>
    </row>
    <row r="700" spans="1:12">
      <c r="A700">
        <v>8</v>
      </c>
      <c r="B700" s="9" t="s">
        <v>335</v>
      </c>
      <c r="C700" s="50">
        <v>40681.763888888891</v>
      </c>
      <c r="D700" s="9" t="s">
        <v>335</v>
      </c>
      <c r="E700" t="str">
        <f t="shared" si="14"/>
        <v>'1ead9d3'</v>
      </c>
      <c r="F700" s="9" t="s">
        <v>335</v>
      </c>
      <c r="G700" s="4">
        <v>2</v>
      </c>
      <c r="L700" s="58" t="s">
        <v>1278</v>
      </c>
    </row>
    <row r="701" spans="1:12">
      <c r="A701">
        <v>8</v>
      </c>
      <c r="B701" s="9" t="s">
        <v>335</v>
      </c>
      <c r="C701" s="50">
        <v>40677.722222222219</v>
      </c>
      <c r="D701" s="9" t="s">
        <v>335</v>
      </c>
      <c r="E701" t="str">
        <f t="shared" si="14"/>
        <v>'8578e58'</v>
      </c>
      <c r="F701" s="9" t="s">
        <v>335</v>
      </c>
      <c r="G701" s="4">
        <v>3</v>
      </c>
      <c r="L701" s="60" t="s">
        <v>1572</v>
      </c>
    </row>
    <row r="702" spans="1:12">
      <c r="A702">
        <v>8</v>
      </c>
      <c r="B702" s="9" t="s">
        <v>335</v>
      </c>
      <c r="C702" s="50">
        <v>40684.611805555556</v>
      </c>
      <c r="D702" s="9" t="s">
        <v>335</v>
      </c>
      <c r="E702" t="str">
        <f t="shared" si="14"/>
        <v>'c4d9fe8'</v>
      </c>
      <c r="F702" s="9" t="s">
        <v>335</v>
      </c>
      <c r="G702" s="4">
        <v>4</v>
      </c>
      <c r="L702" s="58" t="s">
        <v>464</v>
      </c>
    </row>
    <row r="703" spans="1:12">
      <c r="A703">
        <v>8</v>
      </c>
      <c r="B703" s="9" t="s">
        <v>335</v>
      </c>
      <c r="C703" s="50">
        <v>40697.852777777778</v>
      </c>
      <c r="D703" s="9" t="s">
        <v>335</v>
      </c>
      <c r="E703" t="str">
        <f t="shared" si="14"/>
        <v>'495779d'</v>
      </c>
      <c r="F703" s="9" t="s">
        <v>335</v>
      </c>
      <c r="G703" s="4">
        <v>5</v>
      </c>
      <c r="L703" s="58" t="s">
        <v>897</v>
      </c>
    </row>
    <row r="704" spans="1:12">
      <c r="A704">
        <v>9</v>
      </c>
      <c r="B704" s="9" t="s">
        <v>335</v>
      </c>
      <c r="C704" s="50">
        <v>40666.680555555555</v>
      </c>
      <c r="D704" s="9" t="s">
        <v>335</v>
      </c>
      <c r="E704" t="str">
        <f t="shared" si="14"/>
        <v>'c565c56'</v>
      </c>
      <c r="F704" s="9" t="s">
        <v>335</v>
      </c>
      <c r="G704" s="4">
        <v>1</v>
      </c>
      <c r="L704" s="58" t="s">
        <v>1448</v>
      </c>
    </row>
    <row r="705" spans="1:12">
      <c r="A705">
        <v>10</v>
      </c>
      <c r="B705" s="9" t="s">
        <v>335</v>
      </c>
      <c r="C705" s="50">
        <v>40580.870833333334</v>
      </c>
      <c r="D705" s="9" t="s">
        <v>335</v>
      </c>
      <c r="E705" t="str">
        <f t="shared" si="14"/>
        <v>'be5438b'</v>
      </c>
      <c r="F705" s="9" t="s">
        <v>335</v>
      </c>
      <c r="G705" s="4">
        <v>1</v>
      </c>
      <c r="L705" s="58" t="s">
        <v>350</v>
      </c>
    </row>
    <row r="706" spans="1:12">
      <c r="A706">
        <v>11</v>
      </c>
      <c r="B706" s="9" t="s">
        <v>335</v>
      </c>
      <c r="C706" s="50">
        <v>40576.788888888892</v>
      </c>
      <c r="D706" s="9" t="s">
        <v>335</v>
      </c>
      <c r="E706" t="str">
        <f t="shared" si="14"/>
        <v>'c628bdd'</v>
      </c>
      <c r="F706" s="9" t="s">
        <v>335</v>
      </c>
      <c r="G706" s="4">
        <v>1</v>
      </c>
      <c r="L706" s="58" t="s">
        <v>1101</v>
      </c>
    </row>
    <row r="707" spans="1:12">
      <c r="A707">
        <v>11</v>
      </c>
      <c r="B707" s="9" t="s">
        <v>335</v>
      </c>
      <c r="C707" s="50">
        <v>40577.02847222222</v>
      </c>
      <c r="D707" s="9" t="s">
        <v>335</v>
      </c>
      <c r="E707" t="str">
        <f t="shared" si="14"/>
        <v>'f134bd6'</v>
      </c>
      <c r="F707" s="9" t="s">
        <v>335</v>
      </c>
      <c r="G707" s="4">
        <v>2</v>
      </c>
      <c r="L707" s="58" t="s">
        <v>751</v>
      </c>
    </row>
    <row r="708" spans="1:12">
      <c r="A708">
        <v>11</v>
      </c>
      <c r="B708" s="9" t="s">
        <v>335</v>
      </c>
      <c r="C708" s="50">
        <v>40579.5625</v>
      </c>
      <c r="D708" s="9" t="s">
        <v>335</v>
      </c>
      <c r="E708" t="str">
        <f t="shared" si="14"/>
        <v>'1d1c188'</v>
      </c>
      <c r="F708" s="9" t="s">
        <v>335</v>
      </c>
      <c r="G708" s="4">
        <v>3</v>
      </c>
      <c r="L708" s="58" t="s">
        <v>349</v>
      </c>
    </row>
    <row r="709" spans="1:12">
      <c r="A709">
        <v>12</v>
      </c>
      <c r="B709" s="9" t="s">
        <v>335</v>
      </c>
      <c r="C709" s="50">
        <v>40676.628472222219</v>
      </c>
      <c r="D709" s="9" t="s">
        <v>335</v>
      </c>
      <c r="E709" t="str">
        <f t="shared" si="14"/>
        <v>'f10b5eb'</v>
      </c>
      <c r="F709" s="9" t="s">
        <v>335</v>
      </c>
      <c r="G709" s="4">
        <v>1</v>
      </c>
      <c r="L709" s="58" t="s">
        <v>1174</v>
      </c>
    </row>
    <row r="710" spans="1:12">
      <c r="A710">
        <v>13</v>
      </c>
      <c r="B710" s="9" t="s">
        <v>335</v>
      </c>
      <c r="C710" s="50">
        <v>40616.65347222222</v>
      </c>
      <c r="D710" s="9" t="s">
        <v>335</v>
      </c>
      <c r="E710" t="str">
        <f t="shared" si="14"/>
        <v>'836fc8b'</v>
      </c>
      <c r="F710" s="9" t="s">
        <v>335</v>
      </c>
      <c r="G710" s="4">
        <v>1</v>
      </c>
      <c r="L710" s="58" t="s">
        <v>643</v>
      </c>
    </row>
    <row r="711" spans="1:12">
      <c r="A711">
        <v>13</v>
      </c>
      <c r="B711" s="9" t="s">
        <v>335</v>
      </c>
      <c r="C711" s="50">
        <v>40685.881944444445</v>
      </c>
      <c r="D711" s="9" t="s">
        <v>335</v>
      </c>
      <c r="E711" t="str">
        <f t="shared" si="14"/>
        <v>'819c852'</v>
      </c>
      <c r="F711" s="9" t="s">
        <v>335</v>
      </c>
      <c r="G711" s="4">
        <v>2</v>
      </c>
      <c r="L711" s="58" t="s">
        <v>993</v>
      </c>
    </row>
    <row r="712" spans="1:12">
      <c r="A712">
        <v>13</v>
      </c>
      <c r="B712" s="9" t="s">
        <v>335</v>
      </c>
      <c r="C712" s="50">
        <v>40696.686111111114</v>
      </c>
      <c r="D712" s="9" t="s">
        <v>335</v>
      </c>
      <c r="E712" t="str">
        <f t="shared" si="14"/>
        <v>'d5b8cf4'</v>
      </c>
      <c r="F712" s="9" t="s">
        <v>335</v>
      </c>
      <c r="G712" s="4">
        <v>3</v>
      </c>
      <c r="L712" s="58" t="s">
        <v>465</v>
      </c>
    </row>
    <row r="713" spans="1:12">
      <c r="A713">
        <v>13</v>
      </c>
      <c r="B713" s="9" t="s">
        <v>335</v>
      </c>
      <c r="C713" s="50">
        <v>40718.918749999997</v>
      </c>
      <c r="D713" s="9" t="s">
        <v>335</v>
      </c>
      <c r="E713" t="str">
        <f t="shared" si="14"/>
        <v>'89bd7cd'</v>
      </c>
      <c r="F713" s="9" t="s">
        <v>335</v>
      </c>
      <c r="G713" s="4">
        <v>4</v>
      </c>
      <c r="L713" s="58" t="s">
        <v>814</v>
      </c>
    </row>
    <row r="714" spans="1:12">
      <c r="A714">
        <v>14</v>
      </c>
      <c r="B714" s="9" t="s">
        <v>335</v>
      </c>
      <c r="C714" s="50">
        <v>40680.061111111114</v>
      </c>
      <c r="D714" s="9" t="s">
        <v>335</v>
      </c>
      <c r="E714" t="str">
        <f t="shared" si="14"/>
        <v>'70da17e'</v>
      </c>
      <c r="F714" s="9" t="s">
        <v>335</v>
      </c>
      <c r="G714" s="4">
        <v>1</v>
      </c>
      <c r="L714" s="58" t="s">
        <v>1083</v>
      </c>
    </row>
    <row r="715" spans="1:12">
      <c r="A715">
        <v>15</v>
      </c>
      <c r="B715" s="9" t="s">
        <v>335</v>
      </c>
      <c r="C715" s="50">
        <v>40716.208333333336</v>
      </c>
      <c r="D715" s="9" t="s">
        <v>335</v>
      </c>
      <c r="E715" t="str">
        <f t="shared" si="14"/>
        <v>'591cbfd'</v>
      </c>
      <c r="F715" s="9" t="s">
        <v>335</v>
      </c>
      <c r="G715" s="4">
        <v>1</v>
      </c>
      <c r="L715" s="58" t="s">
        <v>858</v>
      </c>
    </row>
    <row r="716" spans="1:12">
      <c r="A716">
        <v>16</v>
      </c>
      <c r="B716" s="9" t="s">
        <v>335</v>
      </c>
      <c r="C716" s="50">
        <v>40579.813194444447</v>
      </c>
      <c r="D716" s="9" t="s">
        <v>335</v>
      </c>
      <c r="E716" t="str">
        <f t="shared" si="14"/>
        <v>'e7d0ba5'</v>
      </c>
      <c r="F716" s="9" t="s">
        <v>335</v>
      </c>
      <c r="G716" s="4">
        <v>1</v>
      </c>
      <c r="L716" s="58" t="s">
        <v>1071</v>
      </c>
    </row>
    <row r="717" spans="1:12">
      <c r="A717">
        <v>17</v>
      </c>
      <c r="B717" s="9" t="s">
        <v>335</v>
      </c>
      <c r="C717" s="50">
        <v>40594.031944444447</v>
      </c>
      <c r="D717" s="9" t="s">
        <v>335</v>
      </c>
      <c r="E717" t="str">
        <f t="shared" si="14"/>
        <v>'1b67e20'</v>
      </c>
      <c r="F717" s="9" t="s">
        <v>335</v>
      </c>
      <c r="G717" s="4">
        <v>1</v>
      </c>
      <c r="L717" s="58" t="s">
        <v>688</v>
      </c>
    </row>
    <row r="718" spans="1:12">
      <c r="A718">
        <v>18</v>
      </c>
      <c r="B718" s="9" t="s">
        <v>335</v>
      </c>
      <c r="C718" s="50">
        <v>40691.738888888889</v>
      </c>
      <c r="D718" s="9" t="s">
        <v>335</v>
      </c>
      <c r="E718" t="str">
        <f t="shared" si="14"/>
        <v>'84a78d5'</v>
      </c>
      <c r="F718" s="9" t="s">
        <v>335</v>
      </c>
      <c r="G718" s="4">
        <v>1</v>
      </c>
      <c r="L718" s="58" t="s">
        <v>582</v>
      </c>
    </row>
    <row r="719" spans="1:12">
      <c r="A719">
        <v>19</v>
      </c>
      <c r="B719" s="9" t="s">
        <v>335</v>
      </c>
      <c r="C719" s="50">
        <v>40564.619444444441</v>
      </c>
      <c r="D719" s="9" t="s">
        <v>335</v>
      </c>
      <c r="E719" t="str">
        <f t="shared" si="14"/>
        <v>'2951e6a'</v>
      </c>
      <c r="F719" s="9" t="s">
        <v>335</v>
      </c>
      <c r="G719" s="4">
        <v>1</v>
      </c>
      <c r="L719" s="58" t="s">
        <v>505</v>
      </c>
    </row>
    <row r="720" spans="1:12">
      <c r="A720">
        <v>20</v>
      </c>
      <c r="B720" s="9" t="s">
        <v>335</v>
      </c>
      <c r="C720" s="50">
        <v>40699.54791666667</v>
      </c>
      <c r="D720" s="9" t="s">
        <v>335</v>
      </c>
      <c r="E720" t="str">
        <f t="shared" si="14"/>
        <v>'e4a846d'</v>
      </c>
      <c r="F720" s="9" t="s">
        <v>335</v>
      </c>
      <c r="G720" s="4">
        <v>1</v>
      </c>
      <c r="L720" s="58" t="s">
        <v>888</v>
      </c>
    </row>
    <row r="721" spans="1:12">
      <c r="A721">
        <v>21</v>
      </c>
      <c r="B721" s="9" t="s">
        <v>335</v>
      </c>
      <c r="C721" s="50">
        <v>40661.9</v>
      </c>
      <c r="D721" s="9" t="s">
        <v>335</v>
      </c>
      <c r="E721" t="str">
        <f t="shared" si="14"/>
        <v>'0d3e461'</v>
      </c>
      <c r="F721" s="9" t="s">
        <v>335</v>
      </c>
      <c r="G721" s="4">
        <v>1</v>
      </c>
      <c r="L721" s="58" t="s">
        <v>487</v>
      </c>
    </row>
    <row r="722" spans="1:12">
      <c r="A722">
        <v>22</v>
      </c>
      <c r="B722" s="9" t="s">
        <v>335</v>
      </c>
      <c r="C722" s="50">
        <v>40629.980555555558</v>
      </c>
      <c r="D722" s="9" t="s">
        <v>335</v>
      </c>
      <c r="E722" t="str">
        <f t="shared" si="14"/>
        <v>'8403e8e'</v>
      </c>
      <c r="F722" s="9" t="s">
        <v>335</v>
      </c>
      <c r="G722" s="4">
        <v>1</v>
      </c>
      <c r="L722" s="58" t="s">
        <v>1311</v>
      </c>
    </row>
    <row r="723" spans="1:12">
      <c r="A723">
        <v>22</v>
      </c>
      <c r="B723" s="9" t="s">
        <v>335</v>
      </c>
      <c r="C723" s="50">
        <v>40629.980555555558</v>
      </c>
      <c r="D723" s="9" t="s">
        <v>335</v>
      </c>
      <c r="E723" t="str">
        <f t="shared" si="14"/>
        <v>'e9992be'</v>
      </c>
      <c r="F723" s="9" t="s">
        <v>335</v>
      </c>
      <c r="G723" s="4">
        <v>2</v>
      </c>
      <c r="L723" s="58" t="s">
        <v>476</v>
      </c>
    </row>
    <row r="724" spans="1:12">
      <c r="A724">
        <v>22</v>
      </c>
      <c r="B724" s="9" t="s">
        <v>335</v>
      </c>
      <c r="C724" s="50">
        <v>40633.069444444445</v>
      </c>
      <c r="D724" s="9" t="s">
        <v>335</v>
      </c>
      <c r="E724" t="str">
        <f t="shared" si="14"/>
        <v>'821bf00'</v>
      </c>
      <c r="F724" s="9" t="s">
        <v>335</v>
      </c>
      <c r="G724" s="4">
        <v>3</v>
      </c>
      <c r="L724" s="58" t="s">
        <v>1424</v>
      </c>
    </row>
    <row r="725" spans="1:12">
      <c r="A725">
        <v>22</v>
      </c>
      <c r="B725" s="9" t="s">
        <v>335</v>
      </c>
      <c r="C725" s="50">
        <v>40634.02847222222</v>
      </c>
      <c r="D725" s="9" t="s">
        <v>335</v>
      </c>
      <c r="E725" t="str">
        <f t="shared" si="14"/>
        <v>'54d9840'</v>
      </c>
      <c r="F725" s="9" t="s">
        <v>335</v>
      </c>
      <c r="G725" s="4">
        <v>4</v>
      </c>
      <c r="L725" s="58" t="s">
        <v>1043</v>
      </c>
    </row>
    <row r="726" spans="1:12">
      <c r="A726">
        <v>22</v>
      </c>
      <c r="B726" s="9" t="s">
        <v>335</v>
      </c>
      <c r="C726" s="50">
        <v>40647.134722222225</v>
      </c>
      <c r="D726" s="9" t="s">
        <v>335</v>
      </c>
      <c r="E726" t="str">
        <f t="shared" si="14"/>
        <v>'3755b4c'</v>
      </c>
      <c r="F726" s="9" t="s">
        <v>335</v>
      </c>
      <c r="G726" s="4">
        <v>5</v>
      </c>
      <c r="L726" s="58" t="s">
        <v>806</v>
      </c>
    </row>
    <row r="727" spans="1:12">
      <c r="A727">
        <v>22</v>
      </c>
      <c r="B727" s="9" t="s">
        <v>335</v>
      </c>
      <c r="C727" s="50">
        <v>40653.032638888886</v>
      </c>
      <c r="D727" s="9" t="s">
        <v>335</v>
      </c>
      <c r="E727" t="str">
        <f t="shared" si="14"/>
        <v>'831e746'</v>
      </c>
      <c r="F727" s="9" t="s">
        <v>335</v>
      </c>
      <c r="G727" s="4">
        <v>6</v>
      </c>
      <c r="L727" s="58" t="s">
        <v>1149</v>
      </c>
    </row>
    <row r="728" spans="1:12">
      <c r="A728">
        <v>22</v>
      </c>
      <c r="B728" s="9" t="s">
        <v>335</v>
      </c>
      <c r="C728" s="50">
        <v>40664.292361111111</v>
      </c>
      <c r="D728" s="9" t="s">
        <v>335</v>
      </c>
      <c r="E728" t="str">
        <f t="shared" si="14"/>
        <v>'ba41484'</v>
      </c>
      <c r="F728" s="9" t="s">
        <v>335</v>
      </c>
      <c r="G728" s="4">
        <v>7</v>
      </c>
      <c r="L728" s="58" t="s">
        <v>1289</v>
      </c>
    </row>
    <row r="729" spans="1:12">
      <c r="A729">
        <v>22</v>
      </c>
      <c r="B729" s="9" t="s">
        <v>335</v>
      </c>
      <c r="C729" s="50">
        <v>40664.664583333331</v>
      </c>
      <c r="D729" s="9" t="s">
        <v>335</v>
      </c>
      <c r="E729" t="str">
        <f t="shared" si="14"/>
        <v>'80c9fe8'</v>
      </c>
      <c r="F729" s="9" t="s">
        <v>335</v>
      </c>
      <c r="G729" s="4">
        <v>8</v>
      </c>
      <c r="L729" s="58" t="s">
        <v>1177</v>
      </c>
    </row>
    <row r="730" spans="1:12">
      <c r="A730">
        <v>22</v>
      </c>
      <c r="B730" s="9" t="s">
        <v>335</v>
      </c>
      <c r="C730" s="50">
        <v>40673.140972222223</v>
      </c>
      <c r="D730" s="9" t="s">
        <v>335</v>
      </c>
      <c r="E730" t="str">
        <f t="shared" ref="E730:E793" si="15">CONCATENATE("'",L730,"'")</f>
        <v>'825dc6d'</v>
      </c>
      <c r="F730" s="9" t="s">
        <v>335</v>
      </c>
      <c r="G730" s="4">
        <v>9</v>
      </c>
      <c r="L730" s="58" t="s">
        <v>436</v>
      </c>
    </row>
    <row r="731" spans="1:12">
      <c r="A731">
        <v>23</v>
      </c>
      <c r="B731" s="9" t="s">
        <v>335</v>
      </c>
      <c r="C731" s="50">
        <v>40582.48541666667</v>
      </c>
      <c r="D731" s="9" t="s">
        <v>335</v>
      </c>
      <c r="E731" t="str">
        <f t="shared" si="15"/>
        <v>'bf8f2f7'</v>
      </c>
      <c r="F731" s="9" t="s">
        <v>335</v>
      </c>
      <c r="G731" s="4">
        <v>1</v>
      </c>
      <c r="L731" s="58" t="s">
        <v>447</v>
      </c>
    </row>
    <row r="732" spans="1:12">
      <c r="A732">
        <v>23</v>
      </c>
      <c r="B732" s="9" t="s">
        <v>335</v>
      </c>
      <c r="C732" s="50">
        <v>40582.490972222222</v>
      </c>
      <c r="D732" s="9" t="s">
        <v>335</v>
      </c>
      <c r="E732" t="str">
        <f t="shared" si="15"/>
        <v>'997bfd1'</v>
      </c>
      <c r="F732" s="9" t="s">
        <v>335</v>
      </c>
      <c r="G732" s="4">
        <v>2</v>
      </c>
      <c r="L732" s="58" t="s">
        <v>1022</v>
      </c>
    </row>
    <row r="733" spans="1:12">
      <c r="A733">
        <v>23</v>
      </c>
      <c r="B733" s="9" t="s">
        <v>335</v>
      </c>
      <c r="C733" s="50">
        <v>40582.495833333334</v>
      </c>
      <c r="D733" s="9" t="s">
        <v>335</v>
      </c>
      <c r="E733" t="str">
        <f t="shared" si="15"/>
        <v>'a402e97'</v>
      </c>
      <c r="F733" s="9" t="s">
        <v>335</v>
      </c>
      <c r="G733" s="4">
        <v>3</v>
      </c>
      <c r="L733" s="58" t="s">
        <v>430</v>
      </c>
    </row>
    <row r="734" spans="1:12">
      <c r="A734">
        <v>24</v>
      </c>
      <c r="B734" s="9" t="s">
        <v>335</v>
      </c>
      <c r="C734" s="50">
        <v>40577.588194444441</v>
      </c>
      <c r="D734" s="9" t="s">
        <v>335</v>
      </c>
      <c r="E734" t="str">
        <f t="shared" si="15"/>
        <v>'a41c871'</v>
      </c>
      <c r="F734" s="9" t="s">
        <v>335</v>
      </c>
      <c r="G734" s="4">
        <v>1</v>
      </c>
      <c r="L734" s="58" t="s">
        <v>1327</v>
      </c>
    </row>
    <row r="735" spans="1:12">
      <c r="A735">
        <v>24</v>
      </c>
      <c r="B735" s="9" t="s">
        <v>335</v>
      </c>
      <c r="C735" s="50">
        <v>40577.911805555559</v>
      </c>
      <c r="D735" s="9" t="s">
        <v>335</v>
      </c>
      <c r="E735" t="str">
        <f t="shared" si="15"/>
        <v>'287208f'</v>
      </c>
      <c r="F735" s="9" t="s">
        <v>335</v>
      </c>
      <c r="G735" s="4">
        <v>2</v>
      </c>
      <c r="L735" s="58" t="s">
        <v>1197</v>
      </c>
    </row>
    <row r="736" spans="1:12">
      <c r="A736">
        <v>24</v>
      </c>
      <c r="B736" s="9" t="s">
        <v>335</v>
      </c>
      <c r="C736" s="50">
        <v>40578.534722222219</v>
      </c>
      <c r="D736" s="9" t="s">
        <v>335</v>
      </c>
      <c r="E736" t="str">
        <f t="shared" si="15"/>
        <v>'020a4ee'</v>
      </c>
      <c r="F736" s="9" t="s">
        <v>335</v>
      </c>
      <c r="G736" s="4">
        <v>3</v>
      </c>
      <c r="L736" s="58" t="s">
        <v>1532</v>
      </c>
    </row>
    <row r="737" spans="1:12">
      <c r="A737">
        <v>24</v>
      </c>
      <c r="B737" s="9" t="s">
        <v>335</v>
      </c>
      <c r="C737" s="50">
        <v>40578.9</v>
      </c>
      <c r="D737" s="9" t="s">
        <v>335</v>
      </c>
      <c r="E737" t="str">
        <f t="shared" si="15"/>
        <v>'a70f6b1'</v>
      </c>
      <c r="F737" s="9" t="s">
        <v>335</v>
      </c>
      <c r="G737" s="4">
        <v>4</v>
      </c>
      <c r="L737" s="58" t="s">
        <v>900</v>
      </c>
    </row>
    <row r="738" spans="1:12">
      <c r="A738">
        <v>24</v>
      </c>
      <c r="B738" s="9" t="s">
        <v>335</v>
      </c>
      <c r="C738" s="50">
        <v>40578.94027777778</v>
      </c>
      <c r="D738" s="9" t="s">
        <v>335</v>
      </c>
      <c r="E738" t="str">
        <f t="shared" si="15"/>
        <v>'9005eb6'</v>
      </c>
      <c r="F738" s="9" t="s">
        <v>335</v>
      </c>
      <c r="G738" s="4">
        <v>5</v>
      </c>
      <c r="L738" s="58" t="s">
        <v>414</v>
      </c>
    </row>
    <row r="739" spans="1:12">
      <c r="A739">
        <v>24</v>
      </c>
      <c r="B739" s="9" t="s">
        <v>335</v>
      </c>
      <c r="C739" s="50">
        <v>40578.94027777778</v>
      </c>
      <c r="D739" s="9" t="s">
        <v>335</v>
      </c>
      <c r="E739" t="str">
        <f t="shared" si="15"/>
        <v>'f40b4ff'</v>
      </c>
      <c r="F739" s="9" t="s">
        <v>335</v>
      </c>
      <c r="G739" s="4">
        <v>6</v>
      </c>
      <c r="L739" s="58" t="s">
        <v>759</v>
      </c>
    </row>
    <row r="740" spans="1:12">
      <c r="A740">
        <v>24</v>
      </c>
      <c r="B740" s="9" t="s">
        <v>335</v>
      </c>
      <c r="C740" s="50">
        <v>40581.434027777781</v>
      </c>
      <c r="D740" s="9" t="s">
        <v>335</v>
      </c>
      <c r="E740" t="str">
        <f t="shared" si="15"/>
        <v>'1d65057'</v>
      </c>
      <c r="F740" s="9" t="s">
        <v>335</v>
      </c>
      <c r="G740" s="4">
        <v>7</v>
      </c>
      <c r="L740" s="58" t="s">
        <v>1364</v>
      </c>
    </row>
    <row r="741" spans="1:12">
      <c r="A741">
        <v>24</v>
      </c>
      <c r="B741" s="9" t="s">
        <v>335</v>
      </c>
      <c r="C741" s="50">
        <v>40581.441666666666</v>
      </c>
      <c r="D741" s="9" t="s">
        <v>335</v>
      </c>
      <c r="E741" t="str">
        <f t="shared" si="15"/>
        <v>'9768125'</v>
      </c>
      <c r="F741" s="9" t="s">
        <v>335</v>
      </c>
      <c r="G741" s="4">
        <v>8</v>
      </c>
      <c r="L741" s="58" t="s">
        <v>1931</v>
      </c>
    </row>
    <row r="742" spans="1:12">
      <c r="A742">
        <v>25</v>
      </c>
      <c r="B742" s="9" t="s">
        <v>335</v>
      </c>
      <c r="C742" s="50">
        <v>40562.502083333333</v>
      </c>
      <c r="D742" s="9" t="s">
        <v>335</v>
      </c>
      <c r="E742" t="str">
        <f t="shared" si="15"/>
        <v>'945d04a'</v>
      </c>
      <c r="F742" s="9" t="s">
        <v>335</v>
      </c>
      <c r="G742" s="4">
        <v>1</v>
      </c>
      <c r="L742" s="58" t="s">
        <v>504</v>
      </c>
    </row>
    <row r="743" spans="1:12">
      <c r="A743">
        <v>25</v>
      </c>
      <c r="B743" s="9" t="s">
        <v>335</v>
      </c>
      <c r="C743" s="50">
        <v>40585.615972222222</v>
      </c>
      <c r="D743" s="9" t="s">
        <v>335</v>
      </c>
      <c r="E743" t="str">
        <f t="shared" si="15"/>
        <v>'c307735'</v>
      </c>
      <c r="F743" s="9" t="s">
        <v>335</v>
      </c>
      <c r="G743" s="4">
        <v>2</v>
      </c>
      <c r="L743" s="58" t="s">
        <v>1504</v>
      </c>
    </row>
    <row r="744" spans="1:12">
      <c r="A744">
        <v>25</v>
      </c>
      <c r="B744" s="9" t="s">
        <v>335</v>
      </c>
      <c r="C744" s="50">
        <v>40659.490277777775</v>
      </c>
      <c r="D744" s="9" t="s">
        <v>335</v>
      </c>
      <c r="E744" t="str">
        <f t="shared" si="15"/>
        <v>'7b15c23'</v>
      </c>
      <c r="F744" s="9" t="s">
        <v>335</v>
      </c>
      <c r="G744" s="4">
        <v>3</v>
      </c>
      <c r="L744" s="58" t="s">
        <v>971</v>
      </c>
    </row>
    <row r="745" spans="1:12">
      <c r="A745">
        <v>25</v>
      </c>
      <c r="B745" s="9" t="s">
        <v>335</v>
      </c>
      <c r="C745" s="50">
        <v>40703.654861111114</v>
      </c>
      <c r="D745" s="9" t="s">
        <v>335</v>
      </c>
      <c r="E745" t="str">
        <f t="shared" si="15"/>
        <v>'17a835d'</v>
      </c>
      <c r="F745" s="9" t="s">
        <v>335</v>
      </c>
      <c r="G745" s="4">
        <v>4</v>
      </c>
      <c r="L745" s="58" t="s">
        <v>1345</v>
      </c>
    </row>
    <row r="746" spans="1:12">
      <c r="A746">
        <v>25</v>
      </c>
      <c r="B746" s="9" t="s">
        <v>335</v>
      </c>
      <c r="C746" s="50">
        <v>40707.866666666669</v>
      </c>
      <c r="D746" s="9" t="s">
        <v>335</v>
      </c>
      <c r="E746" t="str">
        <f t="shared" si="15"/>
        <v>'985f378'</v>
      </c>
      <c r="F746" s="9" t="s">
        <v>335</v>
      </c>
      <c r="G746" s="4">
        <v>5</v>
      </c>
      <c r="L746" s="58" t="s">
        <v>1512</v>
      </c>
    </row>
    <row r="747" spans="1:12">
      <c r="A747">
        <v>26</v>
      </c>
      <c r="B747" s="9" t="s">
        <v>335</v>
      </c>
      <c r="C747" s="50">
        <v>40700.961805555555</v>
      </c>
      <c r="D747" s="9" t="s">
        <v>335</v>
      </c>
      <c r="E747" t="str">
        <f t="shared" si="15"/>
        <v>'8ce6893'</v>
      </c>
      <c r="F747" s="9" t="s">
        <v>335</v>
      </c>
      <c r="G747" s="4">
        <v>1</v>
      </c>
      <c r="L747" s="58" t="s">
        <v>800</v>
      </c>
    </row>
    <row r="748" spans="1:12">
      <c r="A748">
        <v>26</v>
      </c>
      <c r="B748" s="9" t="s">
        <v>335</v>
      </c>
      <c r="C748" s="50">
        <v>40714.54791666667</v>
      </c>
      <c r="D748" s="9" t="s">
        <v>335</v>
      </c>
      <c r="E748" t="str">
        <f t="shared" si="15"/>
        <v>'6be5275'</v>
      </c>
      <c r="F748" s="9" t="s">
        <v>335</v>
      </c>
      <c r="G748" s="4">
        <v>2</v>
      </c>
      <c r="L748" s="58" t="s">
        <v>732</v>
      </c>
    </row>
    <row r="749" spans="1:12">
      <c r="A749">
        <v>27</v>
      </c>
      <c r="B749" s="9" t="s">
        <v>335</v>
      </c>
      <c r="C749" s="50">
        <v>40707.93472222222</v>
      </c>
      <c r="D749" s="9" t="s">
        <v>335</v>
      </c>
      <c r="E749" t="str">
        <f t="shared" si="15"/>
        <v>'2cd6960'</v>
      </c>
      <c r="F749" s="9" t="s">
        <v>335</v>
      </c>
      <c r="G749" s="4">
        <v>1</v>
      </c>
      <c r="L749" s="58" t="s">
        <v>1498</v>
      </c>
    </row>
    <row r="750" spans="1:12">
      <c r="A750">
        <v>28</v>
      </c>
      <c r="B750" s="9" t="s">
        <v>335</v>
      </c>
      <c r="C750" s="50">
        <v>40549.54583333333</v>
      </c>
      <c r="D750" s="9" t="s">
        <v>335</v>
      </c>
      <c r="E750" t="str">
        <f t="shared" si="15"/>
        <v>'ec84ee4'</v>
      </c>
      <c r="F750" s="9" t="s">
        <v>335</v>
      </c>
      <c r="G750" s="4">
        <v>1</v>
      </c>
      <c r="L750" s="58" t="s">
        <v>1020</v>
      </c>
    </row>
    <row r="751" spans="1:12">
      <c r="A751">
        <v>28</v>
      </c>
      <c r="B751" s="9" t="s">
        <v>335</v>
      </c>
      <c r="C751" s="50">
        <v>40555.786805555559</v>
      </c>
      <c r="D751" s="9" t="s">
        <v>335</v>
      </c>
      <c r="E751" t="str">
        <f t="shared" si="15"/>
        <v>'f92550e'</v>
      </c>
      <c r="F751" s="9" t="s">
        <v>335</v>
      </c>
      <c r="G751" s="4">
        <v>2</v>
      </c>
      <c r="L751" s="58" t="s">
        <v>1325</v>
      </c>
    </row>
    <row r="752" spans="1:12">
      <c r="A752">
        <v>28</v>
      </c>
      <c r="B752" s="9" t="s">
        <v>335</v>
      </c>
      <c r="C752" s="50">
        <v>40564.982638888891</v>
      </c>
      <c r="D752" s="9" t="s">
        <v>335</v>
      </c>
      <c r="E752" t="str">
        <f t="shared" si="15"/>
        <v>'0a0f040'</v>
      </c>
      <c r="F752" s="9" t="s">
        <v>335</v>
      </c>
      <c r="G752" s="4">
        <v>3</v>
      </c>
      <c r="L752" s="58" t="s">
        <v>502</v>
      </c>
    </row>
    <row r="753" spans="1:12">
      <c r="A753">
        <v>28</v>
      </c>
      <c r="B753" s="9" t="s">
        <v>335</v>
      </c>
      <c r="C753" s="50">
        <v>40574.801388888889</v>
      </c>
      <c r="D753" s="9" t="s">
        <v>335</v>
      </c>
      <c r="E753" t="str">
        <f t="shared" si="15"/>
        <v>'ec3fbdf'</v>
      </c>
      <c r="F753" s="9" t="s">
        <v>335</v>
      </c>
      <c r="G753" s="4">
        <v>4</v>
      </c>
      <c r="L753" s="58" t="s">
        <v>616</v>
      </c>
    </row>
    <row r="754" spans="1:12">
      <c r="A754">
        <v>28</v>
      </c>
      <c r="B754" s="9" t="s">
        <v>335</v>
      </c>
      <c r="C754" s="50">
        <v>40576.507638888892</v>
      </c>
      <c r="D754" s="9" t="s">
        <v>335</v>
      </c>
      <c r="E754" t="str">
        <f t="shared" si="15"/>
        <v>'5de5b68'</v>
      </c>
      <c r="F754" s="9" t="s">
        <v>335</v>
      </c>
      <c r="G754" s="4">
        <v>5</v>
      </c>
      <c r="L754" s="58" t="s">
        <v>619</v>
      </c>
    </row>
    <row r="755" spans="1:12">
      <c r="A755">
        <v>28</v>
      </c>
      <c r="B755" s="9" t="s">
        <v>335</v>
      </c>
      <c r="C755" s="50">
        <v>40578.856944444444</v>
      </c>
      <c r="D755" s="9" t="s">
        <v>335</v>
      </c>
      <c r="E755" t="str">
        <f t="shared" si="15"/>
        <v>'329a020'</v>
      </c>
      <c r="F755" s="9" t="s">
        <v>335</v>
      </c>
      <c r="G755" s="4">
        <v>6</v>
      </c>
      <c r="L755" s="58" t="s">
        <v>1391</v>
      </c>
    </row>
    <row r="756" spans="1:12">
      <c r="A756">
        <v>28</v>
      </c>
      <c r="B756" s="9" t="s">
        <v>335</v>
      </c>
      <c r="C756" s="50">
        <v>40578.894444444442</v>
      </c>
      <c r="D756" s="9" t="s">
        <v>335</v>
      </c>
      <c r="E756" t="str">
        <f t="shared" si="15"/>
        <v>'36d9b56'</v>
      </c>
      <c r="F756" s="9" t="s">
        <v>335</v>
      </c>
      <c r="G756" s="4">
        <v>7</v>
      </c>
      <c r="L756" s="58" t="s">
        <v>1090</v>
      </c>
    </row>
    <row r="757" spans="1:12">
      <c r="A757">
        <v>28</v>
      </c>
      <c r="B757" s="9" t="s">
        <v>335</v>
      </c>
      <c r="C757" s="50">
        <v>40582.490277777775</v>
      </c>
      <c r="D757" s="9" t="s">
        <v>335</v>
      </c>
      <c r="E757" t="str">
        <f t="shared" si="15"/>
        <v>'f6bd1f3'</v>
      </c>
      <c r="F757" s="9" t="s">
        <v>335</v>
      </c>
      <c r="G757" s="4">
        <v>8</v>
      </c>
      <c r="L757" s="58" t="s">
        <v>1074</v>
      </c>
    </row>
    <row r="758" spans="1:12">
      <c r="A758">
        <v>28</v>
      </c>
      <c r="B758" s="9" t="s">
        <v>335</v>
      </c>
      <c r="C758" s="50">
        <v>40601.824999999997</v>
      </c>
      <c r="D758" s="9" t="s">
        <v>335</v>
      </c>
      <c r="E758" t="str">
        <f t="shared" si="15"/>
        <v>'6f636b5'</v>
      </c>
      <c r="F758" s="9" t="s">
        <v>335</v>
      </c>
      <c r="G758" s="4">
        <v>9</v>
      </c>
      <c r="L758" s="58" t="s">
        <v>1162</v>
      </c>
    </row>
    <row r="759" spans="1:12">
      <c r="A759">
        <v>28</v>
      </c>
      <c r="B759" s="9" t="s">
        <v>335</v>
      </c>
      <c r="C759" s="50">
        <v>40616.55972222222</v>
      </c>
      <c r="D759" s="9" t="s">
        <v>335</v>
      </c>
      <c r="E759" t="str">
        <f t="shared" si="15"/>
        <v>'c3fc099'</v>
      </c>
      <c r="F759" s="9" t="s">
        <v>335</v>
      </c>
      <c r="G759" s="4">
        <v>10</v>
      </c>
      <c r="L759" s="58" t="s">
        <v>741</v>
      </c>
    </row>
    <row r="760" spans="1:12">
      <c r="A760">
        <v>28</v>
      </c>
      <c r="B760" s="9" t="s">
        <v>335</v>
      </c>
      <c r="C760" s="50">
        <v>40616.756944444445</v>
      </c>
      <c r="D760" s="9" t="s">
        <v>335</v>
      </c>
      <c r="E760" t="str">
        <f t="shared" si="15"/>
        <v>'803d111'</v>
      </c>
      <c r="F760" s="9" t="s">
        <v>335</v>
      </c>
      <c r="G760" s="4">
        <v>11</v>
      </c>
      <c r="L760" s="58" t="s">
        <v>934</v>
      </c>
    </row>
    <row r="761" spans="1:12">
      <c r="A761">
        <v>28</v>
      </c>
      <c r="B761" s="9" t="s">
        <v>335</v>
      </c>
      <c r="C761" s="50">
        <v>40619.964583333334</v>
      </c>
      <c r="D761" s="9" t="s">
        <v>335</v>
      </c>
      <c r="E761" t="str">
        <f t="shared" si="15"/>
        <v>'9e788b4'</v>
      </c>
      <c r="F761" s="9" t="s">
        <v>335</v>
      </c>
      <c r="G761" s="4">
        <v>12</v>
      </c>
      <c r="L761" s="58" t="s">
        <v>1319</v>
      </c>
    </row>
    <row r="762" spans="1:12">
      <c r="A762">
        <v>28</v>
      </c>
      <c r="B762" s="9" t="s">
        <v>335</v>
      </c>
      <c r="C762" s="50">
        <v>40620.717361111114</v>
      </c>
      <c r="D762" s="9" t="s">
        <v>335</v>
      </c>
      <c r="E762" t="str">
        <f t="shared" si="15"/>
        <v>'dfead9c'</v>
      </c>
      <c r="F762" s="9" t="s">
        <v>335</v>
      </c>
      <c r="G762" s="4">
        <v>13</v>
      </c>
      <c r="L762" s="58" t="s">
        <v>729</v>
      </c>
    </row>
    <row r="763" spans="1:12">
      <c r="A763">
        <v>28</v>
      </c>
      <c r="B763" s="9" t="s">
        <v>335</v>
      </c>
      <c r="C763" s="50">
        <v>40620.929166666669</v>
      </c>
      <c r="D763" s="9" t="s">
        <v>335</v>
      </c>
      <c r="E763" t="str">
        <f t="shared" si="15"/>
        <v>'c21918d'</v>
      </c>
      <c r="F763" s="9" t="s">
        <v>335</v>
      </c>
      <c r="G763" s="4">
        <v>14</v>
      </c>
      <c r="L763" s="58" t="s">
        <v>511</v>
      </c>
    </row>
    <row r="764" spans="1:12">
      <c r="A764">
        <v>28</v>
      </c>
      <c r="B764" s="9" t="s">
        <v>335</v>
      </c>
      <c r="C764" s="50">
        <v>40626.988194444442</v>
      </c>
      <c r="D764" s="9" t="s">
        <v>335</v>
      </c>
      <c r="E764" t="str">
        <f t="shared" si="15"/>
        <v>'b22a064'</v>
      </c>
      <c r="F764" s="9" t="s">
        <v>335</v>
      </c>
      <c r="G764" s="4">
        <v>15</v>
      </c>
      <c r="L764" s="58" t="s">
        <v>512</v>
      </c>
    </row>
    <row r="765" spans="1:12">
      <c r="A765">
        <v>28</v>
      </c>
      <c r="B765" s="9" t="s">
        <v>335</v>
      </c>
      <c r="C765" s="50">
        <v>40629.90625</v>
      </c>
      <c r="D765" s="9" t="s">
        <v>335</v>
      </c>
      <c r="E765" t="str">
        <f t="shared" si="15"/>
        <v>'eadb72f'</v>
      </c>
      <c r="F765" s="9" t="s">
        <v>335</v>
      </c>
      <c r="G765" s="4">
        <v>16</v>
      </c>
      <c r="L765" s="58" t="s">
        <v>607</v>
      </c>
    </row>
    <row r="766" spans="1:12">
      <c r="A766">
        <v>28</v>
      </c>
      <c r="B766" s="9" t="s">
        <v>335</v>
      </c>
      <c r="C766" s="50">
        <v>40630.592361111114</v>
      </c>
      <c r="D766" s="9" t="s">
        <v>335</v>
      </c>
      <c r="E766" t="str">
        <f t="shared" si="15"/>
        <v>'af04d72'</v>
      </c>
      <c r="F766" s="9" t="s">
        <v>335</v>
      </c>
      <c r="G766" s="4">
        <v>17</v>
      </c>
      <c r="L766" s="58" t="s">
        <v>1385</v>
      </c>
    </row>
    <row r="767" spans="1:12">
      <c r="A767">
        <v>28</v>
      </c>
      <c r="B767" s="9" t="s">
        <v>335</v>
      </c>
      <c r="C767" s="50">
        <v>40631.431944444441</v>
      </c>
      <c r="D767" s="9" t="s">
        <v>335</v>
      </c>
      <c r="E767" t="str">
        <f t="shared" si="15"/>
        <v>'51562a2'</v>
      </c>
      <c r="F767" s="9" t="s">
        <v>335</v>
      </c>
      <c r="G767" s="4">
        <v>18</v>
      </c>
      <c r="L767" s="58" t="s">
        <v>1187</v>
      </c>
    </row>
    <row r="768" spans="1:12">
      <c r="A768">
        <v>28</v>
      </c>
      <c r="B768" s="9" t="s">
        <v>335</v>
      </c>
      <c r="C768" s="50">
        <v>40632.42291666667</v>
      </c>
      <c r="D768" s="9" t="s">
        <v>335</v>
      </c>
      <c r="E768" t="str">
        <f t="shared" si="15"/>
        <v>'92e7aa0'</v>
      </c>
      <c r="F768" s="9" t="s">
        <v>335</v>
      </c>
      <c r="G768" s="4">
        <v>19</v>
      </c>
      <c r="L768" s="58" t="s">
        <v>571</v>
      </c>
    </row>
    <row r="769" spans="1:12">
      <c r="A769">
        <v>28</v>
      </c>
      <c r="B769" s="9" t="s">
        <v>335</v>
      </c>
      <c r="C769" s="50">
        <v>40633.790277777778</v>
      </c>
      <c r="D769" s="9" t="s">
        <v>335</v>
      </c>
      <c r="E769" t="str">
        <f t="shared" si="15"/>
        <v>'6b3b555'</v>
      </c>
      <c r="F769" s="9" t="s">
        <v>335</v>
      </c>
      <c r="G769" s="4">
        <v>20</v>
      </c>
      <c r="L769" s="58" t="s">
        <v>1333</v>
      </c>
    </row>
    <row r="770" spans="1:12">
      <c r="A770">
        <v>28</v>
      </c>
      <c r="B770" s="9" t="s">
        <v>335</v>
      </c>
      <c r="C770" s="50">
        <v>40633.793055555558</v>
      </c>
      <c r="D770" s="9" t="s">
        <v>335</v>
      </c>
      <c r="E770" t="str">
        <f t="shared" si="15"/>
        <v>'427a8ab'</v>
      </c>
      <c r="F770" s="9" t="s">
        <v>335</v>
      </c>
      <c r="G770" s="4">
        <v>21</v>
      </c>
      <c r="L770" s="58" t="s">
        <v>1156</v>
      </c>
    </row>
    <row r="771" spans="1:12">
      <c r="A771">
        <v>28</v>
      </c>
      <c r="B771" s="9" t="s">
        <v>335</v>
      </c>
      <c r="C771" s="50">
        <v>40634.634027777778</v>
      </c>
      <c r="D771" s="9" t="s">
        <v>335</v>
      </c>
      <c r="E771" t="str">
        <f t="shared" si="15"/>
        <v>'9b03bf4'</v>
      </c>
      <c r="F771" s="9" t="s">
        <v>335</v>
      </c>
      <c r="G771" s="4">
        <v>22</v>
      </c>
      <c r="L771" s="58" t="s">
        <v>433</v>
      </c>
    </row>
    <row r="772" spans="1:12">
      <c r="A772">
        <v>28</v>
      </c>
      <c r="B772" s="9" t="s">
        <v>335</v>
      </c>
      <c r="C772" s="50">
        <v>40648.84097222222</v>
      </c>
      <c r="D772" s="9" t="s">
        <v>335</v>
      </c>
      <c r="E772" t="str">
        <f t="shared" si="15"/>
        <v>'d3d564c'</v>
      </c>
      <c r="F772" s="9" t="s">
        <v>335</v>
      </c>
      <c r="G772" s="4">
        <v>23</v>
      </c>
      <c r="L772" s="58" t="s">
        <v>1165</v>
      </c>
    </row>
    <row r="773" spans="1:12">
      <c r="A773">
        <v>28</v>
      </c>
      <c r="B773" s="9" t="s">
        <v>335</v>
      </c>
      <c r="C773" s="50">
        <v>40648.935416666667</v>
      </c>
      <c r="D773" s="9" t="s">
        <v>335</v>
      </c>
      <c r="E773" t="str">
        <f t="shared" si="15"/>
        <v>'5c990b4'</v>
      </c>
      <c r="F773" s="9" t="s">
        <v>335</v>
      </c>
      <c r="G773" s="4">
        <v>24</v>
      </c>
      <c r="L773" s="58" t="s">
        <v>1153</v>
      </c>
    </row>
    <row r="774" spans="1:12">
      <c r="A774">
        <v>28</v>
      </c>
      <c r="B774" s="9" t="s">
        <v>335</v>
      </c>
      <c r="C774" s="50">
        <v>40648.956944444442</v>
      </c>
      <c r="D774" s="9" t="s">
        <v>335</v>
      </c>
      <c r="E774" t="str">
        <f t="shared" si="15"/>
        <v>'f3c44a0'</v>
      </c>
      <c r="F774" s="9" t="s">
        <v>335</v>
      </c>
      <c r="G774" s="4">
        <v>25</v>
      </c>
      <c r="L774" s="58" t="s">
        <v>538</v>
      </c>
    </row>
    <row r="775" spans="1:12">
      <c r="A775">
        <v>28</v>
      </c>
      <c r="B775" s="9" t="s">
        <v>335</v>
      </c>
      <c r="C775" s="50">
        <v>40651.552777777775</v>
      </c>
      <c r="D775" s="9" t="s">
        <v>335</v>
      </c>
      <c r="E775" t="str">
        <f t="shared" si="15"/>
        <v>'31e7dae'</v>
      </c>
      <c r="F775" s="9" t="s">
        <v>335</v>
      </c>
      <c r="G775" s="4">
        <v>26</v>
      </c>
      <c r="L775" s="58" t="s">
        <v>539</v>
      </c>
    </row>
    <row r="776" spans="1:12">
      <c r="A776">
        <v>28</v>
      </c>
      <c r="B776" s="9" t="s">
        <v>335</v>
      </c>
      <c r="C776" s="50">
        <v>40651.559027777781</v>
      </c>
      <c r="D776" s="9" t="s">
        <v>335</v>
      </c>
      <c r="E776" t="str">
        <f t="shared" si="15"/>
        <v>'0ecb07b'</v>
      </c>
      <c r="F776" s="9" t="s">
        <v>335</v>
      </c>
      <c r="G776" s="4">
        <v>27</v>
      </c>
      <c r="L776" s="58" t="s">
        <v>1479</v>
      </c>
    </row>
    <row r="777" spans="1:12">
      <c r="A777">
        <v>28</v>
      </c>
      <c r="B777" s="9" t="s">
        <v>335</v>
      </c>
      <c r="C777" s="50">
        <v>40651.5625</v>
      </c>
      <c r="D777" s="9" t="s">
        <v>335</v>
      </c>
      <c r="E777" t="str">
        <f t="shared" si="15"/>
        <v>'b013c4d'</v>
      </c>
      <c r="F777" s="9" t="s">
        <v>335</v>
      </c>
      <c r="G777" s="4">
        <v>28</v>
      </c>
      <c r="L777" s="58" t="s">
        <v>795</v>
      </c>
    </row>
    <row r="778" spans="1:12">
      <c r="A778">
        <v>28</v>
      </c>
      <c r="B778" s="9" t="s">
        <v>335</v>
      </c>
      <c r="C778" s="50">
        <v>40651.918055555558</v>
      </c>
      <c r="D778" s="9" t="s">
        <v>335</v>
      </c>
      <c r="E778" t="str">
        <f t="shared" si="15"/>
        <v>'1d4abe2'</v>
      </c>
      <c r="F778" s="9" t="s">
        <v>335</v>
      </c>
      <c r="G778" s="4">
        <v>29</v>
      </c>
      <c r="L778" s="58" t="s">
        <v>1092</v>
      </c>
    </row>
    <row r="779" spans="1:12">
      <c r="A779">
        <v>28</v>
      </c>
      <c r="B779" s="9" t="s">
        <v>335</v>
      </c>
      <c r="C779" s="50">
        <v>40652.48541666667</v>
      </c>
      <c r="D779" s="9" t="s">
        <v>335</v>
      </c>
      <c r="E779" t="str">
        <f t="shared" si="15"/>
        <v>'31bb961'</v>
      </c>
      <c r="F779" s="9" t="s">
        <v>335</v>
      </c>
      <c r="G779" s="4">
        <v>30</v>
      </c>
      <c r="L779" s="58" t="s">
        <v>755</v>
      </c>
    </row>
    <row r="780" spans="1:12">
      <c r="A780">
        <v>28</v>
      </c>
      <c r="B780" s="9" t="s">
        <v>335</v>
      </c>
      <c r="C780" s="50">
        <v>40655.538888888892</v>
      </c>
      <c r="D780" s="9" t="s">
        <v>335</v>
      </c>
      <c r="E780" t="str">
        <f t="shared" si="15"/>
        <v>'2220b7f'</v>
      </c>
      <c r="F780" s="9" t="s">
        <v>335</v>
      </c>
      <c r="G780" s="4">
        <v>31</v>
      </c>
      <c r="L780" s="58" t="s">
        <v>1060</v>
      </c>
    </row>
    <row r="781" spans="1:12">
      <c r="A781">
        <v>28</v>
      </c>
      <c r="B781" s="9" t="s">
        <v>335</v>
      </c>
      <c r="C781" s="50">
        <v>40673.773611111108</v>
      </c>
      <c r="D781" s="9" t="s">
        <v>335</v>
      </c>
      <c r="E781" t="str">
        <f t="shared" si="15"/>
        <v>'688e81c'</v>
      </c>
      <c r="F781" s="9" t="s">
        <v>335</v>
      </c>
      <c r="G781" s="4">
        <v>32</v>
      </c>
      <c r="L781" s="58" t="s">
        <v>472</v>
      </c>
    </row>
    <row r="782" spans="1:12">
      <c r="A782">
        <v>28</v>
      </c>
      <c r="B782" s="9" t="s">
        <v>335</v>
      </c>
      <c r="C782" s="50">
        <v>40679.414583333331</v>
      </c>
      <c r="D782" s="9" t="s">
        <v>335</v>
      </c>
      <c r="E782" t="str">
        <f t="shared" si="15"/>
        <v>'200bcaf'</v>
      </c>
      <c r="F782" s="9" t="s">
        <v>335</v>
      </c>
      <c r="G782" s="4">
        <v>33</v>
      </c>
      <c r="L782" s="58" t="s">
        <v>1265</v>
      </c>
    </row>
    <row r="783" spans="1:12">
      <c r="A783">
        <v>28</v>
      </c>
      <c r="B783" s="9" t="s">
        <v>335</v>
      </c>
      <c r="C783" s="50">
        <v>40679.624305555553</v>
      </c>
      <c r="D783" s="9" t="s">
        <v>335</v>
      </c>
      <c r="E783" t="str">
        <f t="shared" si="15"/>
        <v>'642f301'</v>
      </c>
      <c r="F783" s="9" t="s">
        <v>335</v>
      </c>
      <c r="G783" s="4">
        <v>34</v>
      </c>
      <c r="L783" s="58" t="s">
        <v>928</v>
      </c>
    </row>
    <row r="784" spans="1:12">
      <c r="A784">
        <v>28</v>
      </c>
      <c r="B784" s="9" t="s">
        <v>335</v>
      </c>
      <c r="C784" s="50">
        <v>40698.474999999999</v>
      </c>
      <c r="D784" s="9" t="s">
        <v>335</v>
      </c>
      <c r="E784" t="str">
        <f t="shared" si="15"/>
        <v>'82a26a5'</v>
      </c>
      <c r="F784" s="9" t="s">
        <v>335</v>
      </c>
      <c r="G784" s="4">
        <v>35</v>
      </c>
      <c r="L784" s="58" t="s">
        <v>892</v>
      </c>
    </row>
    <row r="785" spans="1:12">
      <c r="A785">
        <v>28</v>
      </c>
      <c r="B785" s="9" t="s">
        <v>335</v>
      </c>
      <c r="C785" s="50">
        <v>40701.622916666667</v>
      </c>
      <c r="D785" s="9" t="s">
        <v>335</v>
      </c>
      <c r="E785" t="str">
        <f t="shared" si="15"/>
        <v>'6de74a5'</v>
      </c>
      <c r="F785" s="9" t="s">
        <v>335</v>
      </c>
      <c r="G785" s="4">
        <v>36</v>
      </c>
      <c r="L785" s="58" t="s">
        <v>1262</v>
      </c>
    </row>
    <row r="786" spans="1:12">
      <c r="A786">
        <v>28</v>
      </c>
      <c r="B786" s="9" t="s">
        <v>335</v>
      </c>
      <c r="C786" s="50">
        <v>40711.575694444444</v>
      </c>
      <c r="D786" s="9" t="s">
        <v>335</v>
      </c>
      <c r="E786" t="str">
        <f t="shared" si="15"/>
        <v>'7b20516'</v>
      </c>
      <c r="F786" s="9" t="s">
        <v>335</v>
      </c>
      <c r="G786" s="4">
        <v>37</v>
      </c>
      <c r="L786" s="58" t="s">
        <v>1192</v>
      </c>
    </row>
    <row r="787" spans="1:12">
      <c r="A787">
        <v>28</v>
      </c>
      <c r="B787" s="9" t="s">
        <v>335</v>
      </c>
      <c r="C787" s="50">
        <v>40711.911805555559</v>
      </c>
      <c r="D787" s="9" t="s">
        <v>335</v>
      </c>
      <c r="E787" t="str">
        <f t="shared" si="15"/>
        <v>'5dddebc'</v>
      </c>
      <c r="F787" s="9" t="s">
        <v>335</v>
      </c>
      <c r="G787" s="4">
        <v>38</v>
      </c>
      <c r="L787" s="58" t="s">
        <v>1005</v>
      </c>
    </row>
    <row r="788" spans="1:12">
      <c r="A788">
        <v>28</v>
      </c>
      <c r="B788" s="9" t="s">
        <v>335</v>
      </c>
      <c r="C788" s="50">
        <v>40711.97152777778</v>
      </c>
      <c r="D788" s="9" t="s">
        <v>335</v>
      </c>
      <c r="E788" t="str">
        <f t="shared" si="15"/>
        <v>'312861f'</v>
      </c>
      <c r="F788" s="9" t="s">
        <v>335</v>
      </c>
      <c r="G788" s="4">
        <v>39</v>
      </c>
      <c r="L788" s="58" t="s">
        <v>1314</v>
      </c>
    </row>
    <row r="789" spans="1:12">
      <c r="A789">
        <v>28</v>
      </c>
      <c r="B789" s="9" t="s">
        <v>335</v>
      </c>
      <c r="C789" s="50">
        <v>40712.394444444442</v>
      </c>
      <c r="D789" s="9" t="s">
        <v>335</v>
      </c>
      <c r="E789" t="str">
        <f t="shared" si="15"/>
        <v>'b2a9ccd'</v>
      </c>
      <c r="F789" s="9" t="s">
        <v>335</v>
      </c>
      <c r="G789" s="4">
        <v>40</v>
      </c>
      <c r="L789" s="58" t="s">
        <v>810</v>
      </c>
    </row>
    <row r="790" spans="1:12">
      <c r="A790">
        <v>29</v>
      </c>
      <c r="B790" s="9" t="s">
        <v>335</v>
      </c>
      <c r="C790" s="50">
        <v>40543.904861111114</v>
      </c>
      <c r="D790" s="9" t="s">
        <v>335</v>
      </c>
      <c r="E790" t="str">
        <f t="shared" si="15"/>
        <v>'ce36242'</v>
      </c>
      <c r="F790" s="9" t="s">
        <v>335</v>
      </c>
      <c r="G790" s="4">
        <v>1</v>
      </c>
      <c r="L790" s="58" t="s">
        <v>1457</v>
      </c>
    </row>
    <row r="791" spans="1:12">
      <c r="A791">
        <v>29</v>
      </c>
      <c r="B791" s="9" t="s">
        <v>335</v>
      </c>
      <c r="C791" s="50">
        <v>40549.470833333333</v>
      </c>
      <c r="D791" s="9" t="s">
        <v>335</v>
      </c>
      <c r="E791" t="str">
        <f t="shared" si="15"/>
        <v>'fcbc062'</v>
      </c>
      <c r="F791" s="9" t="s">
        <v>335</v>
      </c>
      <c r="G791" s="4">
        <v>2</v>
      </c>
      <c r="L791" s="58" t="s">
        <v>1019</v>
      </c>
    </row>
    <row r="792" spans="1:12">
      <c r="A792">
        <v>29</v>
      </c>
      <c r="B792" s="9" t="s">
        <v>335</v>
      </c>
      <c r="C792" s="50">
        <v>40549.665972222225</v>
      </c>
      <c r="D792" s="9" t="s">
        <v>335</v>
      </c>
      <c r="E792" t="str">
        <f t="shared" si="15"/>
        <v>'4add69a'</v>
      </c>
      <c r="F792" s="9" t="s">
        <v>335</v>
      </c>
      <c r="G792" s="4">
        <v>3</v>
      </c>
      <c r="L792" s="58" t="s">
        <v>442</v>
      </c>
    </row>
    <row r="793" spans="1:12">
      <c r="A793">
        <v>29</v>
      </c>
      <c r="B793" s="9" t="s">
        <v>335</v>
      </c>
      <c r="C793" s="50">
        <v>40548.931944444441</v>
      </c>
      <c r="D793" s="9" t="s">
        <v>335</v>
      </c>
      <c r="E793" t="str">
        <f t="shared" si="15"/>
        <v>'0a3f6c0'</v>
      </c>
      <c r="F793" s="9" t="s">
        <v>335</v>
      </c>
      <c r="G793" s="4">
        <v>4</v>
      </c>
      <c r="L793" s="58" t="s">
        <v>1321</v>
      </c>
    </row>
    <row r="794" spans="1:12">
      <c r="A794">
        <v>29</v>
      </c>
      <c r="B794" s="9" t="s">
        <v>335</v>
      </c>
      <c r="C794" s="50">
        <v>40552.756249999999</v>
      </c>
      <c r="D794" s="9" t="s">
        <v>335</v>
      </c>
      <c r="E794" t="str">
        <f t="shared" ref="E794:E857" si="16">CONCATENATE("'",L794,"'")</f>
        <v>'e9fe92c'</v>
      </c>
      <c r="F794" s="9" t="s">
        <v>335</v>
      </c>
      <c r="G794" s="4">
        <v>5</v>
      </c>
      <c r="L794" s="58" t="s">
        <v>1515</v>
      </c>
    </row>
    <row r="795" spans="1:12">
      <c r="A795">
        <v>29</v>
      </c>
      <c r="B795" s="9" t="s">
        <v>335</v>
      </c>
      <c r="C795" s="50">
        <v>40550.690972222219</v>
      </c>
      <c r="D795" s="9" t="s">
        <v>335</v>
      </c>
      <c r="E795" t="str">
        <f t="shared" si="16"/>
        <v>'872c664'</v>
      </c>
      <c r="F795" s="9" t="s">
        <v>335</v>
      </c>
      <c r="G795" s="4">
        <v>6</v>
      </c>
      <c r="L795" s="58" t="s">
        <v>1324</v>
      </c>
    </row>
    <row r="796" spans="1:12">
      <c r="A796">
        <v>29</v>
      </c>
      <c r="B796" s="9" t="s">
        <v>335</v>
      </c>
      <c r="C796" s="50">
        <v>40555.907638888886</v>
      </c>
      <c r="D796" s="9" t="s">
        <v>335</v>
      </c>
      <c r="E796" t="str">
        <f t="shared" si="16"/>
        <v>'5b8f472'</v>
      </c>
      <c r="F796" s="9" t="s">
        <v>335</v>
      </c>
      <c r="G796" s="4">
        <v>7</v>
      </c>
      <c r="L796" s="58" t="s">
        <v>1565</v>
      </c>
    </row>
    <row r="797" spans="1:12">
      <c r="A797">
        <v>29</v>
      </c>
      <c r="B797" s="9" t="s">
        <v>335</v>
      </c>
      <c r="C797" s="50">
        <v>40558.448611111111</v>
      </c>
      <c r="D797" s="9" t="s">
        <v>335</v>
      </c>
      <c r="E797" t="str">
        <f t="shared" si="16"/>
        <v>'f0ed371'</v>
      </c>
      <c r="F797" s="9" t="s">
        <v>335</v>
      </c>
      <c r="G797" s="4">
        <v>8</v>
      </c>
      <c r="L797" s="58" t="s">
        <v>1465</v>
      </c>
    </row>
    <row r="798" spans="1:12">
      <c r="A798">
        <v>29</v>
      </c>
      <c r="B798" s="9" t="s">
        <v>335</v>
      </c>
      <c r="C798" s="50">
        <v>40564.434027777781</v>
      </c>
      <c r="D798" s="9" t="s">
        <v>335</v>
      </c>
      <c r="E798" t="str">
        <f t="shared" si="16"/>
        <v>'8411557'</v>
      </c>
      <c r="F798" s="9" t="s">
        <v>335</v>
      </c>
      <c r="G798" s="4">
        <v>9</v>
      </c>
      <c r="L798" s="58" t="s">
        <v>1929</v>
      </c>
    </row>
    <row r="799" spans="1:12">
      <c r="A799">
        <v>29</v>
      </c>
      <c r="B799" s="9" t="s">
        <v>335</v>
      </c>
      <c r="C799" s="50">
        <v>40572.676388888889</v>
      </c>
      <c r="D799" s="9" t="s">
        <v>335</v>
      </c>
      <c r="E799" t="str">
        <f t="shared" si="16"/>
        <v>'dc7e05a'</v>
      </c>
      <c r="F799" s="9" t="s">
        <v>335</v>
      </c>
      <c r="G799" s="4">
        <v>10</v>
      </c>
      <c r="L799" s="58" t="s">
        <v>409</v>
      </c>
    </row>
    <row r="800" spans="1:12">
      <c r="A800">
        <v>29</v>
      </c>
      <c r="B800" s="9" t="s">
        <v>335</v>
      </c>
      <c r="C800" s="50">
        <v>40574.42083333333</v>
      </c>
      <c r="D800" s="9" t="s">
        <v>335</v>
      </c>
      <c r="E800" t="str">
        <f t="shared" si="16"/>
        <v>'d14ca2c'</v>
      </c>
      <c r="F800" s="9" t="s">
        <v>335</v>
      </c>
      <c r="G800" s="4">
        <v>11</v>
      </c>
      <c r="L800" s="58" t="s">
        <v>481</v>
      </c>
    </row>
    <row r="801" spans="1:12">
      <c r="A801">
        <v>29</v>
      </c>
      <c r="B801" s="9" t="s">
        <v>335</v>
      </c>
      <c r="C801" s="50">
        <v>40574.540972222225</v>
      </c>
      <c r="D801" s="9" t="s">
        <v>335</v>
      </c>
      <c r="E801" t="str">
        <f t="shared" si="16"/>
        <v>'237dbe3'</v>
      </c>
      <c r="F801" s="9" t="s">
        <v>335</v>
      </c>
      <c r="G801" s="4">
        <v>12</v>
      </c>
      <c r="L801" s="58" t="s">
        <v>696</v>
      </c>
    </row>
    <row r="802" spans="1:12">
      <c r="A802">
        <v>29</v>
      </c>
      <c r="B802" s="9" t="s">
        <v>335</v>
      </c>
      <c r="C802" s="50">
        <v>40574.798611111109</v>
      </c>
      <c r="D802" s="9" t="s">
        <v>335</v>
      </c>
      <c r="E802" t="str">
        <f t="shared" si="16"/>
        <v>'31a76bc'</v>
      </c>
      <c r="F802" s="9" t="s">
        <v>335</v>
      </c>
      <c r="G802" s="4">
        <v>13</v>
      </c>
      <c r="L802" s="58" t="s">
        <v>615</v>
      </c>
    </row>
    <row r="803" spans="1:12">
      <c r="A803">
        <v>29</v>
      </c>
      <c r="B803" s="9" t="s">
        <v>335</v>
      </c>
      <c r="C803" s="50">
        <v>40574.709027777775</v>
      </c>
      <c r="D803" s="9" t="s">
        <v>335</v>
      </c>
      <c r="E803" t="str">
        <f t="shared" si="16"/>
        <v>'d44eef2'</v>
      </c>
      <c r="F803" s="9" t="s">
        <v>335</v>
      </c>
      <c r="G803" s="4">
        <v>14</v>
      </c>
      <c r="L803" s="58" t="s">
        <v>1338</v>
      </c>
    </row>
    <row r="804" spans="1:12">
      <c r="A804">
        <v>29</v>
      </c>
      <c r="B804" s="9" t="s">
        <v>335</v>
      </c>
      <c r="C804" s="50">
        <v>40574.547222222223</v>
      </c>
      <c r="D804" s="9" t="s">
        <v>335</v>
      </c>
      <c r="E804" t="str">
        <f t="shared" si="16"/>
        <v>'46631d0'</v>
      </c>
      <c r="F804" s="9" t="s">
        <v>335</v>
      </c>
      <c r="G804" s="4">
        <v>15</v>
      </c>
      <c r="L804" s="58" t="s">
        <v>604</v>
      </c>
    </row>
    <row r="805" spans="1:12">
      <c r="A805">
        <v>29</v>
      </c>
      <c r="B805" s="9" t="s">
        <v>335</v>
      </c>
      <c r="C805" s="50">
        <v>40576.402083333334</v>
      </c>
      <c r="D805" s="9" t="s">
        <v>335</v>
      </c>
      <c r="E805" t="str">
        <f t="shared" si="16"/>
        <v>'5c91eb1'</v>
      </c>
      <c r="F805" s="9" t="s">
        <v>335</v>
      </c>
      <c r="G805" s="4">
        <v>16</v>
      </c>
      <c r="L805" s="58" t="s">
        <v>618</v>
      </c>
    </row>
    <row r="806" spans="1:12">
      <c r="A806">
        <v>29</v>
      </c>
      <c r="B806" s="9" t="s">
        <v>335</v>
      </c>
      <c r="C806" s="50">
        <v>40578.772222222222</v>
      </c>
      <c r="D806" s="9" t="s">
        <v>335</v>
      </c>
      <c r="E806" t="str">
        <f t="shared" si="16"/>
        <v>'4696102'</v>
      </c>
      <c r="F806" s="9" t="s">
        <v>335</v>
      </c>
      <c r="G806" s="4">
        <v>17</v>
      </c>
      <c r="L806" s="58" t="s">
        <v>1930</v>
      </c>
    </row>
    <row r="807" spans="1:12">
      <c r="A807">
        <v>29</v>
      </c>
      <c r="B807" s="9" t="s">
        <v>335</v>
      </c>
      <c r="C807" s="50">
        <v>40578.840277777781</v>
      </c>
      <c r="D807" s="9" t="s">
        <v>335</v>
      </c>
      <c r="E807" t="str">
        <f t="shared" si="16"/>
        <v>'91f7906'</v>
      </c>
      <c r="F807" s="9" t="s">
        <v>335</v>
      </c>
      <c r="G807" s="4">
        <v>18</v>
      </c>
      <c r="L807" s="58" t="s">
        <v>752</v>
      </c>
    </row>
    <row r="808" spans="1:12">
      <c r="A808">
        <v>29</v>
      </c>
      <c r="B808" s="9" t="s">
        <v>335</v>
      </c>
      <c r="C808" s="50">
        <v>40578.849305555559</v>
      </c>
      <c r="D808" s="9" t="s">
        <v>335</v>
      </c>
      <c r="E808" t="str">
        <f t="shared" si="16"/>
        <v>'fd93cf0'</v>
      </c>
      <c r="F808" s="9" t="s">
        <v>335</v>
      </c>
      <c r="G808" s="4">
        <v>19</v>
      </c>
      <c r="L808" s="58" t="s">
        <v>1390</v>
      </c>
    </row>
    <row r="809" spans="1:12">
      <c r="A809">
        <v>29</v>
      </c>
      <c r="B809" s="9" t="s">
        <v>335</v>
      </c>
      <c r="C809" s="50">
        <v>40578.884722222225</v>
      </c>
      <c r="D809" s="9" t="s">
        <v>335</v>
      </c>
      <c r="E809" t="str">
        <f t="shared" si="16"/>
        <v>'6c52125'</v>
      </c>
      <c r="F809" s="9" t="s">
        <v>335</v>
      </c>
      <c r="G809" s="4">
        <v>20</v>
      </c>
      <c r="L809" s="58" t="s">
        <v>1089</v>
      </c>
    </row>
    <row r="810" spans="1:12">
      <c r="A810">
        <v>29</v>
      </c>
      <c r="B810" s="9" t="s">
        <v>335</v>
      </c>
      <c r="C810" s="50">
        <v>40578.895138888889</v>
      </c>
      <c r="D810" s="9" t="s">
        <v>335</v>
      </c>
      <c r="E810" t="str">
        <f t="shared" si="16"/>
        <v>'85a8dd0'</v>
      </c>
      <c r="F810" s="9" t="s">
        <v>335</v>
      </c>
      <c r="G810" s="4">
        <v>21</v>
      </c>
      <c r="L810" s="58" t="s">
        <v>413</v>
      </c>
    </row>
    <row r="811" spans="1:12">
      <c r="A811">
        <v>29</v>
      </c>
      <c r="B811" s="9" t="s">
        <v>335</v>
      </c>
      <c r="C811" s="50">
        <v>40578.98333333333</v>
      </c>
      <c r="D811" s="9" t="s">
        <v>335</v>
      </c>
      <c r="E811" t="str">
        <f t="shared" si="16"/>
        <v>'63f67f3'</v>
      </c>
      <c r="F811" s="9" t="s">
        <v>335</v>
      </c>
      <c r="G811" s="4">
        <v>22</v>
      </c>
      <c r="L811" s="58" t="s">
        <v>1363</v>
      </c>
    </row>
    <row r="812" spans="1:12">
      <c r="A812">
        <v>29</v>
      </c>
      <c r="B812" s="9" t="s">
        <v>335</v>
      </c>
      <c r="C812" s="50">
        <v>40582.067361111112</v>
      </c>
      <c r="D812" s="9" t="s">
        <v>335</v>
      </c>
      <c r="E812" t="str">
        <f t="shared" si="16"/>
        <v>'8e6929f'</v>
      </c>
      <c r="F812" s="9" t="s">
        <v>335</v>
      </c>
      <c r="G812" s="4">
        <v>23</v>
      </c>
      <c r="L812" s="58" t="s">
        <v>1072</v>
      </c>
    </row>
    <row r="813" spans="1:12">
      <c r="A813">
        <v>29</v>
      </c>
      <c r="B813" s="9" t="s">
        <v>335</v>
      </c>
      <c r="C813" s="50">
        <v>40582.484027777777</v>
      </c>
      <c r="D813" s="9" t="s">
        <v>335</v>
      </c>
      <c r="E813" t="str">
        <f t="shared" si="16"/>
        <v>'d1d8123'</v>
      </c>
      <c r="F813" s="9" t="s">
        <v>335</v>
      </c>
      <c r="G813" s="4">
        <v>24</v>
      </c>
      <c r="L813" s="58" t="s">
        <v>792</v>
      </c>
    </row>
    <row r="814" spans="1:12">
      <c r="A814">
        <v>29</v>
      </c>
      <c r="B814" s="9" t="s">
        <v>335</v>
      </c>
      <c r="C814" s="50">
        <v>40582.486805555556</v>
      </c>
      <c r="D814" s="9" t="s">
        <v>335</v>
      </c>
      <c r="E814" t="str">
        <f t="shared" si="16"/>
        <v>'e0879e8'</v>
      </c>
      <c r="F814" s="9" t="s">
        <v>335</v>
      </c>
      <c r="G814" s="4">
        <v>25</v>
      </c>
      <c r="L814" s="58" t="s">
        <v>448</v>
      </c>
    </row>
    <row r="815" spans="1:12">
      <c r="A815">
        <v>29</v>
      </c>
      <c r="B815" s="9" t="s">
        <v>335</v>
      </c>
      <c r="C815" s="50">
        <v>40582.490277777775</v>
      </c>
      <c r="D815" s="9" t="s">
        <v>335</v>
      </c>
      <c r="E815" t="str">
        <f t="shared" si="16"/>
        <v>'fa9c558'</v>
      </c>
      <c r="F815" s="9" t="s">
        <v>335</v>
      </c>
      <c r="G815" s="4">
        <v>26</v>
      </c>
      <c r="L815" s="58" t="s">
        <v>937</v>
      </c>
    </row>
    <row r="816" spans="1:12">
      <c r="A816">
        <v>29</v>
      </c>
      <c r="B816" s="9" t="s">
        <v>335</v>
      </c>
      <c r="C816" s="50">
        <v>40582.496527777781</v>
      </c>
      <c r="D816" s="9" t="s">
        <v>335</v>
      </c>
      <c r="E816" t="str">
        <f t="shared" si="16"/>
        <v>'99bf806'</v>
      </c>
      <c r="F816" s="9" t="s">
        <v>335</v>
      </c>
      <c r="G816" s="4">
        <v>27</v>
      </c>
      <c r="L816" s="58" t="s">
        <v>431</v>
      </c>
    </row>
    <row r="817" spans="1:12">
      <c r="A817">
        <v>29</v>
      </c>
      <c r="B817" s="9" t="s">
        <v>335</v>
      </c>
      <c r="C817" s="50">
        <v>40585.620833333334</v>
      </c>
      <c r="D817" s="9" t="s">
        <v>335</v>
      </c>
      <c r="E817" t="str">
        <f t="shared" si="16"/>
        <v>'cc40af0'</v>
      </c>
      <c r="F817" s="9" t="s">
        <v>335</v>
      </c>
      <c r="G817" s="4">
        <v>28</v>
      </c>
      <c r="L817" s="58" t="s">
        <v>1011</v>
      </c>
    </row>
    <row r="818" spans="1:12">
      <c r="A818">
        <v>29</v>
      </c>
      <c r="B818" s="9" t="s">
        <v>335</v>
      </c>
      <c r="C818" s="50">
        <v>40584.697222222225</v>
      </c>
      <c r="D818" s="9" t="s">
        <v>335</v>
      </c>
      <c r="E818" t="str">
        <f t="shared" si="16"/>
        <v>'0c19666'</v>
      </c>
      <c r="F818" s="9" t="s">
        <v>335</v>
      </c>
      <c r="G818" s="4">
        <v>29</v>
      </c>
      <c r="L818" s="58" t="s">
        <v>373</v>
      </c>
    </row>
    <row r="819" spans="1:12">
      <c r="A819">
        <v>29</v>
      </c>
      <c r="B819" s="9" t="s">
        <v>335</v>
      </c>
      <c r="C819" s="50">
        <v>40586.333333333336</v>
      </c>
      <c r="D819" s="9" t="s">
        <v>335</v>
      </c>
      <c r="E819" t="str">
        <f t="shared" si="16"/>
        <v>'f188442'</v>
      </c>
      <c r="F819" s="9" t="s">
        <v>335</v>
      </c>
      <c r="G819" s="4">
        <v>30</v>
      </c>
      <c r="L819" s="58" t="s">
        <v>1544</v>
      </c>
    </row>
    <row r="820" spans="1:12">
      <c r="A820">
        <v>29</v>
      </c>
      <c r="B820" s="9" t="s">
        <v>335</v>
      </c>
      <c r="C820" s="50">
        <v>40586.42291666667</v>
      </c>
      <c r="D820" s="9" t="s">
        <v>335</v>
      </c>
      <c r="E820" t="str">
        <f t="shared" si="16"/>
        <v>'8896954'</v>
      </c>
      <c r="F820" s="9" t="s">
        <v>335</v>
      </c>
      <c r="G820" s="4">
        <v>31</v>
      </c>
      <c r="L820" s="58" t="s">
        <v>1932</v>
      </c>
    </row>
    <row r="821" spans="1:12">
      <c r="A821">
        <v>29</v>
      </c>
      <c r="B821" s="9" t="s">
        <v>335</v>
      </c>
      <c r="C821" s="50">
        <v>40586.425694444442</v>
      </c>
      <c r="D821" s="9" t="s">
        <v>335</v>
      </c>
      <c r="E821" t="str">
        <f t="shared" si="16"/>
        <v>'8de9db3'</v>
      </c>
      <c r="F821" s="9" t="s">
        <v>335</v>
      </c>
      <c r="G821" s="4">
        <v>32</v>
      </c>
      <c r="L821" s="58" t="s">
        <v>1518</v>
      </c>
    </row>
    <row r="822" spans="1:12">
      <c r="A822">
        <v>29</v>
      </c>
      <c r="B822" s="9" t="s">
        <v>335</v>
      </c>
      <c r="C822" s="50">
        <v>40586.438888888886</v>
      </c>
      <c r="D822" s="9" t="s">
        <v>335</v>
      </c>
      <c r="E822" t="str">
        <f t="shared" si="16"/>
        <v>'49ca465'</v>
      </c>
      <c r="F822" s="9" t="s">
        <v>335</v>
      </c>
      <c r="G822" s="4">
        <v>33</v>
      </c>
      <c r="L822" s="58" t="s">
        <v>1241</v>
      </c>
    </row>
    <row r="823" spans="1:12">
      <c r="A823">
        <v>29</v>
      </c>
      <c r="B823" s="9" t="s">
        <v>335</v>
      </c>
      <c r="C823" s="50">
        <v>40588.432638888888</v>
      </c>
      <c r="D823" s="9" t="s">
        <v>335</v>
      </c>
      <c r="E823" t="str">
        <f t="shared" si="16"/>
        <v>'a95c3e6'</v>
      </c>
      <c r="F823" s="9" t="s">
        <v>335</v>
      </c>
      <c r="G823" s="4">
        <v>34</v>
      </c>
      <c r="L823" s="58" t="s">
        <v>914</v>
      </c>
    </row>
    <row r="824" spans="1:12">
      <c r="A824">
        <v>29</v>
      </c>
      <c r="B824" s="9" t="s">
        <v>335</v>
      </c>
      <c r="C824" s="50">
        <v>40589.388194444444</v>
      </c>
      <c r="D824" s="9" t="s">
        <v>335</v>
      </c>
      <c r="E824" t="str">
        <f t="shared" si="16"/>
        <v>'a545a39'</v>
      </c>
      <c r="F824" s="9" t="s">
        <v>335</v>
      </c>
      <c r="G824" s="4">
        <v>35</v>
      </c>
      <c r="L824" s="58" t="s">
        <v>1437</v>
      </c>
    </row>
    <row r="825" spans="1:12">
      <c r="A825">
        <v>29</v>
      </c>
      <c r="B825" s="9" t="s">
        <v>335</v>
      </c>
      <c r="C825" s="50">
        <v>40594.836111111108</v>
      </c>
      <c r="D825" s="9" t="s">
        <v>335</v>
      </c>
      <c r="E825" t="str">
        <f t="shared" si="16"/>
        <v>'244609b'</v>
      </c>
      <c r="F825" s="9" t="s">
        <v>335</v>
      </c>
      <c r="G825" s="4">
        <v>36</v>
      </c>
      <c r="L825" s="58" t="s">
        <v>968</v>
      </c>
    </row>
    <row r="826" spans="1:12">
      <c r="A826">
        <v>29</v>
      </c>
      <c r="B826" s="9" t="s">
        <v>335</v>
      </c>
      <c r="C826" s="50">
        <v>40601.490277777775</v>
      </c>
      <c r="D826" s="9" t="s">
        <v>335</v>
      </c>
      <c r="E826" t="str">
        <f t="shared" si="16"/>
        <v>'9f09e8a'</v>
      </c>
      <c r="F826" s="9" t="s">
        <v>335</v>
      </c>
      <c r="G826" s="4">
        <v>37</v>
      </c>
      <c r="L826" s="58" t="s">
        <v>1161</v>
      </c>
    </row>
    <row r="827" spans="1:12">
      <c r="A827">
        <v>29</v>
      </c>
      <c r="B827" s="9" t="s">
        <v>335</v>
      </c>
      <c r="C827" s="50">
        <v>40608.938888888886</v>
      </c>
      <c r="D827" s="9" t="s">
        <v>335</v>
      </c>
      <c r="E827" t="str">
        <f t="shared" si="16"/>
        <v>'ed44cc3'</v>
      </c>
      <c r="F827" s="9" t="s">
        <v>335</v>
      </c>
      <c r="G827" s="4">
        <v>38</v>
      </c>
      <c r="L827" s="58" t="s">
        <v>925</v>
      </c>
    </row>
    <row r="828" spans="1:12">
      <c r="A828">
        <v>29</v>
      </c>
      <c r="B828" s="9" t="s">
        <v>335</v>
      </c>
      <c r="C828" s="50">
        <v>40612.776388888888</v>
      </c>
      <c r="D828" s="9" t="s">
        <v>335</v>
      </c>
      <c r="E828" t="str">
        <f t="shared" si="16"/>
        <v>'70d1039'</v>
      </c>
      <c r="F828" s="9" t="s">
        <v>335</v>
      </c>
      <c r="G828" s="4">
        <v>39</v>
      </c>
      <c r="L828" s="58" t="s">
        <v>567</v>
      </c>
    </row>
    <row r="829" spans="1:12">
      <c r="A829">
        <v>29</v>
      </c>
      <c r="B829" s="9" t="s">
        <v>335</v>
      </c>
      <c r="C829" s="50">
        <v>40615.873611111114</v>
      </c>
      <c r="D829" s="9" t="s">
        <v>335</v>
      </c>
      <c r="E829" t="str">
        <f t="shared" si="16"/>
        <v>'3245687'</v>
      </c>
      <c r="F829" s="9" t="s">
        <v>335</v>
      </c>
      <c r="G829" s="4">
        <v>40</v>
      </c>
      <c r="L829" s="58" t="s">
        <v>1933</v>
      </c>
    </row>
    <row r="830" spans="1:12">
      <c r="A830">
        <v>29</v>
      </c>
      <c r="B830" s="9" t="s">
        <v>335</v>
      </c>
      <c r="C830" s="50">
        <v>40616.479861111111</v>
      </c>
      <c r="D830" s="9" t="s">
        <v>335</v>
      </c>
      <c r="E830" t="str">
        <f t="shared" si="16"/>
        <v>'4a6b5c1'</v>
      </c>
      <c r="F830" s="9" t="s">
        <v>335</v>
      </c>
      <c r="G830" s="4">
        <v>41</v>
      </c>
      <c r="L830" s="58" t="s">
        <v>740</v>
      </c>
    </row>
    <row r="831" spans="1:12">
      <c r="A831">
        <v>29</v>
      </c>
      <c r="B831" s="9" t="s">
        <v>335</v>
      </c>
      <c r="C831" s="50">
        <v>40616.563888888886</v>
      </c>
      <c r="D831" s="9" t="s">
        <v>335</v>
      </c>
      <c r="E831" t="str">
        <f t="shared" si="16"/>
        <v>'5c4cc60'</v>
      </c>
      <c r="F831" s="9" t="s">
        <v>335</v>
      </c>
      <c r="G831" s="4">
        <v>42</v>
      </c>
      <c r="L831" s="58" t="s">
        <v>933</v>
      </c>
    </row>
    <row r="832" spans="1:12">
      <c r="A832">
        <v>29</v>
      </c>
      <c r="B832" s="9" t="s">
        <v>335</v>
      </c>
      <c r="C832" s="50">
        <v>40616.478472222225</v>
      </c>
      <c r="D832" s="9" t="s">
        <v>335</v>
      </c>
      <c r="E832" t="str">
        <f t="shared" si="16"/>
        <v>'cbe2677'</v>
      </c>
      <c r="F832" s="9" t="s">
        <v>335</v>
      </c>
      <c r="G832" s="4">
        <v>43</v>
      </c>
      <c r="L832" s="58" t="s">
        <v>797</v>
      </c>
    </row>
    <row r="833" spans="1:12">
      <c r="A833">
        <v>29</v>
      </c>
      <c r="B833" s="9" t="s">
        <v>335</v>
      </c>
      <c r="C833" s="50">
        <v>40616.880555555559</v>
      </c>
      <c r="D833" s="9" t="s">
        <v>335</v>
      </c>
      <c r="E833" t="str">
        <f t="shared" si="16"/>
        <v>'d6a9559'</v>
      </c>
      <c r="F833" s="9" t="s">
        <v>335</v>
      </c>
      <c r="G833" s="4">
        <v>44</v>
      </c>
      <c r="L833" s="58" t="s">
        <v>761</v>
      </c>
    </row>
    <row r="834" spans="1:12">
      <c r="A834">
        <v>29</v>
      </c>
      <c r="B834" s="9" t="s">
        <v>335</v>
      </c>
      <c r="C834" s="50">
        <v>40619.563888888886</v>
      </c>
      <c r="D834" s="9" t="s">
        <v>335</v>
      </c>
      <c r="E834" t="str">
        <f t="shared" si="16"/>
        <v>'c9d54a4'</v>
      </c>
      <c r="F834" s="9" t="s">
        <v>335</v>
      </c>
      <c r="G834" s="4">
        <v>45</v>
      </c>
      <c r="L834" s="58" t="s">
        <v>1318</v>
      </c>
    </row>
    <row r="835" spans="1:12">
      <c r="A835">
        <v>29</v>
      </c>
      <c r="B835" s="9" t="s">
        <v>335</v>
      </c>
      <c r="C835" s="50">
        <v>40620.840277777781</v>
      </c>
      <c r="D835" s="9" t="s">
        <v>335</v>
      </c>
      <c r="E835" t="str">
        <f t="shared" si="16"/>
        <v>'2066157'</v>
      </c>
      <c r="F835" s="9" t="s">
        <v>335</v>
      </c>
      <c r="G835" s="4">
        <v>46</v>
      </c>
      <c r="L835" s="58" t="s">
        <v>1934</v>
      </c>
    </row>
    <row r="836" spans="1:12">
      <c r="A836">
        <v>29</v>
      </c>
      <c r="B836" s="9" t="s">
        <v>335</v>
      </c>
      <c r="C836" s="50">
        <v>40620.634722222225</v>
      </c>
      <c r="D836" s="9" t="s">
        <v>335</v>
      </c>
      <c r="E836" t="str">
        <f t="shared" si="16"/>
        <v>'04584b8'</v>
      </c>
      <c r="F836" s="9" t="s">
        <v>335</v>
      </c>
      <c r="G836" s="4">
        <v>47</v>
      </c>
      <c r="L836" s="58" t="s">
        <v>679</v>
      </c>
    </row>
    <row r="837" spans="1:12">
      <c r="A837">
        <v>29</v>
      </c>
      <c r="B837" s="9" t="s">
        <v>335</v>
      </c>
      <c r="C837" s="50">
        <v>40620.894444444442</v>
      </c>
      <c r="D837" s="9" t="s">
        <v>335</v>
      </c>
      <c r="E837" t="str">
        <f t="shared" si="16"/>
        <v>'29dc1d5'</v>
      </c>
      <c r="F837" s="9" t="s">
        <v>335</v>
      </c>
      <c r="G837" s="4">
        <v>48</v>
      </c>
      <c r="L837" s="58" t="s">
        <v>634</v>
      </c>
    </row>
    <row r="838" spans="1:12">
      <c r="A838">
        <v>29</v>
      </c>
      <c r="B838" s="9" t="s">
        <v>335</v>
      </c>
      <c r="C838" s="50">
        <v>40622.984027777777</v>
      </c>
      <c r="D838" s="9" t="s">
        <v>335</v>
      </c>
      <c r="E838" t="str">
        <f t="shared" si="16"/>
        <v>'4b63591'</v>
      </c>
      <c r="F838" s="9" t="s">
        <v>335</v>
      </c>
      <c r="G838" s="4">
        <v>49</v>
      </c>
      <c r="L838" s="58" t="s">
        <v>1135</v>
      </c>
    </row>
    <row r="839" spans="1:12">
      <c r="A839">
        <v>29</v>
      </c>
      <c r="B839" s="9" t="s">
        <v>335</v>
      </c>
      <c r="C839" s="50">
        <v>40629.880555555559</v>
      </c>
      <c r="D839" s="9" t="s">
        <v>335</v>
      </c>
      <c r="E839" t="str">
        <f t="shared" si="16"/>
        <v>'174ad3b'</v>
      </c>
      <c r="F839" s="9" t="s">
        <v>335</v>
      </c>
      <c r="G839" s="4">
        <v>50</v>
      </c>
      <c r="L839" s="58" t="s">
        <v>1310</v>
      </c>
    </row>
    <row r="840" spans="1:12">
      <c r="A840">
        <v>29</v>
      </c>
      <c r="B840" s="9" t="s">
        <v>335</v>
      </c>
      <c r="C840" s="50">
        <v>40628.90347222222</v>
      </c>
      <c r="D840" s="9" t="s">
        <v>335</v>
      </c>
      <c r="E840" t="str">
        <f t="shared" si="16"/>
        <v>'39eb87c'</v>
      </c>
      <c r="F840" s="9" t="s">
        <v>335</v>
      </c>
      <c r="G840" s="4">
        <v>51</v>
      </c>
      <c r="L840" s="58" t="s">
        <v>1384</v>
      </c>
    </row>
    <row r="841" spans="1:12">
      <c r="A841">
        <v>29</v>
      </c>
      <c r="B841" s="9" t="s">
        <v>335</v>
      </c>
      <c r="C841" s="50">
        <v>40630.592361111114</v>
      </c>
      <c r="D841" s="9" t="s">
        <v>335</v>
      </c>
      <c r="E841" t="str">
        <f t="shared" si="16"/>
        <v>'2b9b4d0'</v>
      </c>
      <c r="F841" s="9" t="s">
        <v>335</v>
      </c>
      <c r="G841" s="4">
        <v>52</v>
      </c>
      <c r="L841" s="58" t="s">
        <v>670</v>
      </c>
    </row>
    <row r="842" spans="1:12">
      <c r="A842">
        <v>29</v>
      </c>
      <c r="B842" s="9" t="s">
        <v>335</v>
      </c>
      <c r="C842" s="50">
        <v>40631.375</v>
      </c>
      <c r="D842" s="9" t="s">
        <v>335</v>
      </c>
      <c r="E842" t="str">
        <f t="shared" si="16"/>
        <v>'40983ba'</v>
      </c>
      <c r="F842" s="9" t="s">
        <v>335</v>
      </c>
      <c r="G842" s="4">
        <v>53</v>
      </c>
      <c r="L842" s="58" t="s">
        <v>1186</v>
      </c>
    </row>
    <row r="843" spans="1:12">
      <c r="A843">
        <v>29</v>
      </c>
      <c r="B843" s="9" t="s">
        <v>335</v>
      </c>
      <c r="C843" s="50">
        <v>40632.416666666664</v>
      </c>
      <c r="D843" s="9" t="s">
        <v>335</v>
      </c>
      <c r="E843" t="str">
        <f t="shared" si="16"/>
        <v>'55debe8'</v>
      </c>
      <c r="F843" s="9" t="s">
        <v>335</v>
      </c>
      <c r="G843" s="4">
        <v>54</v>
      </c>
      <c r="L843" s="58" t="s">
        <v>570</v>
      </c>
    </row>
    <row r="844" spans="1:12">
      <c r="A844">
        <v>29</v>
      </c>
      <c r="B844" s="9" t="s">
        <v>335</v>
      </c>
      <c r="C844" s="50">
        <v>40632.606249999997</v>
      </c>
      <c r="D844" s="9" t="s">
        <v>335</v>
      </c>
      <c r="E844" t="str">
        <f t="shared" si="16"/>
        <v>'4129ac5'</v>
      </c>
      <c r="F844" s="9" t="s">
        <v>335</v>
      </c>
      <c r="G844" s="4">
        <v>55</v>
      </c>
      <c r="L844" s="58" t="s">
        <v>477</v>
      </c>
    </row>
    <row r="845" spans="1:12">
      <c r="A845">
        <v>29</v>
      </c>
      <c r="B845" s="9" t="s">
        <v>335</v>
      </c>
      <c r="C845" s="50">
        <v>40632.42291666667</v>
      </c>
      <c r="D845" s="9" t="s">
        <v>335</v>
      </c>
      <c r="E845" t="str">
        <f t="shared" si="16"/>
        <v>'205fea6'</v>
      </c>
      <c r="F845" s="9" t="s">
        <v>335</v>
      </c>
      <c r="G845" s="4">
        <v>56</v>
      </c>
      <c r="L845" s="58" t="s">
        <v>676</v>
      </c>
    </row>
    <row r="846" spans="1:12">
      <c r="A846">
        <v>29</v>
      </c>
      <c r="B846" s="9" t="s">
        <v>335</v>
      </c>
      <c r="C846" s="50">
        <v>40632.901388888888</v>
      </c>
      <c r="D846" s="9" t="s">
        <v>335</v>
      </c>
      <c r="E846" t="str">
        <f t="shared" si="16"/>
        <v>'ff05abe'</v>
      </c>
      <c r="F846" s="9" t="s">
        <v>335</v>
      </c>
      <c r="G846" s="4">
        <v>57</v>
      </c>
      <c r="L846" s="58" t="s">
        <v>665</v>
      </c>
    </row>
    <row r="847" spans="1:12">
      <c r="A847">
        <v>29</v>
      </c>
      <c r="B847" s="9" t="s">
        <v>335</v>
      </c>
      <c r="C847" s="50">
        <v>40633.791666666664</v>
      </c>
      <c r="D847" s="9" t="s">
        <v>335</v>
      </c>
      <c r="E847" t="str">
        <f t="shared" si="16"/>
        <v>'5bbc78f'</v>
      </c>
      <c r="F847" s="9" t="s">
        <v>335</v>
      </c>
      <c r="G847" s="4">
        <v>58</v>
      </c>
      <c r="L847" s="58" t="s">
        <v>586</v>
      </c>
    </row>
    <row r="848" spans="1:12">
      <c r="A848">
        <v>29</v>
      </c>
      <c r="B848" s="9" t="s">
        <v>335</v>
      </c>
      <c r="C848" s="50">
        <v>40633.763194444444</v>
      </c>
      <c r="D848" s="9" t="s">
        <v>335</v>
      </c>
      <c r="E848" t="str">
        <f t="shared" si="16"/>
        <v>'55d1f1f'</v>
      </c>
      <c r="F848" s="9" t="s">
        <v>335</v>
      </c>
      <c r="G848" s="4">
        <v>59</v>
      </c>
      <c r="L848" s="58" t="s">
        <v>1155</v>
      </c>
    </row>
    <row r="849" spans="1:12">
      <c r="A849">
        <v>29</v>
      </c>
      <c r="B849" s="9" t="s">
        <v>335</v>
      </c>
      <c r="C849" s="50">
        <v>40634.629166666666</v>
      </c>
      <c r="D849" s="9" t="s">
        <v>335</v>
      </c>
      <c r="E849" t="str">
        <f t="shared" si="16"/>
        <v>'9a9ac35'</v>
      </c>
      <c r="F849" s="9" t="s">
        <v>335</v>
      </c>
      <c r="G849" s="4">
        <v>60</v>
      </c>
      <c r="L849" s="58" t="s">
        <v>579</v>
      </c>
    </row>
    <row r="850" spans="1:12">
      <c r="A850">
        <v>29</v>
      </c>
      <c r="B850" s="9" t="s">
        <v>335</v>
      </c>
      <c r="C850" s="50">
        <v>40634.600694444445</v>
      </c>
      <c r="D850" s="9" t="s">
        <v>335</v>
      </c>
      <c r="E850" t="str">
        <f t="shared" si="16"/>
        <v>'ad343a6'</v>
      </c>
      <c r="F850" s="9" t="s">
        <v>335</v>
      </c>
      <c r="G850" s="4">
        <v>61</v>
      </c>
      <c r="L850" s="58" t="s">
        <v>1108</v>
      </c>
    </row>
    <row r="851" spans="1:12">
      <c r="A851">
        <v>29</v>
      </c>
      <c r="B851" s="9" t="s">
        <v>335</v>
      </c>
      <c r="C851" s="50">
        <v>40637.410416666666</v>
      </c>
      <c r="D851" s="9" t="s">
        <v>335</v>
      </c>
      <c r="E851" t="str">
        <f t="shared" si="16"/>
        <v>'f987e4e'</v>
      </c>
      <c r="F851" s="9" t="s">
        <v>335</v>
      </c>
      <c r="G851" s="4">
        <v>62</v>
      </c>
      <c r="L851" s="58" t="s">
        <v>1002</v>
      </c>
    </row>
    <row r="852" spans="1:12">
      <c r="A852">
        <v>29</v>
      </c>
      <c r="B852" s="9" t="s">
        <v>335</v>
      </c>
      <c r="C852" s="50">
        <v>40644.39166666667</v>
      </c>
      <c r="D852" s="9" t="s">
        <v>335</v>
      </c>
      <c r="E852" t="str">
        <f t="shared" si="16"/>
        <v>'be85b9c'</v>
      </c>
      <c r="F852" s="9" t="s">
        <v>335</v>
      </c>
      <c r="G852" s="4">
        <v>63</v>
      </c>
      <c r="L852" s="58" t="s">
        <v>1180</v>
      </c>
    </row>
    <row r="853" spans="1:12">
      <c r="A853">
        <v>29</v>
      </c>
      <c r="B853" s="9" t="s">
        <v>335</v>
      </c>
      <c r="C853" s="50">
        <v>40646.385416666664</v>
      </c>
      <c r="D853" s="9" t="s">
        <v>335</v>
      </c>
      <c r="E853" t="str">
        <f t="shared" si="16"/>
        <v>'6065a95'</v>
      </c>
      <c r="F853" s="9" t="s">
        <v>335</v>
      </c>
      <c r="G853" s="4">
        <v>64</v>
      </c>
      <c r="L853" s="58" t="s">
        <v>1044</v>
      </c>
    </row>
    <row r="854" spans="1:12">
      <c r="A854">
        <v>29</v>
      </c>
      <c r="B854" s="9" t="s">
        <v>335</v>
      </c>
      <c r="C854" s="50">
        <v>40648.731249999997</v>
      </c>
      <c r="D854" s="9" t="s">
        <v>335</v>
      </c>
      <c r="E854" t="str">
        <f t="shared" si="16"/>
        <v>'5b0fcc6'</v>
      </c>
      <c r="F854" s="9" t="s">
        <v>335</v>
      </c>
      <c r="G854" s="4">
        <v>65</v>
      </c>
      <c r="L854" s="58" t="s">
        <v>1164</v>
      </c>
    </row>
    <row r="855" spans="1:12">
      <c r="A855">
        <v>29</v>
      </c>
      <c r="B855" s="9" t="s">
        <v>335</v>
      </c>
      <c r="C855" s="50">
        <v>40648.621527777781</v>
      </c>
      <c r="D855" s="9" t="s">
        <v>335</v>
      </c>
      <c r="E855" t="str">
        <f t="shared" si="16"/>
        <v>'ff1f609'</v>
      </c>
      <c r="F855" s="9" t="s">
        <v>335</v>
      </c>
      <c r="G855" s="4">
        <v>66</v>
      </c>
      <c r="L855" s="58" t="s">
        <v>1132</v>
      </c>
    </row>
    <row r="856" spans="1:12">
      <c r="A856">
        <v>29</v>
      </c>
      <c r="B856" s="9" t="s">
        <v>335</v>
      </c>
      <c r="C856" s="50">
        <v>40648.902777777781</v>
      </c>
      <c r="D856" s="9" t="s">
        <v>335</v>
      </c>
      <c r="E856" t="str">
        <f t="shared" si="16"/>
        <v>'7e14d2e'</v>
      </c>
      <c r="F856" s="9" t="s">
        <v>335</v>
      </c>
      <c r="G856" s="4">
        <v>67</v>
      </c>
      <c r="L856" s="58" t="s">
        <v>1152</v>
      </c>
    </row>
    <row r="857" spans="1:12">
      <c r="A857">
        <v>29</v>
      </c>
      <c r="B857" s="9" t="s">
        <v>335</v>
      </c>
      <c r="C857" s="50">
        <v>40648.955555555556</v>
      </c>
      <c r="D857" s="9" t="s">
        <v>335</v>
      </c>
      <c r="E857" t="str">
        <f t="shared" si="16"/>
        <v>'fcf7f46'</v>
      </c>
      <c r="F857" s="9" t="s">
        <v>335</v>
      </c>
      <c r="G857" s="4">
        <v>68</v>
      </c>
      <c r="L857" s="58" t="s">
        <v>1062</v>
      </c>
    </row>
    <row r="858" spans="1:12">
      <c r="A858">
        <v>29</v>
      </c>
      <c r="B858" s="9" t="s">
        <v>335</v>
      </c>
      <c r="C858" s="50">
        <v>40651.556250000001</v>
      </c>
      <c r="D858" s="9" t="s">
        <v>335</v>
      </c>
      <c r="E858" t="str">
        <f t="shared" ref="E858:E921" si="17">CONCATENATE("'",L858,"'")</f>
        <v>'5c21f12'</v>
      </c>
      <c r="F858" s="9" t="s">
        <v>335</v>
      </c>
      <c r="G858" s="4">
        <v>69</v>
      </c>
      <c r="L858" s="58" t="s">
        <v>1478</v>
      </c>
    </row>
    <row r="859" spans="1:12">
      <c r="A859">
        <v>29</v>
      </c>
      <c r="B859" s="9" t="s">
        <v>335</v>
      </c>
      <c r="C859" s="50">
        <v>40651.561111111114</v>
      </c>
      <c r="D859" s="9" t="s">
        <v>335</v>
      </c>
      <c r="E859" t="str">
        <f t="shared" si="17"/>
        <v>'9c7e08b'</v>
      </c>
      <c r="F859" s="9" t="s">
        <v>335</v>
      </c>
      <c r="G859" s="4">
        <v>70</v>
      </c>
      <c r="L859" s="58" t="s">
        <v>1025</v>
      </c>
    </row>
    <row r="860" spans="1:12">
      <c r="A860">
        <v>29</v>
      </c>
      <c r="B860" s="9" t="s">
        <v>335</v>
      </c>
      <c r="C860" s="50">
        <v>40651.561805555553</v>
      </c>
      <c r="D860" s="9" t="s">
        <v>335</v>
      </c>
      <c r="E860" t="str">
        <f t="shared" si="17"/>
        <v>'4bf8f09'</v>
      </c>
      <c r="F860" s="9" t="s">
        <v>335</v>
      </c>
      <c r="G860" s="4">
        <v>71</v>
      </c>
      <c r="L860" s="58" t="s">
        <v>794</v>
      </c>
    </row>
    <row r="861" spans="1:12">
      <c r="A861">
        <v>29</v>
      </c>
      <c r="B861" s="9" t="s">
        <v>335</v>
      </c>
      <c r="C861" s="50">
        <v>40651.558333333334</v>
      </c>
      <c r="D861" s="9" t="s">
        <v>335</v>
      </c>
      <c r="E861" t="str">
        <f t="shared" si="17"/>
        <v>'ffcf4c5'</v>
      </c>
      <c r="F861" s="9" t="s">
        <v>335</v>
      </c>
      <c r="G861" s="4">
        <v>72</v>
      </c>
      <c r="L861" s="58" t="s">
        <v>595</v>
      </c>
    </row>
    <row r="862" spans="1:12">
      <c r="A862">
        <v>29</v>
      </c>
      <c r="B862" s="9" t="s">
        <v>335</v>
      </c>
      <c r="C862" s="50">
        <v>40652.4375</v>
      </c>
      <c r="D862" s="9" t="s">
        <v>335</v>
      </c>
      <c r="E862" t="str">
        <f t="shared" si="17"/>
        <v>'1369c4f'</v>
      </c>
      <c r="F862" s="9" t="s">
        <v>335</v>
      </c>
      <c r="G862" s="4">
        <v>73</v>
      </c>
      <c r="L862" s="58" t="s">
        <v>754</v>
      </c>
    </row>
    <row r="863" spans="1:12">
      <c r="A863">
        <v>29</v>
      </c>
      <c r="B863" s="9" t="s">
        <v>335</v>
      </c>
      <c r="C863" s="50">
        <v>40654.63958333333</v>
      </c>
      <c r="D863" s="9" t="s">
        <v>335</v>
      </c>
      <c r="E863" t="str">
        <f t="shared" si="17"/>
        <v>'f5209cd'</v>
      </c>
      <c r="F863" s="9" t="s">
        <v>335</v>
      </c>
      <c r="G863" s="4">
        <v>74</v>
      </c>
      <c r="L863" s="58" t="s">
        <v>1496</v>
      </c>
    </row>
    <row r="864" spans="1:12">
      <c r="A864">
        <v>29</v>
      </c>
      <c r="B864" s="9" t="s">
        <v>335</v>
      </c>
      <c r="C864" s="50">
        <v>40655.459027777775</v>
      </c>
      <c r="D864" s="9" t="s">
        <v>335</v>
      </c>
      <c r="E864" t="str">
        <f t="shared" si="17"/>
        <v>'23daeee'</v>
      </c>
      <c r="F864" s="9" t="s">
        <v>335</v>
      </c>
      <c r="G864" s="4">
        <v>75</v>
      </c>
      <c r="L864" s="58" t="s">
        <v>1059</v>
      </c>
    </row>
    <row r="865" spans="1:12">
      <c r="A865">
        <v>29</v>
      </c>
      <c r="B865" s="9" t="s">
        <v>335</v>
      </c>
      <c r="C865" s="50">
        <v>40654.87777777778</v>
      </c>
      <c r="D865" s="9" t="s">
        <v>335</v>
      </c>
      <c r="E865" t="str">
        <f t="shared" si="17"/>
        <v>'50f7aa3'</v>
      </c>
      <c r="F865" s="9" t="s">
        <v>335</v>
      </c>
      <c r="G865" s="4">
        <v>76</v>
      </c>
      <c r="L865" s="58" t="s">
        <v>1105</v>
      </c>
    </row>
    <row r="866" spans="1:12">
      <c r="A866">
        <v>29</v>
      </c>
      <c r="B866" s="9" t="s">
        <v>335</v>
      </c>
      <c r="C866" s="50">
        <v>40658.513888888891</v>
      </c>
      <c r="D866" s="9" t="s">
        <v>335</v>
      </c>
      <c r="E866" t="str">
        <f t="shared" si="17"/>
        <v>'ac1c08c'</v>
      </c>
      <c r="F866" s="9" t="s">
        <v>335</v>
      </c>
      <c r="G866" s="4">
        <v>77</v>
      </c>
      <c r="L866" s="58" t="s">
        <v>855</v>
      </c>
    </row>
    <row r="867" spans="1:12">
      <c r="A867">
        <v>29</v>
      </c>
      <c r="B867" s="9" t="s">
        <v>335</v>
      </c>
      <c r="C867" s="50">
        <v>40658.55972222222</v>
      </c>
      <c r="D867" s="9" t="s">
        <v>335</v>
      </c>
      <c r="E867" t="str">
        <f t="shared" si="17"/>
        <v>'307af57'</v>
      </c>
      <c r="F867" s="9" t="s">
        <v>335</v>
      </c>
      <c r="G867" s="4">
        <v>78</v>
      </c>
      <c r="L867" s="58" t="s">
        <v>1472</v>
      </c>
    </row>
    <row r="868" spans="1:12">
      <c r="A868">
        <v>29</v>
      </c>
      <c r="B868" s="9" t="s">
        <v>335</v>
      </c>
      <c r="C868" s="50">
        <v>40659.734722222223</v>
      </c>
      <c r="D868" s="9" t="s">
        <v>335</v>
      </c>
      <c r="E868" t="str">
        <f t="shared" si="17"/>
        <v>'8d29f47'</v>
      </c>
      <c r="F868" s="9" t="s">
        <v>335</v>
      </c>
      <c r="G868" s="4">
        <v>79</v>
      </c>
      <c r="L868" s="58" t="s">
        <v>1054</v>
      </c>
    </row>
    <row r="869" spans="1:12">
      <c r="A869">
        <v>29</v>
      </c>
      <c r="B869" s="9" t="s">
        <v>335</v>
      </c>
      <c r="C869" s="50">
        <v>40661.711111111108</v>
      </c>
      <c r="D869" s="9" t="s">
        <v>335</v>
      </c>
      <c r="E869" t="str">
        <f t="shared" si="17"/>
        <v>'c36b35f'</v>
      </c>
      <c r="F869" s="9" t="s">
        <v>335</v>
      </c>
      <c r="G869" s="4">
        <v>80</v>
      </c>
      <c r="L869" s="58" t="s">
        <v>486</v>
      </c>
    </row>
    <row r="870" spans="1:12">
      <c r="A870">
        <v>29</v>
      </c>
      <c r="B870" s="9" t="s">
        <v>335</v>
      </c>
      <c r="C870" s="50">
        <v>40664.635416666664</v>
      </c>
      <c r="D870" s="9" t="s">
        <v>335</v>
      </c>
      <c r="E870" t="str">
        <f t="shared" si="17"/>
        <v>'b89b418'</v>
      </c>
      <c r="F870" s="9" t="s">
        <v>335</v>
      </c>
      <c r="G870" s="4">
        <v>81</v>
      </c>
      <c r="L870" s="58" t="s">
        <v>1290</v>
      </c>
    </row>
    <row r="871" spans="1:12">
      <c r="A871">
        <v>29</v>
      </c>
      <c r="B871" s="9" t="s">
        <v>335</v>
      </c>
      <c r="C871" s="50">
        <v>40664.679166666669</v>
      </c>
      <c r="D871" s="9" t="s">
        <v>335</v>
      </c>
      <c r="E871" t="str">
        <f t="shared" si="17"/>
        <v>'7149903'</v>
      </c>
      <c r="F871" s="9" t="s">
        <v>335</v>
      </c>
      <c r="G871" s="4">
        <v>82</v>
      </c>
      <c r="L871" s="58" t="s">
        <v>1935</v>
      </c>
    </row>
    <row r="872" spans="1:12">
      <c r="A872">
        <v>29</v>
      </c>
      <c r="B872" s="9" t="s">
        <v>335</v>
      </c>
      <c r="C872" s="50">
        <v>40664.537499999999</v>
      </c>
      <c r="D872" s="9" t="s">
        <v>335</v>
      </c>
      <c r="E872" t="str">
        <f t="shared" si="17"/>
        <v>'fe452bf'</v>
      </c>
      <c r="F872" s="9" t="s">
        <v>335</v>
      </c>
      <c r="G872" s="4">
        <v>83</v>
      </c>
      <c r="L872" s="58" t="s">
        <v>952</v>
      </c>
    </row>
    <row r="873" spans="1:12">
      <c r="A873">
        <v>29</v>
      </c>
      <c r="B873" s="9" t="s">
        <v>335</v>
      </c>
      <c r="C873" s="50">
        <v>40667.481944444444</v>
      </c>
      <c r="D873" s="9" t="s">
        <v>335</v>
      </c>
      <c r="E873" t="str">
        <f t="shared" si="17"/>
        <v>'6243cf5'</v>
      </c>
      <c r="F873" s="9" t="s">
        <v>335</v>
      </c>
      <c r="G873" s="4">
        <v>84</v>
      </c>
      <c r="L873" s="58" t="s">
        <v>1381</v>
      </c>
    </row>
    <row r="874" spans="1:12">
      <c r="A874">
        <v>29</v>
      </c>
      <c r="B874" s="9" t="s">
        <v>335</v>
      </c>
      <c r="C874" s="50">
        <v>40645.581250000003</v>
      </c>
      <c r="D874" s="9" t="s">
        <v>335</v>
      </c>
      <c r="E874" t="str">
        <f t="shared" si="17"/>
        <v>'c617653'</v>
      </c>
      <c r="F874" s="9" t="s">
        <v>335</v>
      </c>
      <c r="G874" s="4">
        <v>85</v>
      </c>
      <c r="L874" s="58" t="s">
        <v>1366</v>
      </c>
    </row>
    <row r="875" spans="1:12">
      <c r="A875">
        <v>29</v>
      </c>
      <c r="B875" s="9" t="s">
        <v>335</v>
      </c>
      <c r="C875" s="50">
        <v>40672.400000000001</v>
      </c>
      <c r="D875" s="9" t="s">
        <v>335</v>
      </c>
      <c r="E875" t="str">
        <f t="shared" si="17"/>
        <v>'23da993'</v>
      </c>
      <c r="F875" s="9" t="s">
        <v>335</v>
      </c>
      <c r="G875" s="4">
        <v>86</v>
      </c>
      <c r="L875" s="58" t="s">
        <v>1417</v>
      </c>
    </row>
    <row r="876" spans="1:12">
      <c r="A876">
        <v>29</v>
      </c>
      <c r="B876" s="9" t="s">
        <v>335</v>
      </c>
      <c r="C876" s="50">
        <v>40673.445138888892</v>
      </c>
      <c r="D876" s="9" t="s">
        <v>335</v>
      </c>
      <c r="E876" t="str">
        <f t="shared" si="17"/>
        <v>'20c6fd4'</v>
      </c>
      <c r="F876" s="9" t="s">
        <v>335</v>
      </c>
      <c r="G876" s="4">
        <v>87</v>
      </c>
      <c r="L876" s="58" t="s">
        <v>674</v>
      </c>
    </row>
    <row r="877" spans="1:12">
      <c r="A877">
        <v>29</v>
      </c>
      <c r="B877" s="9" t="s">
        <v>335</v>
      </c>
      <c r="C877" s="50">
        <v>40621.917361111111</v>
      </c>
      <c r="D877" s="9" t="s">
        <v>335</v>
      </c>
      <c r="E877" t="str">
        <f t="shared" si="17"/>
        <v>'84b90dd'</v>
      </c>
      <c r="F877" s="9" t="s">
        <v>335</v>
      </c>
      <c r="G877" s="4">
        <v>88</v>
      </c>
      <c r="L877" s="58" t="s">
        <v>471</v>
      </c>
    </row>
    <row r="878" spans="1:12">
      <c r="A878">
        <v>29</v>
      </c>
      <c r="B878" s="9" t="s">
        <v>335</v>
      </c>
      <c r="C878" s="50">
        <v>40674.727777777778</v>
      </c>
      <c r="D878" s="9" t="s">
        <v>335</v>
      </c>
      <c r="E878" t="str">
        <f t="shared" si="17"/>
        <v>'e14c13c'</v>
      </c>
      <c r="F878" s="9" t="s">
        <v>335</v>
      </c>
      <c r="G878" s="4">
        <v>89</v>
      </c>
      <c r="L878" s="58" t="s">
        <v>1120</v>
      </c>
    </row>
    <row r="879" spans="1:12">
      <c r="A879">
        <v>29</v>
      </c>
      <c r="B879" s="9" t="s">
        <v>335</v>
      </c>
      <c r="C879" s="50">
        <v>40676.600694444445</v>
      </c>
      <c r="D879" s="9" t="s">
        <v>335</v>
      </c>
      <c r="E879" t="str">
        <f t="shared" si="17"/>
        <v>'0203876'</v>
      </c>
      <c r="F879" s="9" t="s">
        <v>335</v>
      </c>
      <c r="G879" s="4">
        <v>90</v>
      </c>
      <c r="L879" s="58" t="s">
        <v>1875</v>
      </c>
    </row>
    <row r="880" spans="1:12">
      <c r="A880">
        <v>29</v>
      </c>
      <c r="B880" s="9" t="s">
        <v>335</v>
      </c>
      <c r="C880" s="50">
        <v>40676.601388888892</v>
      </c>
      <c r="D880" s="9" t="s">
        <v>335</v>
      </c>
      <c r="E880" t="str">
        <f t="shared" si="17"/>
        <v>'31d3620'</v>
      </c>
      <c r="F880" s="9" t="s">
        <v>335</v>
      </c>
      <c r="G880" s="4">
        <v>91</v>
      </c>
      <c r="L880" s="58" t="s">
        <v>1264</v>
      </c>
    </row>
    <row r="881" spans="1:12">
      <c r="A881">
        <v>29</v>
      </c>
      <c r="B881" s="9" t="s">
        <v>335</v>
      </c>
      <c r="C881" s="50">
        <v>40679.607638888891</v>
      </c>
      <c r="D881" s="9" t="s">
        <v>335</v>
      </c>
      <c r="E881" t="str">
        <f t="shared" si="17"/>
        <v>'2741433'</v>
      </c>
      <c r="F881" s="9" t="s">
        <v>335</v>
      </c>
      <c r="G881" s="4">
        <v>92</v>
      </c>
      <c r="L881" s="58" t="s">
        <v>1937</v>
      </c>
    </row>
    <row r="882" spans="1:12">
      <c r="A882">
        <v>29</v>
      </c>
      <c r="B882" s="9" t="s">
        <v>335</v>
      </c>
      <c r="C882" s="50">
        <v>40679.646527777775</v>
      </c>
      <c r="D882" s="9" t="s">
        <v>335</v>
      </c>
      <c r="E882" t="str">
        <f t="shared" si="17"/>
        <v>'872b4df'</v>
      </c>
      <c r="F882" s="9" t="s">
        <v>335</v>
      </c>
      <c r="G882" s="4">
        <v>93</v>
      </c>
      <c r="L882" s="58" t="s">
        <v>1435</v>
      </c>
    </row>
    <row r="883" spans="1:12">
      <c r="A883">
        <v>29</v>
      </c>
      <c r="B883" s="9" t="s">
        <v>335</v>
      </c>
      <c r="C883" s="50">
        <v>40685.92083333333</v>
      </c>
      <c r="D883" s="9" t="s">
        <v>335</v>
      </c>
      <c r="E883" t="str">
        <f t="shared" si="17"/>
        <v>'cb86f97'</v>
      </c>
      <c r="F883" s="9" t="s">
        <v>335</v>
      </c>
      <c r="G883" s="4">
        <v>94</v>
      </c>
      <c r="L883" s="58" t="s">
        <v>994</v>
      </c>
    </row>
    <row r="884" spans="1:12">
      <c r="A884">
        <v>29</v>
      </c>
      <c r="B884" s="9" t="s">
        <v>335</v>
      </c>
      <c r="C884" s="50">
        <v>40686.084722222222</v>
      </c>
      <c r="D884" s="9" t="s">
        <v>335</v>
      </c>
      <c r="E884" t="str">
        <f t="shared" si="17"/>
        <v>'531f439'</v>
      </c>
      <c r="F884" s="9" t="s">
        <v>335</v>
      </c>
      <c r="G884" s="4">
        <v>95</v>
      </c>
      <c r="L884" s="58" t="s">
        <v>1207</v>
      </c>
    </row>
    <row r="885" spans="1:12">
      <c r="A885">
        <v>29</v>
      </c>
      <c r="B885" s="9" t="s">
        <v>335</v>
      </c>
      <c r="C885" s="50">
        <v>40697.648611111108</v>
      </c>
      <c r="D885" s="9" t="s">
        <v>335</v>
      </c>
      <c r="E885" t="str">
        <f t="shared" si="17"/>
        <v>'2ca3836'</v>
      </c>
      <c r="F885" s="9" t="s">
        <v>335</v>
      </c>
      <c r="G885" s="4">
        <v>96</v>
      </c>
      <c r="L885" s="58" t="s">
        <v>1014</v>
      </c>
    </row>
    <row r="886" spans="1:12">
      <c r="A886">
        <v>29</v>
      </c>
      <c r="B886" s="9" t="s">
        <v>335</v>
      </c>
      <c r="C886" s="50">
        <v>40676.574999999997</v>
      </c>
      <c r="D886" s="9" t="s">
        <v>335</v>
      </c>
      <c r="E886" t="str">
        <f t="shared" si="17"/>
        <v>'e76b021'</v>
      </c>
      <c r="F886" s="9" t="s">
        <v>335</v>
      </c>
      <c r="G886" s="4">
        <v>97</v>
      </c>
      <c r="L886" s="58" t="s">
        <v>1086</v>
      </c>
    </row>
    <row r="887" spans="1:12">
      <c r="A887">
        <v>29</v>
      </c>
      <c r="B887" s="9" t="s">
        <v>335</v>
      </c>
      <c r="C887" s="50">
        <v>40698.442361111112</v>
      </c>
      <c r="D887" s="9" t="s">
        <v>335</v>
      </c>
      <c r="E887" t="str">
        <f t="shared" si="17"/>
        <v>'d2f90ce'</v>
      </c>
      <c r="F887" s="9" t="s">
        <v>335</v>
      </c>
      <c r="G887" s="4">
        <v>98</v>
      </c>
      <c r="L887" s="58" t="s">
        <v>898</v>
      </c>
    </row>
    <row r="888" spans="1:12">
      <c r="A888">
        <v>29</v>
      </c>
      <c r="B888" s="9" t="s">
        <v>335</v>
      </c>
      <c r="C888" s="50">
        <v>40697.484722222223</v>
      </c>
      <c r="D888" s="9" t="s">
        <v>335</v>
      </c>
      <c r="E888" t="str">
        <f t="shared" si="17"/>
        <v>'514b5fd'</v>
      </c>
      <c r="F888" s="9" t="s">
        <v>335</v>
      </c>
      <c r="G888" s="4">
        <v>99</v>
      </c>
      <c r="L888" s="58" t="s">
        <v>891</v>
      </c>
    </row>
    <row r="889" spans="1:12">
      <c r="A889">
        <v>29</v>
      </c>
      <c r="B889" s="9" t="s">
        <v>335</v>
      </c>
      <c r="C889" s="50">
        <v>40699.677083333336</v>
      </c>
      <c r="D889" s="9" t="s">
        <v>335</v>
      </c>
      <c r="E889" t="str">
        <f t="shared" si="17"/>
        <v>'2ff3cab'</v>
      </c>
      <c r="F889" s="9" t="s">
        <v>335</v>
      </c>
      <c r="G889" s="4">
        <v>100</v>
      </c>
      <c r="L889" s="58" t="s">
        <v>889</v>
      </c>
    </row>
    <row r="890" spans="1:12">
      <c r="A890">
        <v>29</v>
      </c>
      <c r="B890" s="9" t="s">
        <v>335</v>
      </c>
      <c r="C890" s="50">
        <v>40700.678472222222</v>
      </c>
      <c r="D890" s="9" t="s">
        <v>335</v>
      </c>
      <c r="E890" t="str">
        <f t="shared" si="17"/>
        <v>'77290b9'</v>
      </c>
      <c r="F890" s="9" t="s">
        <v>335</v>
      </c>
      <c r="G890" s="4">
        <v>101</v>
      </c>
      <c r="L890" s="58" t="s">
        <v>394</v>
      </c>
    </row>
    <row r="891" spans="1:12">
      <c r="A891">
        <v>29</v>
      </c>
      <c r="B891" s="9" t="s">
        <v>335</v>
      </c>
      <c r="C891" s="50">
        <v>40700.768055555556</v>
      </c>
      <c r="D891" s="9" t="s">
        <v>335</v>
      </c>
      <c r="E891" t="str">
        <f t="shared" si="17"/>
        <v>'3fb0fb2'</v>
      </c>
      <c r="F891" s="9" t="s">
        <v>335</v>
      </c>
      <c r="G891" s="4">
        <v>102</v>
      </c>
      <c r="L891" s="58" t="s">
        <v>548</v>
      </c>
    </row>
    <row r="892" spans="1:12">
      <c r="A892">
        <v>29</v>
      </c>
      <c r="B892" s="9" t="s">
        <v>335</v>
      </c>
      <c r="C892" s="50">
        <v>40701.436805555553</v>
      </c>
      <c r="D892" s="9" t="s">
        <v>335</v>
      </c>
      <c r="E892" t="str">
        <f t="shared" si="17"/>
        <v>'8cd638a'</v>
      </c>
      <c r="F892" s="9" t="s">
        <v>335</v>
      </c>
      <c r="G892" s="4">
        <v>103</v>
      </c>
      <c r="L892" s="58" t="s">
        <v>425</v>
      </c>
    </row>
    <row r="893" spans="1:12">
      <c r="A893">
        <v>29</v>
      </c>
      <c r="B893" s="9" t="s">
        <v>335</v>
      </c>
      <c r="C893" s="50">
        <v>40701.602083333331</v>
      </c>
      <c r="D893" s="9" t="s">
        <v>335</v>
      </c>
      <c r="E893" t="str">
        <f t="shared" si="17"/>
        <v>'8291720'</v>
      </c>
      <c r="F893" s="9" t="s">
        <v>335</v>
      </c>
      <c r="G893" s="4">
        <v>104</v>
      </c>
      <c r="L893" s="58" t="s">
        <v>1912</v>
      </c>
    </row>
    <row r="894" spans="1:12">
      <c r="A894">
        <v>29</v>
      </c>
      <c r="B894" s="9" t="s">
        <v>335</v>
      </c>
      <c r="C894" s="50">
        <v>40706.921527777777</v>
      </c>
      <c r="D894" s="9" t="s">
        <v>335</v>
      </c>
      <c r="E894" t="str">
        <f t="shared" si="17"/>
        <v>'ef05e4c'</v>
      </c>
      <c r="F894" s="9" t="s">
        <v>335</v>
      </c>
      <c r="G894" s="4">
        <v>105</v>
      </c>
      <c r="L894" s="58" t="s">
        <v>1346</v>
      </c>
    </row>
    <row r="895" spans="1:12">
      <c r="A895">
        <v>29</v>
      </c>
      <c r="B895" s="9" t="s">
        <v>335</v>
      </c>
      <c r="C895" s="50">
        <v>40705.777083333334</v>
      </c>
      <c r="D895" s="9" t="s">
        <v>335</v>
      </c>
      <c r="E895" t="str">
        <f t="shared" si="17"/>
        <v>'e03ba7d'</v>
      </c>
      <c r="F895" s="9" t="s">
        <v>335</v>
      </c>
      <c r="G895" s="4">
        <v>106</v>
      </c>
      <c r="L895" s="58" t="s">
        <v>948</v>
      </c>
    </row>
    <row r="896" spans="1:12">
      <c r="A896">
        <v>29</v>
      </c>
      <c r="B896" s="9" t="s">
        <v>335</v>
      </c>
      <c r="C896" s="50">
        <v>40707.390277777777</v>
      </c>
      <c r="D896" s="9" t="s">
        <v>335</v>
      </c>
      <c r="E896" t="str">
        <f t="shared" si="17"/>
        <v>'c61ffdd'</v>
      </c>
      <c r="F896" s="9" t="s">
        <v>335</v>
      </c>
      <c r="G896" s="4">
        <v>107</v>
      </c>
      <c r="L896" s="58" t="s">
        <v>646</v>
      </c>
    </row>
    <row r="897" spans="1:12">
      <c r="A897">
        <v>29</v>
      </c>
      <c r="B897" s="9" t="s">
        <v>335</v>
      </c>
      <c r="C897" s="50">
        <v>40707.402083333334</v>
      </c>
      <c r="D897" s="9" t="s">
        <v>335</v>
      </c>
      <c r="E897" t="str">
        <f t="shared" si="17"/>
        <v>'6464917'</v>
      </c>
      <c r="F897" s="9" t="s">
        <v>335</v>
      </c>
      <c r="G897" s="4">
        <v>108</v>
      </c>
      <c r="L897" s="58" t="s">
        <v>1913</v>
      </c>
    </row>
    <row r="898" spans="1:12">
      <c r="A898">
        <v>29</v>
      </c>
      <c r="B898" s="9" t="s">
        <v>335</v>
      </c>
      <c r="C898" s="50">
        <v>40711.476388888892</v>
      </c>
      <c r="D898" s="9" t="s">
        <v>335</v>
      </c>
      <c r="E898" t="str">
        <f t="shared" si="17"/>
        <v>'a3354b1'</v>
      </c>
      <c r="F898" s="9" t="s">
        <v>335</v>
      </c>
      <c r="G898" s="4">
        <v>109</v>
      </c>
      <c r="L898" s="58" t="s">
        <v>1191</v>
      </c>
    </row>
    <row r="899" spans="1:12">
      <c r="A899">
        <v>29</v>
      </c>
      <c r="B899" s="9" t="s">
        <v>335</v>
      </c>
      <c r="C899" s="50">
        <v>40711.777083333334</v>
      </c>
      <c r="D899" s="9" t="s">
        <v>335</v>
      </c>
      <c r="E899" t="str">
        <f t="shared" si="17"/>
        <v>'26fc0c8'</v>
      </c>
      <c r="F899" s="9" t="s">
        <v>335</v>
      </c>
      <c r="G899" s="4">
        <v>110</v>
      </c>
      <c r="L899" s="58" t="s">
        <v>1004</v>
      </c>
    </row>
    <row r="900" spans="1:12">
      <c r="A900">
        <v>29</v>
      </c>
      <c r="B900" s="9" t="s">
        <v>335</v>
      </c>
      <c r="C900" s="50">
        <v>40711.925000000003</v>
      </c>
      <c r="D900" s="9" t="s">
        <v>335</v>
      </c>
      <c r="E900" t="str">
        <f t="shared" si="17"/>
        <v>'40ffd56'</v>
      </c>
      <c r="F900" s="9" t="s">
        <v>335</v>
      </c>
      <c r="G900" s="4">
        <v>111</v>
      </c>
      <c r="L900" s="58" t="s">
        <v>1313</v>
      </c>
    </row>
    <row r="901" spans="1:12">
      <c r="A901">
        <v>29</v>
      </c>
      <c r="B901" s="9" t="s">
        <v>335</v>
      </c>
      <c r="C901" s="50">
        <v>40711.97152777778</v>
      </c>
      <c r="D901" s="9" t="s">
        <v>335</v>
      </c>
      <c r="E901" t="str">
        <f t="shared" si="17"/>
        <v>'cf3104d'</v>
      </c>
      <c r="F901" s="9" t="s">
        <v>335</v>
      </c>
      <c r="G901" s="4">
        <v>112</v>
      </c>
      <c r="L901" s="58" t="s">
        <v>809</v>
      </c>
    </row>
    <row r="902" spans="1:12">
      <c r="A902">
        <v>29</v>
      </c>
      <c r="B902" s="9" t="s">
        <v>335</v>
      </c>
      <c r="C902" s="50">
        <v>40714.463888888888</v>
      </c>
      <c r="D902" s="9" t="s">
        <v>335</v>
      </c>
      <c r="E902" t="str">
        <f t="shared" si="17"/>
        <v>'405f913'</v>
      </c>
      <c r="F902" s="9" t="s">
        <v>335</v>
      </c>
      <c r="G902" s="4">
        <v>113</v>
      </c>
      <c r="L902" s="58" t="s">
        <v>801</v>
      </c>
    </row>
    <row r="903" spans="1:12">
      <c r="A903">
        <v>29</v>
      </c>
      <c r="B903" s="9" t="s">
        <v>335</v>
      </c>
      <c r="C903" s="50">
        <v>40714.746527777781</v>
      </c>
      <c r="D903" s="9" t="s">
        <v>335</v>
      </c>
      <c r="E903" t="str">
        <f t="shared" si="17"/>
        <v>'78cdd29'</v>
      </c>
      <c r="F903" s="9" t="s">
        <v>335</v>
      </c>
      <c r="G903" s="4">
        <v>114</v>
      </c>
      <c r="L903" s="58" t="s">
        <v>733</v>
      </c>
    </row>
    <row r="904" spans="1:12">
      <c r="A904">
        <v>29</v>
      </c>
      <c r="B904" s="9" t="s">
        <v>335</v>
      </c>
      <c r="C904" s="50">
        <v>40714.463888888888</v>
      </c>
      <c r="D904" s="9" t="s">
        <v>335</v>
      </c>
      <c r="E904" t="str">
        <f t="shared" si="17"/>
        <v>'556ef07'</v>
      </c>
      <c r="F904" s="9" t="s">
        <v>335</v>
      </c>
      <c r="G904" s="4">
        <v>115</v>
      </c>
      <c r="L904" s="58" t="s">
        <v>381</v>
      </c>
    </row>
    <row r="905" spans="1:12">
      <c r="A905">
        <v>29</v>
      </c>
      <c r="B905" s="9" t="s">
        <v>335</v>
      </c>
      <c r="C905" s="50">
        <v>40712.396527777775</v>
      </c>
      <c r="D905" s="9" t="s">
        <v>335</v>
      </c>
      <c r="E905" t="str">
        <f t="shared" si="17"/>
        <v>'06b1009'</v>
      </c>
      <c r="F905" s="9" t="s">
        <v>335</v>
      </c>
      <c r="G905" s="4">
        <v>116</v>
      </c>
      <c r="L905" s="58" t="s">
        <v>1257</v>
      </c>
    </row>
    <row r="906" spans="1:12">
      <c r="A906">
        <v>29</v>
      </c>
      <c r="B906" s="9" t="s">
        <v>335</v>
      </c>
      <c r="C906" s="50">
        <v>40715.709722222222</v>
      </c>
      <c r="D906" s="9" t="s">
        <v>335</v>
      </c>
      <c r="E906" t="str">
        <f t="shared" si="17"/>
        <v>'63a2916'</v>
      </c>
      <c r="F906" s="9" t="s">
        <v>335</v>
      </c>
      <c r="G906" s="4">
        <v>117</v>
      </c>
      <c r="L906" s="58" t="s">
        <v>403</v>
      </c>
    </row>
    <row r="907" spans="1:12">
      <c r="A907">
        <v>29</v>
      </c>
      <c r="B907" s="9" t="s">
        <v>335</v>
      </c>
      <c r="C907" s="50">
        <v>40721.417361111111</v>
      </c>
      <c r="D907" s="9" t="s">
        <v>335</v>
      </c>
      <c r="E907" t="str">
        <f t="shared" si="17"/>
        <v>'9f526b3'</v>
      </c>
      <c r="F907" s="9" t="s">
        <v>335</v>
      </c>
      <c r="G907" s="4">
        <v>118</v>
      </c>
      <c r="L907" s="58" t="s">
        <v>859</v>
      </c>
    </row>
    <row r="908" spans="1:12">
      <c r="A908">
        <v>29</v>
      </c>
      <c r="B908" s="9" t="s">
        <v>335</v>
      </c>
      <c r="C908" s="50">
        <v>40722.973611111112</v>
      </c>
      <c r="D908" s="9" t="s">
        <v>335</v>
      </c>
      <c r="E908" t="str">
        <f t="shared" si="17"/>
        <v>'d741fd9'</v>
      </c>
      <c r="F908" s="9" t="s">
        <v>335</v>
      </c>
      <c r="G908" s="4">
        <v>119</v>
      </c>
      <c r="L908" s="58" t="s">
        <v>998</v>
      </c>
    </row>
    <row r="909" spans="1:12">
      <c r="A909">
        <v>30</v>
      </c>
      <c r="B909" s="9" t="s">
        <v>335</v>
      </c>
      <c r="C909" s="50">
        <v>40675.417361111111</v>
      </c>
      <c r="D909" s="9" t="s">
        <v>335</v>
      </c>
      <c r="E909" t="str">
        <f t="shared" si="17"/>
        <v>'2836ae4'</v>
      </c>
      <c r="F909" s="9" t="s">
        <v>335</v>
      </c>
      <c r="G909" s="4">
        <v>1</v>
      </c>
      <c r="L909" s="58" t="s">
        <v>1121</v>
      </c>
    </row>
    <row r="910" spans="1:12">
      <c r="A910">
        <v>30</v>
      </c>
      <c r="B910" s="9" t="s">
        <v>335</v>
      </c>
      <c r="C910" s="50">
        <v>40683.387499999997</v>
      </c>
      <c r="D910" s="9" t="s">
        <v>335</v>
      </c>
      <c r="E910" t="str">
        <f t="shared" si="17"/>
        <v>'e3a0be9'</v>
      </c>
      <c r="F910" s="9" t="s">
        <v>335</v>
      </c>
      <c r="G910" s="4">
        <v>2</v>
      </c>
      <c r="L910" s="58" t="s">
        <v>454</v>
      </c>
    </row>
    <row r="911" spans="1:12">
      <c r="A911">
        <v>30</v>
      </c>
      <c r="B911" s="9" t="s">
        <v>335</v>
      </c>
      <c r="C911" s="50">
        <v>40686.400694444441</v>
      </c>
      <c r="D911" s="9" t="s">
        <v>335</v>
      </c>
      <c r="E911" t="str">
        <f t="shared" si="17"/>
        <v>'cee7a85'</v>
      </c>
      <c r="F911" s="9" t="s">
        <v>335</v>
      </c>
      <c r="G911" s="4">
        <v>3</v>
      </c>
      <c r="L911" s="58" t="s">
        <v>1208</v>
      </c>
    </row>
    <row r="912" spans="1:12">
      <c r="A912">
        <v>30</v>
      </c>
      <c r="B912" s="9" t="s">
        <v>335</v>
      </c>
      <c r="C912" s="50">
        <v>40686.694444444445</v>
      </c>
      <c r="D912" s="9" t="s">
        <v>335</v>
      </c>
      <c r="E912" t="str">
        <f t="shared" si="17"/>
        <v>'018b75e'</v>
      </c>
      <c r="F912" s="9" t="s">
        <v>335</v>
      </c>
      <c r="G912" s="4">
        <v>4</v>
      </c>
      <c r="L912" s="58" t="s">
        <v>1228</v>
      </c>
    </row>
    <row r="913" spans="1:12">
      <c r="A913">
        <v>30</v>
      </c>
      <c r="B913" s="9" t="s">
        <v>335</v>
      </c>
      <c r="C913" s="50">
        <v>40687.570833333331</v>
      </c>
      <c r="D913" s="9" t="s">
        <v>335</v>
      </c>
      <c r="E913" t="str">
        <f t="shared" si="17"/>
        <v>'0bc4655'</v>
      </c>
      <c r="F913" s="9" t="s">
        <v>335</v>
      </c>
      <c r="G913" s="4">
        <v>5</v>
      </c>
      <c r="L913" s="58" t="s">
        <v>1231</v>
      </c>
    </row>
    <row r="914" spans="1:12">
      <c r="A914">
        <v>31</v>
      </c>
      <c r="B914" s="9" t="s">
        <v>335</v>
      </c>
      <c r="C914" s="50">
        <v>40593.37222222222</v>
      </c>
      <c r="D914" s="9" t="s">
        <v>335</v>
      </c>
      <c r="E914" t="str">
        <f t="shared" si="17"/>
        <v>'077aa6f'</v>
      </c>
      <c r="F914" s="9" t="s">
        <v>335</v>
      </c>
      <c r="G914" s="4">
        <v>1</v>
      </c>
      <c r="L914" s="58" t="s">
        <v>483</v>
      </c>
    </row>
    <row r="915" spans="1:12">
      <c r="A915">
        <v>32</v>
      </c>
      <c r="B915" s="9" t="s">
        <v>335</v>
      </c>
      <c r="C915" s="50">
        <v>40715.681944444441</v>
      </c>
      <c r="D915" s="9" t="s">
        <v>335</v>
      </c>
      <c r="E915" t="str">
        <f t="shared" si="17"/>
        <v>'c83d2cf'</v>
      </c>
      <c r="F915" s="9" t="s">
        <v>335</v>
      </c>
      <c r="G915" s="4">
        <v>1</v>
      </c>
      <c r="L915" s="58" t="s">
        <v>542</v>
      </c>
    </row>
    <row r="916" spans="1:12">
      <c r="A916">
        <v>33</v>
      </c>
      <c r="B916" s="9" t="s">
        <v>335</v>
      </c>
      <c r="C916" s="50">
        <v>40581.615277777775</v>
      </c>
      <c r="D916" s="9" t="s">
        <v>335</v>
      </c>
      <c r="E916" t="str">
        <f t="shared" si="17"/>
        <v>'9c96561'</v>
      </c>
      <c r="F916" s="9" t="s">
        <v>335</v>
      </c>
      <c r="G916" s="4">
        <v>1</v>
      </c>
      <c r="L916" s="58" t="s">
        <v>936</v>
      </c>
    </row>
    <row r="917" spans="1:12">
      <c r="A917">
        <v>33</v>
      </c>
      <c r="B917" s="9" t="s">
        <v>335</v>
      </c>
      <c r="C917" s="50">
        <v>40583.780555555553</v>
      </c>
      <c r="D917" s="9" t="s">
        <v>335</v>
      </c>
      <c r="E917" t="str">
        <f t="shared" si="17"/>
        <v>'042a4cd'</v>
      </c>
      <c r="F917" s="9" t="s">
        <v>335</v>
      </c>
      <c r="G917" s="4">
        <v>2</v>
      </c>
      <c r="L917" s="58" t="s">
        <v>564</v>
      </c>
    </row>
    <row r="918" spans="1:12">
      <c r="A918">
        <v>34</v>
      </c>
      <c r="B918" s="9" t="s">
        <v>335</v>
      </c>
      <c r="C918" s="50">
        <v>40582.879861111112</v>
      </c>
      <c r="D918" s="9" t="s">
        <v>335</v>
      </c>
      <c r="E918" t="str">
        <f t="shared" si="17"/>
        <v>'6d96631'</v>
      </c>
      <c r="F918" s="9" t="s">
        <v>335</v>
      </c>
      <c r="G918" s="4">
        <v>1</v>
      </c>
      <c r="L918" s="58" t="s">
        <v>1517</v>
      </c>
    </row>
    <row r="919" spans="1:12">
      <c r="A919">
        <v>34</v>
      </c>
      <c r="B919" s="9" t="s">
        <v>335</v>
      </c>
      <c r="C919" s="50">
        <v>40661.934027777781</v>
      </c>
      <c r="D919" s="9" t="s">
        <v>335</v>
      </c>
      <c r="E919" t="str">
        <f t="shared" si="17"/>
        <v>'cae5ea0'</v>
      </c>
      <c r="F919" s="9" t="s">
        <v>335</v>
      </c>
      <c r="G919" s="4">
        <v>2</v>
      </c>
      <c r="L919" s="58" t="s">
        <v>976</v>
      </c>
    </row>
    <row r="920" spans="1:12">
      <c r="A920">
        <v>34</v>
      </c>
      <c r="B920" s="9" t="s">
        <v>335</v>
      </c>
      <c r="C920" s="50">
        <v>40661.560416666667</v>
      </c>
      <c r="D920" s="9" t="s">
        <v>335</v>
      </c>
      <c r="E920" t="str">
        <f t="shared" si="17"/>
        <v>'39d738f'</v>
      </c>
      <c r="F920" s="9" t="s">
        <v>335</v>
      </c>
      <c r="G920" s="4">
        <v>3</v>
      </c>
      <c r="L920" s="58" t="s">
        <v>652</v>
      </c>
    </row>
    <row r="921" spans="1:12">
      <c r="A921">
        <v>34</v>
      </c>
      <c r="B921" s="9" t="s">
        <v>335</v>
      </c>
      <c r="C921" s="50">
        <v>40676.914583333331</v>
      </c>
      <c r="D921" s="9" t="s">
        <v>335</v>
      </c>
      <c r="E921" t="str">
        <f t="shared" si="17"/>
        <v>'6ae77ed'</v>
      </c>
      <c r="F921" s="9" t="s">
        <v>335</v>
      </c>
      <c r="G921" s="4">
        <v>4</v>
      </c>
      <c r="L921" s="58" t="s">
        <v>1434</v>
      </c>
    </row>
    <row r="922" spans="1:12">
      <c r="A922">
        <v>35</v>
      </c>
      <c r="B922" s="9" t="s">
        <v>335</v>
      </c>
      <c r="C922" s="50">
        <v>40546.617361111108</v>
      </c>
      <c r="D922" s="9" t="s">
        <v>335</v>
      </c>
      <c r="E922" t="str">
        <f t="shared" ref="E922:E985" si="18">CONCATENATE("'",L922,"'")</f>
        <v>'1f2ba8f'</v>
      </c>
      <c r="F922" s="9" t="s">
        <v>335</v>
      </c>
      <c r="G922" s="4">
        <v>1</v>
      </c>
      <c r="L922" s="58" t="s">
        <v>441</v>
      </c>
    </row>
    <row r="923" spans="1:12">
      <c r="A923">
        <v>36</v>
      </c>
      <c r="B923" s="9" t="s">
        <v>335</v>
      </c>
      <c r="C923" s="50">
        <v>40574.381249999999</v>
      </c>
      <c r="D923" s="9" t="s">
        <v>335</v>
      </c>
      <c r="E923" t="str">
        <f t="shared" si="18"/>
        <v>'b167b98'</v>
      </c>
      <c r="F923" s="9" t="s">
        <v>335</v>
      </c>
      <c r="G923" s="4">
        <v>1</v>
      </c>
      <c r="L923" s="58" t="s">
        <v>480</v>
      </c>
    </row>
    <row r="924" spans="1:12">
      <c r="A924">
        <v>37</v>
      </c>
      <c r="B924" s="9" t="s">
        <v>335</v>
      </c>
      <c r="C924" s="50">
        <v>40573.577777777777</v>
      </c>
      <c r="D924" s="9" t="s">
        <v>335</v>
      </c>
      <c r="E924" t="str">
        <f t="shared" si="18"/>
        <v>'cd29343'</v>
      </c>
      <c r="F924" s="9" t="s">
        <v>335</v>
      </c>
      <c r="G924" s="4">
        <v>1</v>
      </c>
      <c r="L924" s="58" t="s">
        <v>410</v>
      </c>
    </row>
    <row r="925" spans="1:12">
      <c r="A925">
        <v>37</v>
      </c>
      <c r="B925" s="9" t="s">
        <v>335</v>
      </c>
      <c r="C925" s="50">
        <v>40587.60833333333</v>
      </c>
      <c r="D925" s="9" t="s">
        <v>335</v>
      </c>
      <c r="E925" t="str">
        <f t="shared" si="18"/>
        <v>'8eea720'</v>
      </c>
      <c r="F925" s="9" t="s">
        <v>335</v>
      </c>
      <c r="G925" s="4">
        <v>2</v>
      </c>
      <c r="L925" s="58" t="s">
        <v>913</v>
      </c>
    </row>
    <row r="926" spans="1:12">
      <c r="A926">
        <v>38</v>
      </c>
      <c r="B926" s="9" t="s">
        <v>335</v>
      </c>
      <c r="C926" s="50">
        <v>40577.98541666667</v>
      </c>
      <c r="D926" s="9" t="s">
        <v>335</v>
      </c>
      <c r="E926" t="str">
        <f t="shared" si="18"/>
        <v>'a88920a'</v>
      </c>
      <c r="F926" s="9" t="s">
        <v>335</v>
      </c>
      <c r="G926" s="4">
        <v>1</v>
      </c>
      <c r="L926" s="58" t="s">
        <v>758</v>
      </c>
    </row>
    <row r="927" spans="1:12">
      <c r="A927">
        <v>39</v>
      </c>
      <c r="B927" s="9" t="s">
        <v>335</v>
      </c>
      <c r="C927" s="50">
        <v>40696.95208333333</v>
      </c>
      <c r="D927" s="9" t="s">
        <v>335</v>
      </c>
      <c r="E927" t="str">
        <f t="shared" si="18"/>
        <v>'c3eef5b'</v>
      </c>
      <c r="F927" s="9" t="s">
        <v>335</v>
      </c>
      <c r="G927" s="4">
        <v>1</v>
      </c>
      <c r="L927" s="58" t="s">
        <v>702</v>
      </c>
    </row>
    <row r="928" spans="1:12">
      <c r="A928">
        <v>40</v>
      </c>
      <c r="B928" s="9" t="s">
        <v>335</v>
      </c>
      <c r="C928" s="50">
        <v>40624.712500000001</v>
      </c>
      <c r="D928" s="9" t="s">
        <v>335</v>
      </c>
      <c r="E928" t="str">
        <f t="shared" si="18"/>
        <v>'d5c2873'</v>
      </c>
      <c r="F928" s="9" t="s">
        <v>335</v>
      </c>
      <c r="G928" s="4">
        <v>1</v>
      </c>
      <c r="L928" s="58" t="s">
        <v>518</v>
      </c>
    </row>
    <row r="929" spans="1:12">
      <c r="A929">
        <v>40</v>
      </c>
      <c r="B929" s="9" t="s">
        <v>335</v>
      </c>
      <c r="C929" s="50">
        <v>40691.668055555558</v>
      </c>
      <c r="D929" s="9" t="s">
        <v>335</v>
      </c>
      <c r="E929" t="str">
        <f t="shared" si="18"/>
        <v>'a84188e'</v>
      </c>
      <c r="F929" s="9" t="s">
        <v>335</v>
      </c>
      <c r="G929" s="4">
        <v>2</v>
      </c>
      <c r="L929" s="58" t="s">
        <v>692</v>
      </c>
    </row>
    <row r="930" spans="1:12">
      <c r="A930">
        <v>40</v>
      </c>
      <c r="B930" s="9" t="s">
        <v>335</v>
      </c>
      <c r="C930" s="50">
        <v>40694.203472222223</v>
      </c>
      <c r="D930" s="9" t="s">
        <v>335</v>
      </c>
      <c r="E930" t="str">
        <f t="shared" si="18"/>
        <v>'1a7001b'</v>
      </c>
      <c r="F930" s="9" t="s">
        <v>335</v>
      </c>
      <c r="G930" s="4">
        <v>3</v>
      </c>
      <c r="L930" s="58" t="s">
        <v>895</v>
      </c>
    </row>
    <row r="931" spans="1:12">
      <c r="A931">
        <v>40</v>
      </c>
      <c r="B931" s="9" t="s">
        <v>335</v>
      </c>
      <c r="C931" s="50">
        <v>40694.271527777775</v>
      </c>
      <c r="D931" s="9" t="s">
        <v>335</v>
      </c>
      <c r="E931" t="str">
        <f t="shared" si="18"/>
        <v>'a365727'</v>
      </c>
      <c r="F931" s="9" t="s">
        <v>335</v>
      </c>
      <c r="G931" s="4">
        <v>4</v>
      </c>
      <c r="L931" s="58" t="s">
        <v>1354</v>
      </c>
    </row>
    <row r="932" spans="1:12">
      <c r="A932">
        <v>40</v>
      </c>
      <c r="B932" s="9" t="s">
        <v>335</v>
      </c>
      <c r="C932" s="50">
        <v>40696.95208333333</v>
      </c>
      <c r="D932" s="9" t="s">
        <v>335</v>
      </c>
      <c r="E932" t="str">
        <f t="shared" si="18"/>
        <v>'3f13f6d'</v>
      </c>
      <c r="F932" s="9" t="s">
        <v>335</v>
      </c>
      <c r="G932" s="4">
        <v>5</v>
      </c>
      <c r="L932" s="58" t="s">
        <v>701</v>
      </c>
    </row>
    <row r="933" spans="1:12">
      <c r="A933">
        <v>40</v>
      </c>
      <c r="B933" s="9" t="s">
        <v>335</v>
      </c>
      <c r="C933" s="50">
        <v>40697.331250000003</v>
      </c>
      <c r="D933" s="9" t="s">
        <v>335</v>
      </c>
      <c r="E933" t="str">
        <f t="shared" si="18"/>
        <v>'005b75d'</v>
      </c>
      <c r="F933" s="9" t="s">
        <v>335</v>
      </c>
      <c r="G933" s="4">
        <v>6</v>
      </c>
      <c r="L933" s="58" t="s">
        <v>1013</v>
      </c>
    </row>
    <row r="934" spans="1:12">
      <c r="A934">
        <v>40</v>
      </c>
      <c r="B934" s="9" t="s">
        <v>335</v>
      </c>
      <c r="C934" s="50">
        <v>40715.60833333333</v>
      </c>
      <c r="D934" s="9" t="s">
        <v>335</v>
      </c>
      <c r="E934" t="str">
        <f t="shared" si="18"/>
        <v>'9323b34'</v>
      </c>
      <c r="F934" s="9" t="s">
        <v>335</v>
      </c>
      <c r="G934" s="4">
        <v>7</v>
      </c>
      <c r="L934" s="58" t="s">
        <v>541</v>
      </c>
    </row>
    <row r="935" spans="1:12">
      <c r="A935">
        <v>41</v>
      </c>
      <c r="B935" s="9" t="s">
        <v>335</v>
      </c>
      <c r="C935" s="50">
        <v>40608.700694444444</v>
      </c>
      <c r="D935" s="9" t="s">
        <v>335</v>
      </c>
      <c r="E935" t="str">
        <f t="shared" si="18"/>
        <v>'ef3fd82'</v>
      </c>
      <c r="F935" s="9" t="s">
        <v>335</v>
      </c>
      <c r="G935" s="4">
        <v>1</v>
      </c>
      <c r="L935" s="58" t="s">
        <v>450</v>
      </c>
    </row>
    <row r="936" spans="1:12">
      <c r="A936">
        <v>41</v>
      </c>
      <c r="B936" s="9" t="s">
        <v>335</v>
      </c>
      <c r="C936" s="50">
        <v>40692.461111111108</v>
      </c>
      <c r="D936" s="9" t="s">
        <v>335</v>
      </c>
      <c r="E936" t="str">
        <f t="shared" si="18"/>
        <v>'017e445'</v>
      </c>
      <c r="F936" s="9" t="s">
        <v>335</v>
      </c>
      <c r="G936" s="4">
        <v>2</v>
      </c>
      <c r="L936" s="58" t="s">
        <v>965</v>
      </c>
    </row>
    <row r="937" spans="1:12">
      <c r="A937">
        <v>41</v>
      </c>
      <c r="B937" s="9" t="s">
        <v>335</v>
      </c>
      <c r="C937" s="50">
        <v>40701.379166666666</v>
      </c>
      <c r="D937" s="9" t="s">
        <v>335</v>
      </c>
      <c r="E937" t="str">
        <f t="shared" si="18"/>
        <v>'79eb909'</v>
      </c>
      <c r="F937" s="9" t="s">
        <v>335</v>
      </c>
      <c r="G937" s="4">
        <v>3</v>
      </c>
      <c r="L937" s="58" t="s">
        <v>920</v>
      </c>
    </row>
    <row r="938" spans="1:12">
      <c r="A938">
        <v>41</v>
      </c>
      <c r="B938" s="9" t="s">
        <v>335</v>
      </c>
      <c r="C938" s="50">
        <v>40701.404166666667</v>
      </c>
      <c r="D938" s="9" t="s">
        <v>335</v>
      </c>
      <c r="E938" t="str">
        <f t="shared" si="18"/>
        <v>'dbe586c'</v>
      </c>
      <c r="F938" s="9" t="s">
        <v>335</v>
      </c>
      <c r="G938" s="4">
        <v>4</v>
      </c>
      <c r="L938" s="58" t="s">
        <v>424</v>
      </c>
    </row>
    <row r="939" spans="1:12">
      <c r="A939">
        <v>41</v>
      </c>
      <c r="B939" s="9" t="s">
        <v>335</v>
      </c>
      <c r="C939" s="50">
        <v>40702.422222222223</v>
      </c>
      <c r="D939" s="9" t="s">
        <v>335</v>
      </c>
      <c r="E939" t="str">
        <f t="shared" si="18"/>
        <v>'bb06bd1'</v>
      </c>
      <c r="F939" s="9" t="s">
        <v>335</v>
      </c>
      <c r="G939" s="4">
        <v>5</v>
      </c>
      <c r="L939" s="58" t="s">
        <v>1411</v>
      </c>
    </row>
    <row r="940" spans="1:12">
      <c r="A940">
        <v>42</v>
      </c>
      <c r="B940" s="9" t="s">
        <v>335</v>
      </c>
      <c r="C940" s="50">
        <v>40619.931944444441</v>
      </c>
      <c r="D940" s="9" t="s">
        <v>335</v>
      </c>
      <c r="E940" t="str">
        <f t="shared" si="18"/>
        <v>'c5bc472'</v>
      </c>
      <c r="F940" s="9" t="s">
        <v>335</v>
      </c>
      <c r="G940" s="4">
        <v>1</v>
      </c>
      <c r="L940" s="58" t="s">
        <v>1254</v>
      </c>
    </row>
    <row r="941" spans="1:12">
      <c r="A941">
        <v>42</v>
      </c>
      <c r="B941" s="9" t="s">
        <v>335</v>
      </c>
      <c r="C941" s="50">
        <v>40619.990972222222</v>
      </c>
      <c r="D941" s="9" t="s">
        <v>335</v>
      </c>
      <c r="E941" t="str">
        <f t="shared" si="18"/>
        <v>'81d5129'</v>
      </c>
      <c r="F941" s="9" t="s">
        <v>335</v>
      </c>
      <c r="G941" s="4">
        <v>2</v>
      </c>
      <c r="L941" s="58" t="s">
        <v>370</v>
      </c>
    </row>
    <row r="942" spans="1:12">
      <c r="A942">
        <v>43</v>
      </c>
      <c r="B942" s="9" t="s">
        <v>335</v>
      </c>
      <c r="C942" s="50">
        <v>40553.88958333333</v>
      </c>
      <c r="D942" s="9" t="s">
        <v>335</v>
      </c>
      <c r="E942" t="str">
        <f t="shared" si="18"/>
        <v>'89d0d84'</v>
      </c>
      <c r="F942" s="9" t="s">
        <v>335</v>
      </c>
      <c r="G942" s="4">
        <v>1</v>
      </c>
      <c r="L942" s="58" t="s">
        <v>923</v>
      </c>
    </row>
    <row r="943" spans="1:12">
      <c r="A943">
        <v>44</v>
      </c>
      <c r="B943" s="9" t="s">
        <v>335</v>
      </c>
      <c r="C943" s="50">
        <v>40549.899305555555</v>
      </c>
      <c r="D943" s="9" t="s">
        <v>335</v>
      </c>
      <c r="E943" t="str">
        <f t="shared" si="18"/>
        <v>'a09a76f'</v>
      </c>
      <c r="F943" s="9" t="s">
        <v>335</v>
      </c>
      <c r="G943" s="4">
        <v>1</v>
      </c>
      <c r="L943" s="58" t="s">
        <v>1322</v>
      </c>
    </row>
    <row r="944" spans="1:12">
      <c r="A944">
        <v>44</v>
      </c>
      <c r="B944" s="9" t="s">
        <v>335</v>
      </c>
      <c r="C944" s="50">
        <v>40551.934027777781</v>
      </c>
      <c r="D944" s="9" t="s">
        <v>335</v>
      </c>
      <c r="E944" t="str">
        <f t="shared" si="18"/>
        <v>'b97ad46'</v>
      </c>
      <c r="F944" s="9" t="s">
        <v>335</v>
      </c>
      <c r="G944" s="4">
        <v>2</v>
      </c>
      <c r="L944" s="58" t="s">
        <v>1514</v>
      </c>
    </row>
    <row r="945" spans="1:12">
      <c r="A945">
        <v>44</v>
      </c>
      <c r="B945" s="9" t="s">
        <v>335</v>
      </c>
      <c r="C945" s="50">
        <v>40553.772916666669</v>
      </c>
      <c r="D945" s="9" t="s">
        <v>335</v>
      </c>
      <c r="E945" t="str">
        <f t="shared" si="18"/>
        <v>'4895dbe'</v>
      </c>
      <c r="F945" s="9" t="s">
        <v>335</v>
      </c>
      <c r="G945" s="4">
        <v>3</v>
      </c>
      <c r="L945" s="58" t="s">
        <v>922</v>
      </c>
    </row>
    <row r="946" spans="1:12">
      <c r="A946">
        <v>44</v>
      </c>
      <c r="B946" s="9" t="s">
        <v>335</v>
      </c>
      <c r="C946" s="50">
        <v>40553.986111111109</v>
      </c>
      <c r="D946" s="9" t="s">
        <v>335</v>
      </c>
      <c r="E946" t="str">
        <f t="shared" si="18"/>
        <v>'1a9f3c6'</v>
      </c>
      <c r="F946" s="9" t="s">
        <v>335</v>
      </c>
      <c r="G946" s="4">
        <v>4</v>
      </c>
      <c r="L946" s="58" t="s">
        <v>1286</v>
      </c>
    </row>
    <row r="947" spans="1:12">
      <c r="A947">
        <v>44</v>
      </c>
      <c r="B947" s="9" t="s">
        <v>335</v>
      </c>
      <c r="C947" s="50">
        <v>40554.602777777778</v>
      </c>
      <c r="D947" s="9" t="s">
        <v>335</v>
      </c>
      <c r="E947" t="str">
        <f t="shared" si="18"/>
        <v>'0f4a76f'</v>
      </c>
      <c r="F947" s="9" t="s">
        <v>335</v>
      </c>
      <c r="G947" s="4">
        <v>5</v>
      </c>
      <c r="L947" s="58" t="s">
        <v>1205</v>
      </c>
    </row>
    <row r="948" spans="1:12">
      <c r="A948">
        <v>44</v>
      </c>
      <c r="B948" s="9" t="s">
        <v>335</v>
      </c>
      <c r="C948" s="50">
        <v>40555.8125</v>
      </c>
      <c r="D948" s="9" t="s">
        <v>335</v>
      </c>
      <c r="E948" t="str">
        <f t="shared" si="18"/>
        <v>'520900a'</v>
      </c>
      <c r="F948" s="9" t="s">
        <v>335</v>
      </c>
      <c r="G948" s="4">
        <v>6</v>
      </c>
      <c r="L948" s="58" t="s">
        <v>1564</v>
      </c>
    </row>
    <row r="949" spans="1:12">
      <c r="A949">
        <v>44</v>
      </c>
      <c r="B949" s="9" t="s">
        <v>335</v>
      </c>
      <c r="C949" s="50">
        <v>40556.536805555559</v>
      </c>
      <c r="D949" s="9" t="s">
        <v>335</v>
      </c>
      <c r="E949" t="str">
        <f t="shared" si="18"/>
        <v>'32a344f'</v>
      </c>
      <c r="F949" s="9" t="s">
        <v>335</v>
      </c>
      <c r="G949" s="4">
        <v>7</v>
      </c>
      <c r="L949" s="58" t="s">
        <v>499</v>
      </c>
    </row>
    <row r="950" spans="1:12">
      <c r="A950">
        <v>44</v>
      </c>
      <c r="B950" s="9" t="s">
        <v>335</v>
      </c>
      <c r="C950" s="50">
        <v>40556.644444444442</v>
      </c>
      <c r="D950" s="9" t="s">
        <v>335</v>
      </c>
      <c r="E950" t="str">
        <f t="shared" si="18"/>
        <v>'fbb5453'</v>
      </c>
      <c r="F950" s="9" t="s">
        <v>335</v>
      </c>
      <c r="G950" s="4">
        <v>8</v>
      </c>
      <c r="L950" s="58" t="s">
        <v>684</v>
      </c>
    </row>
    <row r="951" spans="1:12">
      <c r="A951">
        <v>44</v>
      </c>
      <c r="B951" s="9" t="s">
        <v>335</v>
      </c>
      <c r="C951" s="50">
        <v>40584.005555555559</v>
      </c>
      <c r="D951" s="9" t="s">
        <v>335</v>
      </c>
      <c r="E951" t="str">
        <f t="shared" si="18"/>
        <v>'028e7a8'</v>
      </c>
      <c r="F951" s="9" t="s">
        <v>335</v>
      </c>
      <c r="G951" s="4">
        <v>9</v>
      </c>
      <c r="L951" s="58" t="s">
        <v>565</v>
      </c>
    </row>
    <row r="952" spans="1:12">
      <c r="A952">
        <v>44</v>
      </c>
      <c r="B952" s="9" t="s">
        <v>335</v>
      </c>
      <c r="C952" s="50">
        <v>40585.927777777775</v>
      </c>
      <c r="D952" s="9" t="s">
        <v>335</v>
      </c>
      <c r="E952" t="str">
        <f t="shared" si="18"/>
        <v>'6e8e2d5'</v>
      </c>
      <c r="F952" s="9" t="s">
        <v>335</v>
      </c>
      <c r="G952" s="4">
        <v>10</v>
      </c>
      <c r="L952" s="58" t="s">
        <v>1488</v>
      </c>
    </row>
    <row r="953" spans="1:12">
      <c r="A953">
        <v>44</v>
      </c>
      <c r="B953" s="9" t="s">
        <v>335</v>
      </c>
      <c r="C953" s="50">
        <v>40585.935416666667</v>
      </c>
      <c r="D953" s="9" t="s">
        <v>335</v>
      </c>
      <c r="E953" t="str">
        <f t="shared" si="18"/>
        <v>'f757e5e'</v>
      </c>
      <c r="F953" s="9" t="s">
        <v>335</v>
      </c>
      <c r="G953" s="4">
        <v>11</v>
      </c>
      <c r="L953" s="58" t="s">
        <v>1543</v>
      </c>
    </row>
    <row r="954" spans="1:12">
      <c r="A954">
        <v>44</v>
      </c>
      <c r="B954" s="9" t="s">
        <v>335</v>
      </c>
      <c r="C954" s="50">
        <v>40584.025000000001</v>
      </c>
      <c r="D954" s="9" t="s">
        <v>335</v>
      </c>
      <c r="E954" t="str">
        <f t="shared" si="18"/>
        <v>'b7a6c5d'</v>
      </c>
      <c r="F954" s="9" t="s">
        <v>335</v>
      </c>
      <c r="G954" s="4">
        <v>12</v>
      </c>
      <c r="L954" s="58" t="s">
        <v>632</v>
      </c>
    </row>
    <row r="955" spans="1:12">
      <c r="A955">
        <v>44</v>
      </c>
      <c r="B955" s="9" t="s">
        <v>335</v>
      </c>
      <c r="C955" s="50">
        <v>40609.036805555559</v>
      </c>
      <c r="D955" s="9" t="s">
        <v>335</v>
      </c>
      <c r="E955" t="str">
        <f t="shared" si="18"/>
        <v>'8045c5e'</v>
      </c>
      <c r="F955" s="9" t="s">
        <v>335</v>
      </c>
      <c r="G955" s="4">
        <v>13</v>
      </c>
      <c r="L955" s="58" t="s">
        <v>926</v>
      </c>
    </row>
    <row r="956" spans="1:12">
      <c r="A956">
        <v>44</v>
      </c>
      <c r="B956" s="9" t="s">
        <v>335</v>
      </c>
      <c r="C956" s="50">
        <v>40612.936805555553</v>
      </c>
      <c r="D956" s="9" t="s">
        <v>335</v>
      </c>
      <c r="E956" t="str">
        <f t="shared" si="18"/>
        <v>'ea99014'</v>
      </c>
      <c r="F956" s="9" t="s">
        <v>335</v>
      </c>
      <c r="G956" s="4">
        <v>14</v>
      </c>
      <c r="L956" s="58" t="s">
        <v>451</v>
      </c>
    </row>
    <row r="957" spans="1:12">
      <c r="A957">
        <v>44</v>
      </c>
      <c r="B957" s="9" t="s">
        <v>335</v>
      </c>
      <c r="C957" s="50">
        <v>40613.493055555555</v>
      </c>
      <c r="D957" s="9" t="s">
        <v>335</v>
      </c>
      <c r="E957" t="str">
        <f t="shared" si="18"/>
        <v>'cf87c8f'</v>
      </c>
      <c r="F957" s="9" t="s">
        <v>335</v>
      </c>
      <c r="G957" s="4">
        <v>15</v>
      </c>
      <c r="L957" s="58" t="s">
        <v>568</v>
      </c>
    </row>
    <row r="958" spans="1:12">
      <c r="A958">
        <v>44</v>
      </c>
      <c r="B958" s="9" t="s">
        <v>335</v>
      </c>
      <c r="C958" s="50">
        <v>40615.871527777781</v>
      </c>
      <c r="D958" s="9" t="s">
        <v>335</v>
      </c>
      <c r="E958" t="str">
        <f t="shared" si="18"/>
        <v>'a92526b'</v>
      </c>
      <c r="F958" s="9" t="s">
        <v>335</v>
      </c>
      <c r="G958" s="4">
        <v>16</v>
      </c>
      <c r="L958" s="58" t="s">
        <v>916</v>
      </c>
    </row>
    <row r="959" spans="1:12">
      <c r="A959">
        <v>44</v>
      </c>
      <c r="B959" s="9" t="s">
        <v>335</v>
      </c>
      <c r="C959" s="50">
        <v>40616.585416666669</v>
      </c>
      <c r="D959" s="9" t="s">
        <v>335</v>
      </c>
      <c r="E959" t="str">
        <f t="shared" si="18"/>
        <v>'7d46b22'</v>
      </c>
      <c r="F959" s="9" t="s">
        <v>335</v>
      </c>
      <c r="G959" s="4">
        <v>17</v>
      </c>
      <c r="L959" s="58" t="s">
        <v>642</v>
      </c>
    </row>
    <row r="960" spans="1:12">
      <c r="A960">
        <v>44</v>
      </c>
      <c r="B960" s="9" t="s">
        <v>335</v>
      </c>
      <c r="C960" s="50">
        <v>40616.810416666667</v>
      </c>
      <c r="D960" s="9" t="s">
        <v>335</v>
      </c>
      <c r="E960" t="str">
        <f t="shared" si="18"/>
        <v>'18eb948'</v>
      </c>
      <c r="F960" s="9" t="s">
        <v>335</v>
      </c>
      <c r="G960" s="4">
        <v>18</v>
      </c>
      <c r="L960" s="58" t="s">
        <v>798</v>
      </c>
    </row>
    <row r="961" spans="1:12">
      <c r="A961">
        <v>44</v>
      </c>
      <c r="B961" s="9" t="s">
        <v>335</v>
      </c>
      <c r="C961" s="50">
        <v>40619.935416666667</v>
      </c>
      <c r="D961" s="9" t="s">
        <v>335</v>
      </c>
      <c r="E961" t="str">
        <f t="shared" si="18"/>
        <v>'951580f'</v>
      </c>
      <c r="F961" s="9" t="s">
        <v>335</v>
      </c>
      <c r="G961" s="4">
        <v>19</v>
      </c>
      <c r="L961" s="58" t="s">
        <v>1255</v>
      </c>
    </row>
    <row r="962" spans="1:12">
      <c r="A962">
        <v>44</v>
      </c>
      <c r="B962" s="9" t="s">
        <v>335</v>
      </c>
      <c r="C962" s="50">
        <v>40619.957638888889</v>
      </c>
      <c r="D962" s="9" t="s">
        <v>335</v>
      </c>
      <c r="E962" t="str">
        <f t="shared" si="18"/>
        <v>'283cb18'</v>
      </c>
      <c r="F962" s="9" t="s">
        <v>335</v>
      </c>
      <c r="G962" s="4">
        <v>20</v>
      </c>
      <c r="L962" s="58" t="s">
        <v>369</v>
      </c>
    </row>
    <row r="963" spans="1:12">
      <c r="A963">
        <v>44</v>
      </c>
      <c r="B963" s="9" t="s">
        <v>335</v>
      </c>
      <c r="C963" s="50">
        <v>40633.951388888891</v>
      </c>
      <c r="D963" s="9" t="s">
        <v>335</v>
      </c>
      <c r="E963" t="str">
        <f t="shared" si="18"/>
        <v>'bafc4f6'</v>
      </c>
      <c r="F963" s="9" t="s">
        <v>335</v>
      </c>
      <c r="G963" s="4">
        <v>21</v>
      </c>
      <c r="L963" s="58" t="s">
        <v>712</v>
      </c>
    </row>
    <row r="964" spans="1:12">
      <c r="A964">
        <v>44</v>
      </c>
      <c r="B964" s="9" t="s">
        <v>335</v>
      </c>
      <c r="C964" s="50">
        <v>40651.90902777778</v>
      </c>
      <c r="D964" s="9" t="s">
        <v>335</v>
      </c>
      <c r="E964" t="str">
        <f t="shared" si="18"/>
        <v>'ebcc791'</v>
      </c>
      <c r="F964" s="9" t="s">
        <v>335</v>
      </c>
      <c r="G964" s="4">
        <v>22</v>
      </c>
      <c r="L964" s="58" t="s">
        <v>596</v>
      </c>
    </row>
    <row r="965" spans="1:12">
      <c r="A965">
        <v>44</v>
      </c>
      <c r="B965" s="9" t="s">
        <v>335</v>
      </c>
      <c r="C965" s="50">
        <v>40661.941666666666</v>
      </c>
      <c r="D965" s="9" t="s">
        <v>335</v>
      </c>
      <c r="E965" t="str">
        <f t="shared" si="18"/>
        <v>'c465b6e'</v>
      </c>
      <c r="F965" s="9" t="s">
        <v>335</v>
      </c>
      <c r="G965" s="4">
        <v>23</v>
      </c>
      <c r="L965" s="58" t="s">
        <v>653</v>
      </c>
    </row>
    <row r="966" spans="1:12">
      <c r="A966">
        <v>44</v>
      </c>
      <c r="B966" s="9" t="s">
        <v>335</v>
      </c>
      <c r="C966" s="50">
        <v>40662.050000000003</v>
      </c>
      <c r="D966" s="9" t="s">
        <v>335</v>
      </c>
      <c r="E966" t="str">
        <f t="shared" si="18"/>
        <v>'92606d7'</v>
      </c>
      <c r="F966" s="9" t="s">
        <v>335</v>
      </c>
      <c r="G966" s="4">
        <v>24</v>
      </c>
      <c r="L966" s="58" t="s">
        <v>972</v>
      </c>
    </row>
    <row r="967" spans="1:12">
      <c r="A967">
        <v>44</v>
      </c>
      <c r="B967" s="9" t="s">
        <v>335</v>
      </c>
      <c r="C967" s="50">
        <v>40662.427083333336</v>
      </c>
      <c r="D967" s="9" t="s">
        <v>335</v>
      </c>
      <c r="E967" t="str">
        <f t="shared" si="18"/>
        <v>'c267d49'</v>
      </c>
      <c r="F967" s="9" t="s">
        <v>335</v>
      </c>
      <c r="G967" s="4">
        <v>25</v>
      </c>
      <c r="L967" s="58" t="s">
        <v>1150</v>
      </c>
    </row>
    <row r="968" spans="1:12">
      <c r="A968">
        <v>44</v>
      </c>
      <c r="B968" s="9" t="s">
        <v>335</v>
      </c>
      <c r="C968" s="50">
        <v>40666.329861111109</v>
      </c>
      <c r="D968" s="9" t="s">
        <v>335</v>
      </c>
      <c r="E968" t="str">
        <f t="shared" si="18"/>
        <v>'b2e09c5'</v>
      </c>
      <c r="F968" s="9" t="s">
        <v>335</v>
      </c>
      <c r="G968" s="4">
        <v>26</v>
      </c>
      <c r="L968" s="58" t="s">
        <v>1357</v>
      </c>
    </row>
    <row r="969" spans="1:12">
      <c r="A969">
        <v>44</v>
      </c>
      <c r="B969" s="9" t="s">
        <v>335</v>
      </c>
      <c r="C969" s="50">
        <v>40666.334027777775</v>
      </c>
      <c r="D969" s="9" t="s">
        <v>335</v>
      </c>
      <c r="E969" t="str">
        <f t="shared" si="18"/>
        <v>'69cdef2'</v>
      </c>
      <c r="F969" s="9" t="s">
        <v>335</v>
      </c>
      <c r="G969" s="4">
        <v>27</v>
      </c>
      <c r="L969" s="58" t="s">
        <v>1451</v>
      </c>
    </row>
    <row r="970" spans="1:12">
      <c r="A970">
        <v>44</v>
      </c>
      <c r="B970" s="9" t="s">
        <v>335</v>
      </c>
      <c r="C970" s="50">
        <v>40675.044444444444</v>
      </c>
      <c r="D970" s="9" t="s">
        <v>335</v>
      </c>
      <c r="E970" t="str">
        <f t="shared" si="18"/>
        <v>'68f4bd5'</v>
      </c>
      <c r="F970" s="9" t="s">
        <v>335</v>
      </c>
      <c r="G970" s="4">
        <v>28</v>
      </c>
      <c r="L970" s="58" t="s">
        <v>1173</v>
      </c>
    </row>
    <row r="971" spans="1:12">
      <c r="A971">
        <v>44</v>
      </c>
      <c r="B971" s="9" t="s">
        <v>335</v>
      </c>
      <c r="C971" s="50">
        <v>40687.451388888891</v>
      </c>
      <c r="D971" s="9" t="s">
        <v>335</v>
      </c>
      <c r="E971" t="str">
        <f t="shared" si="18"/>
        <v>'cd48b4e'</v>
      </c>
      <c r="F971" s="9" t="s">
        <v>335</v>
      </c>
      <c r="G971" s="4">
        <v>29</v>
      </c>
      <c r="L971" s="58" t="s">
        <v>1229</v>
      </c>
    </row>
    <row r="972" spans="1:12">
      <c r="A972">
        <v>44</v>
      </c>
      <c r="B972" s="9" t="s">
        <v>335</v>
      </c>
      <c r="C972" s="50">
        <v>40694.240277777775</v>
      </c>
      <c r="D972" s="9" t="s">
        <v>335</v>
      </c>
      <c r="E972" t="str">
        <f t="shared" si="18"/>
        <v>'6204016'</v>
      </c>
      <c r="F972" s="9" t="s">
        <v>335</v>
      </c>
      <c r="G972" s="4">
        <v>30</v>
      </c>
      <c r="L972" s="58" t="s">
        <v>1939</v>
      </c>
    </row>
    <row r="973" spans="1:12">
      <c r="A973">
        <v>44</v>
      </c>
      <c r="B973" s="9" t="s">
        <v>335</v>
      </c>
      <c r="C973" s="50">
        <v>40694.631944444445</v>
      </c>
      <c r="D973" s="9" t="s">
        <v>335</v>
      </c>
      <c r="E973" t="str">
        <f t="shared" si="18"/>
        <v>'ed51d4d'</v>
      </c>
      <c r="F973" s="9" t="s">
        <v>335</v>
      </c>
      <c r="G973" s="4">
        <v>31</v>
      </c>
      <c r="L973" s="58" t="s">
        <v>1355</v>
      </c>
    </row>
    <row r="974" spans="1:12">
      <c r="A974">
        <v>44</v>
      </c>
      <c r="B974" s="9" t="s">
        <v>335</v>
      </c>
      <c r="C974" s="50">
        <v>40694.673611111109</v>
      </c>
      <c r="D974" s="9" t="s">
        <v>335</v>
      </c>
      <c r="E974" t="str">
        <f t="shared" si="18"/>
        <v>'b1926cf'</v>
      </c>
      <c r="F974" s="9" t="s">
        <v>335</v>
      </c>
      <c r="G974" s="4">
        <v>32</v>
      </c>
      <c r="L974" s="58" t="s">
        <v>384</v>
      </c>
    </row>
    <row r="975" spans="1:12">
      <c r="A975">
        <v>44</v>
      </c>
      <c r="B975" s="9" t="s">
        <v>335</v>
      </c>
      <c r="C975" s="50">
        <v>40700.009722222225</v>
      </c>
      <c r="D975" s="9" t="s">
        <v>335</v>
      </c>
      <c r="E975" t="str">
        <f t="shared" si="18"/>
        <v>'d9e6602'</v>
      </c>
      <c r="F975" s="9" t="s">
        <v>335</v>
      </c>
      <c r="G975" s="4">
        <v>33</v>
      </c>
      <c r="L975" s="58" t="s">
        <v>966</v>
      </c>
    </row>
    <row r="976" spans="1:12">
      <c r="A976">
        <v>44</v>
      </c>
      <c r="B976" s="9" t="s">
        <v>335</v>
      </c>
      <c r="C976" s="50">
        <v>40700.931944444441</v>
      </c>
      <c r="D976" s="9" t="s">
        <v>335</v>
      </c>
      <c r="E976" t="str">
        <f t="shared" si="18"/>
        <v>'5ea48db'</v>
      </c>
      <c r="F976" s="9" t="s">
        <v>335</v>
      </c>
      <c r="G976" s="4">
        <v>34</v>
      </c>
      <c r="L976" s="58" t="s">
        <v>395</v>
      </c>
    </row>
    <row r="977" spans="1:12">
      <c r="A977">
        <v>44</v>
      </c>
      <c r="B977" s="9" t="s">
        <v>335</v>
      </c>
      <c r="C977" s="50">
        <v>40702.461805555555</v>
      </c>
      <c r="D977" s="9" t="s">
        <v>335</v>
      </c>
      <c r="E977" t="str">
        <f t="shared" si="18"/>
        <v>'0aca5e5'</v>
      </c>
      <c r="F977" s="9" t="s">
        <v>335</v>
      </c>
      <c r="G977" s="4">
        <v>35</v>
      </c>
      <c r="L977" s="58" t="s">
        <v>1412</v>
      </c>
    </row>
    <row r="978" spans="1:12">
      <c r="A978">
        <v>44</v>
      </c>
      <c r="B978" s="9" t="s">
        <v>335</v>
      </c>
      <c r="C978" s="50">
        <v>40707.242361111108</v>
      </c>
      <c r="D978" s="9" t="s">
        <v>335</v>
      </c>
      <c r="E978" t="str">
        <f t="shared" si="18"/>
        <v>'8007d83'</v>
      </c>
      <c r="F978" s="9" t="s">
        <v>335</v>
      </c>
      <c r="G978" s="4">
        <v>36</v>
      </c>
      <c r="L978" s="58" t="s">
        <v>645</v>
      </c>
    </row>
    <row r="979" spans="1:12">
      <c r="A979">
        <v>44</v>
      </c>
      <c r="B979" s="9" t="s">
        <v>335</v>
      </c>
      <c r="C979" s="50">
        <v>40708.0625</v>
      </c>
      <c r="D979" s="9" t="s">
        <v>335</v>
      </c>
      <c r="E979" t="str">
        <f t="shared" si="18"/>
        <v>'3059872'</v>
      </c>
      <c r="F979" s="9" t="s">
        <v>335</v>
      </c>
      <c r="G979" s="4">
        <v>37</v>
      </c>
      <c r="L979" s="58" t="s">
        <v>1914</v>
      </c>
    </row>
    <row r="980" spans="1:12">
      <c r="A980">
        <v>44</v>
      </c>
      <c r="B980" s="9" t="s">
        <v>335</v>
      </c>
      <c r="C980" s="50">
        <v>40708.52847222222</v>
      </c>
      <c r="D980" s="9" t="s">
        <v>335</v>
      </c>
      <c r="E980" t="str">
        <f t="shared" si="18"/>
        <v>'3ac5a04'</v>
      </c>
      <c r="F980" s="9" t="s">
        <v>335</v>
      </c>
      <c r="G980" s="4">
        <v>38</v>
      </c>
      <c r="L980" s="58" t="s">
        <v>1032</v>
      </c>
    </row>
    <row r="981" spans="1:12">
      <c r="A981">
        <v>44</v>
      </c>
      <c r="B981" s="9" t="s">
        <v>335</v>
      </c>
      <c r="C981" s="50">
        <v>40710.668749999997</v>
      </c>
      <c r="D981" s="9" t="s">
        <v>335</v>
      </c>
      <c r="E981" t="str">
        <f t="shared" si="18"/>
        <v>'bfddacf'</v>
      </c>
      <c r="F981" s="9" t="s">
        <v>335</v>
      </c>
      <c r="G981" s="4">
        <v>39</v>
      </c>
      <c r="L981" s="58" t="s">
        <v>1079</v>
      </c>
    </row>
    <row r="982" spans="1:12">
      <c r="A982">
        <v>44</v>
      </c>
      <c r="B982" s="9" t="s">
        <v>335</v>
      </c>
      <c r="C982" s="50">
        <v>40715.60833333333</v>
      </c>
      <c r="D982" s="9" t="s">
        <v>335</v>
      </c>
      <c r="E982" t="str">
        <f t="shared" si="18"/>
        <v>'816e080'</v>
      </c>
      <c r="F982" s="9" t="s">
        <v>335</v>
      </c>
      <c r="G982" s="4">
        <v>40</v>
      </c>
      <c r="L982" s="58" t="s">
        <v>1573</v>
      </c>
    </row>
    <row r="983" spans="1:12">
      <c r="A983">
        <v>44</v>
      </c>
      <c r="B983" s="9" t="s">
        <v>335</v>
      </c>
      <c r="C983" s="50">
        <v>40716.568055555559</v>
      </c>
      <c r="D983" s="9" t="s">
        <v>335</v>
      </c>
      <c r="E983" t="str">
        <f t="shared" si="18"/>
        <v>'2b8930c'</v>
      </c>
      <c r="F983" s="9" t="s">
        <v>335</v>
      </c>
      <c r="G983" s="4">
        <v>41</v>
      </c>
      <c r="L983" s="58" t="s">
        <v>939</v>
      </c>
    </row>
    <row r="984" spans="1:12">
      <c r="A984">
        <v>45</v>
      </c>
      <c r="B984" s="9" t="s">
        <v>335</v>
      </c>
      <c r="C984" s="50">
        <v>40615.912499999999</v>
      </c>
      <c r="D984" s="9" t="s">
        <v>335</v>
      </c>
      <c r="E984" t="str">
        <f t="shared" si="18"/>
        <v>'51beb72'</v>
      </c>
      <c r="F984" s="9" t="s">
        <v>335</v>
      </c>
      <c r="G984" s="4">
        <v>1</v>
      </c>
      <c r="L984" s="58" t="s">
        <v>917</v>
      </c>
    </row>
    <row r="985" spans="1:12">
      <c r="A985">
        <v>45</v>
      </c>
      <c r="B985" s="9" t="s">
        <v>335</v>
      </c>
      <c r="C985" s="50">
        <v>40687.69027777778</v>
      </c>
      <c r="D985" s="9" t="s">
        <v>335</v>
      </c>
      <c r="E985" t="str">
        <f t="shared" si="18"/>
        <v>'e7dc6f1'</v>
      </c>
      <c r="F985" s="9" t="s">
        <v>335</v>
      </c>
      <c r="G985" s="4">
        <v>2</v>
      </c>
      <c r="L985" s="58" t="s">
        <v>1270</v>
      </c>
    </row>
    <row r="986" spans="1:12">
      <c r="A986">
        <v>45</v>
      </c>
      <c r="B986" s="9" t="s">
        <v>335</v>
      </c>
      <c r="C986" s="50">
        <v>40723.67083333333</v>
      </c>
      <c r="D986" s="9" t="s">
        <v>335</v>
      </c>
      <c r="E986" t="str">
        <f t="shared" ref="E986:E1049" si="19">CONCATENATE("'",L986,"'")</f>
        <v>'d546378'</v>
      </c>
      <c r="F986" s="9" t="s">
        <v>335</v>
      </c>
      <c r="G986" s="4">
        <v>3</v>
      </c>
      <c r="L986" s="58" t="s">
        <v>999</v>
      </c>
    </row>
    <row r="987" spans="1:12">
      <c r="A987">
        <v>46</v>
      </c>
      <c r="B987" s="9" t="s">
        <v>335</v>
      </c>
      <c r="C987" s="50">
        <v>40574.874305555553</v>
      </c>
      <c r="D987" s="9" t="s">
        <v>335</v>
      </c>
      <c r="E987" t="str">
        <f t="shared" si="19"/>
        <v>'31b9a2f'</v>
      </c>
      <c r="F987" s="9" t="s">
        <v>335</v>
      </c>
      <c r="G987" s="4">
        <v>1</v>
      </c>
      <c r="L987" s="58" t="s">
        <v>1339</v>
      </c>
    </row>
    <row r="988" spans="1:12">
      <c r="A988">
        <v>47</v>
      </c>
      <c r="B988" s="9" t="s">
        <v>335</v>
      </c>
      <c r="C988" s="50">
        <v>40651.940972222219</v>
      </c>
      <c r="D988" s="9" t="s">
        <v>335</v>
      </c>
      <c r="E988" t="str">
        <f t="shared" si="19"/>
        <v>'d1f862d'</v>
      </c>
      <c r="F988" s="9" t="s">
        <v>335</v>
      </c>
      <c r="G988" s="4">
        <v>1</v>
      </c>
      <c r="L988" s="58" t="s">
        <v>1129</v>
      </c>
    </row>
    <row r="989" spans="1:12">
      <c r="A989">
        <v>48</v>
      </c>
      <c r="B989" s="9" t="s">
        <v>335</v>
      </c>
      <c r="C989" s="50">
        <v>40582.405555555553</v>
      </c>
      <c r="D989" s="9" t="s">
        <v>335</v>
      </c>
      <c r="E989" t="str">
        <f t="shared" si="19"/>
        <v>'6938d80'</v>
      </c>
      <c r="F989" s="9" t="s">
        <v>335</v>
      </c>
      <c r="G989" s="4">
        <v>1</v>
      </c>
      <c r="L989" s="58" t="s">
        <v>1010</v>
      </c>
    </row>
    <row r="990" spans="1:12">
      <c r="A990">
        <v>48</v>
      </c>
      <c r="B990" s="9" t="s">
        <v>335</v>
      </c>
      <c r="C990" s="50">
        <v>40596.899305555555</v>
      </c>
      <c r="D990" s="9" t="s">
        <v>335</v>
      </c>
      <c r="E990" t="str">
        <f t="shared" si="19"/>
        <v>'0be28b9'</v>
      </c>
      <c r="F990" s="9" t="s">
        <v>335</v>
      </c>
      <c r="G990" s="4">
        <v>2</v>
      </c>
      <c r="L990" s="58" t="s">
        <v>417</v>
      </c>
    </row>
    <row r="991" spans="1:12">
      <c r="A991">
        <v>48</v>
      </c>
      <c r="B991" s="9" t="s">
        <v>335</v>
      </c>
      <c r="C991" s="50">
        <v>40624.417361111111</v>
      </c>
      <c r="D991" s="9" t="s">
        <v>335</v>
      </c>
      <c r="E991" t="str">
        <f t="shared" si="19"/>
        <v>'33b796d'</v>
      </c>
      <c r="F991" s="9" t="s">
        <v>335</v>
      </c>
      <c r="G991" s="4">
        <v>3</v>
      </c>
      <c r="L991" s="58" t="s">
        <v>517</v>
      </c>
    </row>
    <row r="992" spans="1:12">
      <c r="A992">
        <v>48</v>
      </c>
      <c r="B992" s="9" t="s">
        <v>335</v>
      </c>
      <c r="C992" s="50">
        <v>40658.96875</v>
      </c>
      <c r="D992" s="9" t="s">
        <v>335</v>
      </c>
      <c r="E992" t="str">
        <f t="shared" si="19"/>
        <v>'95b9ff4'</v>
      </c>
      <c r="F992" s="9" t="s">
        <v>335</v>
      </c>
      <c r="G992" s="4">
        <v>4</v>
      </c>
      <c r="L992" s="58" t="s">
        <v>1473</v>
      </c>
    </row>
    <row r="993" spans="1:12">
      <c r="A993">
        <v>48</v>
      </c>
      <c r="B993" s="9" t="s">
        <v>335</v>
      </c>
      <c r="C993" s="50">
        <v>40659.015277777777</v>
      </c>
      <c r="D993" s="9" t="s">
        <v>335</v>
      </c>
      <c r="E993" t="str">
        <f t="shared" si="19"/>
        <v>'8b09a58'</v>
      </c>
      <c r="F993" s="9" t="s">
        <v>335</v>
      </c>
      <c r="G993" s="4">
        <v>5</v>
      </c>
      <c r="L993" s="58" t="s">
        <v>673</v>
      </c>
    </row>
    <row r="994" spans="1:12">
      <c r="A994">
        <v>48</v>
      </c>
      <c r="B994" s="9" t="s">
        <v>335</v>
      </c>
      <c r="C994" s="50">
        <v>40713.963888888888</v>
      </c>
      <c r="D994" s="9" t="s">
        <v>335</v>
      </c>
      <c r="E994" t="str">
        <f t="shared" si="19"/>
        <v>'63dbe8a'</v>
      </c>
      <c r="F994" s="9" t="s">
        <v>335</v>
      </c>
      <c r="G994" s="4">
        <v>6</v>
      </c>
      <c r="L994" s="58" t="s">
        <v>1316</v>
      </c>
    </row>
    <row r="995" spans="1:12">
      <c r="A995">
        <v>49</v>
      </c>
      <c r="B995" s="9" t="s">
        <v>335</v>
      </c>
      <c r="C995" s="50">
        <v>40554.584027777775</v>
      </c>
      <c r="D995" s="9" t="s">
        <v>335</v>
      </c>
      <c r="E995" t="str">
        <f t="shared" si="19"/>
        <v>'c490e88'</v>
      </c>
      <c r="F995" s="9" t="s">
        <v>335</v>
      </c>
      <c r="G995" s="4">
        <v>1</v>
      </c>
      <c r="L995" s="58" t="s">
        <v>1336</v>
      </c>
    </row>
    <row r="996" spans="1:12">
      <c r="A996">
        <v>49</v>
      </c>
      <c r="B996" s="9" t="s">
        <v>335</v>
      </c>
      <c r="C996" s="50">
        <v>40554.584722222222</v>
      </c>
      <c r="D996" s="9" t="s">
        <v>335</v>
      </c>
      <c r="E996" t="str">
        <f t="shared" si="19"/>
        <v>'de92093'</v>
      </c>
      <c r="F996" s="9" t="s">
        <v>335</v>
      </c>
      <c r="G996" s="4">
        <v>2</v>
      </c>
      <c r="L996" s="58" t="s">
        <v>1204</v>
      </c>
    </row>
    <row r="997" spans="1:12">
      <c r="A997">
        <v>49</v>
      </c>
      <c r="B997" s="9" t="s">
        <v>335</v>
      </c>
      <c r="C997" s="50">
        <v>40661.752083333333</v>
      </c>
      <c r="D997" s="9" t="s">
        <v>335</v>
      </c>
      <c r="E997" t="str">
        <f t="shared" si="19"/>
        <v>'539ea13'</v>
      </c>
      <c r="F997" s="9" t="s">
        <v>335</v>
      </c>
      <c r="G997" s="4">
        <v>3</v>
      </c>
      <c r="L997" s="58" t="s">
        <v>1055</v>
      </c>
    </row>
    <row r="998" spans="1:12">
      <c r="A998">
        <v>49</v>
      </c>
      <c r="B998" s="9" t="s">
        <v>335</v>
      </c>
      <c r="C998" s="50">
        <v>40661.754861111112</v>
      </c>
      <c r="D998" s="9" t="s">
        <v>335</v>
      </c>
      <c r="E998" t="str">
        <f t="shared" si="19"/>
        <v>'d0eef1f'</v>
      </c>
      <c r="F998" s="9" t="s">
        <v>335</v>
      </c>
      <c r="G998" s="4">
        <v>4</v>
      </c>
      <c r="L998" s="58" t="s">
        <v>975</v>
      </c>
    </row>
    <row r="999" spans="1:12">
      <c r="A999">
        <v>50</v>
      </c>
      <c r="B999" s="9" t="s">
        <v>335</v>
      </c>
      <c r="C999" s="50">
        <v>40544.072222222225</v>
      </c>
      <c r="D999" s="9" t="s">
        <v>335</v>
      </c>
      <c r="E999" t="str">
        <f t="shared" si="19"/>
        <v>'3f72e02'</v>
      </c>
      <c r="F999" s="9" t="s">
        <v>335</v>
      </c>
      <c r="G999" s="4">
        <v>1</v>
      </c>
      <c r="L999" s="58" t="s">
        <v>1458</v>
      </c>
    </row>
    <row r="1000" spans="1:12">
      <c r="A1000">
        <v>50</v>
      </c>
      <c r="B1000" s="9" t="s">
        <v>335</v>
      </c>
      <c r="C1000" s="50">
        <v>40556.874305555553</v>
      </c>
      <c r="D1000" s="9" t="s">
        <v>335</v>
      </c>
      <c r="E1000" t="str">
        <f t="shared" si="19"/>
        <v>'92be052'</v>
      </c>
      <c r="F1000" s="9" t="s">
        <v>335</v>
      </c>
      <c r="G1000" s="4">
        <v>2</v>
      </c>
      <c r="L1000" s="58" t="s">
        <v>500</v>
      </c>
    </row>
    <row r="1001" spans="1:12">
      <c r="A1001">
        <v>50</v>
      </c>
      <c r="B1001" s="9" t="s">
        <v>335</v>
      </c>
      <c r="C1001" s="50">
        <v>40556.875</v>
      </c>
      <c r="D1001" s="9" t="s">
        <v>335</v>
      </c>
      <c r="E1001" t="str">
        <f t="shared" si="19"/>
        <v>'64b8e6e'</v>
      </c>
      <c r="F1001" s="9" t="s">
        <v>335</v>
      </c>
      <c r="G1001" s="4">
        <v>3</v>
      </c>
      <c r="L1001" s="58" t="s">
        <v>685</v>
      </c>
    </row>
    <row r="1002" spans="1:12">
      <c r="A1002">
        <v>50</v>
      </c>
      <c r="B1002" s="9" t="s">
        <v>335</v>
      </c>
      <c r="C1002" s="50">
        <v>40558.887499999997</v>
      </c>
      <c r="D1002" s="9" t="s">
        <v>335</v>
      </c>
      <c r="E1002" t="str">
        <f t="shared" si="19"/>
        <v>'46f2f02'</v>
      </c>
      <c r="F1002" s="9" t="s">
        <v>335</v>
      </c>
      <c r="G1002" s="4">
        <v>4</v>
      </c>
      <c r="L1002" s="58" t="s">
        <v>1466</v>
      </c>
    </row>
    <row r="1003" spans="1:12">
      <c r="A1003">
        <v>50</v>
      </c>
      <c r="B1003" s="9" t="s">
        <v>335</v>
      </c>
      <c r="C1003" s="50">
        <v>40575.479166666664</v>
      </c>
      <c r="D1003" s="9" t="s">
        <v>335</v>
      </c>
      <c r="E1003" t="str">
        <f t="shared" si="19"/>
        <v>'3dad960'</v>
      </c>
      <c r="F1003" s="9" t="s">
        <v>335</v>
      </c>
      <c r="G1003" s="4">
        <v>5</v>
      </c>
      <c r="L1003" s="58" t="s">
        <v>605</v>
      </c>
    </row>
    <row r="1004" spans="1:12">
      <c r="A1004">
        <v>50</v>
      </c>
      <c r="B1004" s="9" t="s">
        <v>335</v>
      </c>
      <c r="C1004" s="50">
        <v>40621.581250000003</v>
      </c>
      <c r="D1004" s="9" t="s">
        <v>335</v>
      </c>
      <c r="E1004" t="str">
        <f t="shared" si="19"/>
        <v>'df0b554'</v>
      </c>
      <c r="F1004" s="9" t="s">
        <v>335</v>
      </c>
      <c r="G1004" s="4">
        <v>6</v>
      </c>
      <c r="L1004" s="58" t="s">
        <v>635</v>
      </c>
    </row>
    <row r="1005" spans="1:12">
      <c r="A1005">
        <v>50</v>
      </c>
      <c r="B1005" s="9" t="s">
        <v>335</v>
      </c>
      <c r="C1005" s="50">
        <v>40623.579861111109</v>
      </c>
      <c r="D1005" s="9" t="s">
        <v>335</v>
      </c>
      <c r="E1005" t="str">
        <f t="shared" si="19"/>
        <v>'ea3452c'</v>
      </c>
      <c r="F1005" s="9" t="s">
        <v>335</v>
      </c>
      <c r="G1005" s="4">
        <v>7</v>
      </c>
      <c r="L1005" s="58" t="s">
        <v>1136</v>
      </c>
    </row>
    <row r="1006" spans="1:12">
      <c r="A1006">
        <v>50</v>
      </c>
      <c r="B1006" s="9" t="s">
        <v>335</v>
      </c>
      <c r="C1006" s="50">
        <v>40635.272222222222</v>
      </c>
      <c r="D1006" s="9" t="s">
        <v>335</v>
      </c>
      <c r="E1006" t="str">
        <f t="shared" si="19"/>
        <v>'995f402'</v>
      </c>
      <c r="F1006" s="9" t="s">
        <v>335</v>
      </c>
      <c r="G1006" s="4">
        <v>8</v>
      </c>
      <c r="L1006" s="58" t="s">
        <v>1109</v>
      </c>
    </row>
    <row r="1007" spans="1:12">
      <c r="A1007">
        <v>50</v>
      </c>
      <c r="B1007" s="9" t="s">
        <v>335</v>
      </c>
      <c r="C1007" s="50">
        <v>40635.343055555553</v>
      </c>
      <c r="D1007" s="9" t="s">
        <v>335</v>
      </c>
      <c r="E1007" t="str">
        <f t="shared" si="19"/>
        <v>'2b7ebb5'</v>
      </c>
      <c r="F1007" s="9" t="s">
        <v>335</v>
      </c>
      <c r="G1007" s="4">
        <v>9</v>
      </c>
      <c r="L1007" s="58" t="s">
        <v>434</v>
      </c>
    </row>
    <row r="1008" spans="1:12">
      <c r="A1008">
        <v>50</v>
      </c>
      <c r="B1008" s="9" t="s">
        <v>335</v>
      </c>
      <c r="C1008" s="50">
        <v>40636.227083333331</v>
      </c>
      <c r="D1008" s="9" t="s">
        <v>335</v>
      </c>
      <c r="E1008" t="str">
        <f t="shared" si="19"/>
        <v>'177a932'</v>
      </c>
      <c r="F1008" s="9" t="s">
        <v>335</v>
      </c>
      <c r="G1008" s="4">
        <v>10</v>
      </c>
      <c r="L1008" s="58" t="s">
        <v>1001</v>
      </c>
    </row>
    <row r="1009" spans="1:12">
      <c r="A1009">
        <v>50</v>
      </c>
      <c r="B1009" s="9" t="s">
        <v>335</v>
      </c>
      <c r="C1009" s="50">
        <v>40648.915972222225</v>
      </c>
      <c r="D1009" s="9" t="s">
        <v>335</v>
      </c>
      <c r="E1009" t="str">
        <f t="shared" si="19"/>
        <v>'b8152f4'</v>
      </c>
      <c r="F1009" s="9" t="s">
        <v>335</v>
      </c>
      <c r="G1009" s="4">
        <v>11</v>
      </c>
      <c r="L1009" s="58" t="s">
        <v>1133</v>
      </c>
    </row>
    <row r="1010" spans="1:12">
      <c r="A1010">
        <v>50</v>
      </c>
      <c r="B1010" s="9" t="s">
        <v>335</v>
      </c>
      <c r="C1010" s="50">
        <v>40653.322916666664</v>
      </c>
      <c r="D1010" s="9" t="s">
        <v>335</v>
      </c>
      <c r="E1010" t="str">
        <f t="shared" si="19"/>
        <v>'071c51a'</v>
      </c>
      <c r="F1010" s="9" t="s">
        <v>335</v>
      </c>
      <c r="G1010" s="4">
        <v>12</v>
      </c>
      <c r="L1010" s="58" t="s">
        <v>807</v>
      </c>
    </row>
    <row r="1011" spans="1:12">
      <c r="A1011">
        <v>50</v>
      </c>
      <c r="B1011" s="9" t="s">
        <v>335</v>
      </c>
      <c r="C1011" s="50">
        <v>40656.969444444447</v>
      </c>
      <c r="D1011" s="9" t="s">
        <v>335</v>
      </c>
      <c r="E1011" t="str">
        <f t="shared" si="19"/>
        <v>'7540d09'</v>
      </c>
      <c r="F1011" s="9" t="s">
        <v>335</v>
      </c>
      <c r="G1011" s="4">
        <v>13</v>
      </c>
      <c r="L1011" s="58" t="s">
        <v>854</v>
      </c>
    </row>
    <row r="1012" spans="1:12">
      <c r="A1012">
        <v>50</v>
      </c>
      <c r="B1012" s="9" t="s">
        <v>335</v>
      </c>
      <c r="C1012" s="50">
        <v>40668.247916666667</v>
      </c>
      <c r="D1012" s="9" t="s">
        <v>335</v>
      </c>
      <c r="E1012" t="str">
        <f t="shared" si="19"/>
        <v>'9fc9401'</v>
      </c>
      <c r="F1012" s="9" t="s">
        <v>335</v>
      </c>
      <c r="G1012" s="4">
        <v>14</v>
      </c>
      <c r="L1012" s="58" t="s">
        <v>1382</v>
      </c>
    </row>
    <row r="1013" spans="1:12">
      <c r="A1013">
        <v>50</v>
      </c>
      <c r="B1013" s="9" t="s">
        <v>335</v>
      </c>
      <c r="C1013" s="50">
        <v>40668.80972222222</v>
      </c>
      <c r="D1013" s="9" t="s">
        <v>335</v>
      </c>
      <c r="E1013" t="str">
        <f t="shared" si="19"/>
        <v>'505a0bb'</v>
      </c>
      <c r="F1013" s="9" t="s">
        <v>335</v>
      </c>
      <c r="G1013" s="4">
        <v>15</v>
      </c>
      <c r="L1013" s="58" t="s">
        <v>780</v>
      </c>
    </row>
    <row r="1014" spans="1:12">
      <c r="A1014">
        <v>50</v>
      </c>
      <c r="B1014" s="9" t="s">
        <v>335</v>
      </c>
      <c r="C1014" s="50">
        <v>40670.363194444442</v>
      </c>
      <c r="D1014" s="9" t="s">
        <v>335</v>
      </c>
      <c r="E1014" t="str">
        <f t="shared" si="19"/>
        <v>'7501670'</v>
      </c>
      <c r="F1014" s="9" t="s">
        <v>335</v>
      </c>
      <c r="G1014" s="4">
        <v>16</v>
      </c>
      <c r="L1014" s="58" t="s">
        <v>1936</v>
      </c>
    </row>
    <row r="1015" spans="1:12">
      <c r="A1015">
        <v>50</v>
      </c>
      <c r="B1015" s="9" t="s">
        <v>335</v>
      </c>
      <c r="C1015" s="50">
        <v>40694.224999999999</v>
      </c>
      <c r="D1015" s="9" t="s">
        <v>335</v>
      </c>
      <c r="E1015" t="str">
        <f t="shared" si="19"/>
        <v>'5aa7229'</v>
      </c>
      <c r="F1015" s="9" t="s">
        <v>335</v>
      </c>
      <c r="G1015" s="4">
        <v>17</v>
      </c>
      <c r="L1015" s="58" t="s">
        <v>1232</v>
      </c>
    </row>
    <row r="1016" spans="1:12">
      <c r="A1016">
        <v>50</v>
      </c>
      <c r="B1016" s="9" t="s">
        <v>335</v>
      </c>
      <c r="C1016" s="50">
        <v>40693.818749999999</v>
      </c>
      <c r="D1016" s="9" t="s">
        <v>335</v>
      </c>
      <c r="E1016" t="str">
        <f t="shared" si="19"/>
        <v>'a0fb3a8'</v>
      </c>
      <c r="F1016" s="9" t="s">
        <v>335</v>
      </c>
      <c r="G1016" s="4">
        <v>18</v>
      </c>
      <c r="L1016" s="58" t="s">
        <v>1037</v>
      </c>
    </row>
    <row r="1017" spans="1:12">
      <c r="A1017">
        <v>50</v>
      </c>
      <c r="B1017" s="9" t="s">
        <v>335</v>
      </c>
      <c r="C1017" s="50">
        <v>40698.131944444445</v>
      </c>
      <c r="D1017" s="9" t="s">
        <v>335</v>
      </c>
      <c r="E1017" t="str">
        <f t="shared" si="19"/>
        <v>'d24afe9'</v>
      </c>
      <c r="F1017" s="9" t="s">
        <v>335</v>
      </c>
      <c r="G1017" s="4">
        <v>19</v>
      </c>
      <c r="L1017" s="58" t="s">
        <v>1087</v>
      </c>
    </row>
    <row r="1018" spans="1:12">
      <c r="A1018">
        <v>50</v>
      </c>
      <c r="B1018" s="9" t="s">
        <v>335</v>
      </c>
      <c r="C1018" s="50">
        <v>40715.06527777778</v>
      </c>
      <c r="D1018" s="9" t="s">
        <v>335</v>
      </c>
      <c r="E1018" t="str">
        <f t="shared" si="19"/>
        <v>'855f0db'</v>
      </c>
      <c r="F1018" s="9" t="s">
        <v>335</v>
      </c>
      <c r="G1018" s="4">
        <v>20</v>
      </c>
      <c r="L1018" s="58" t="s">
        <v>382</v>
      </c>
    </row>
    <row r="1019" spans="1:12">
      <c r="A1019">
        <v>51</v>
      </c>
      <c r="B1019" s="9" t="s">
        <v>335</v>
      </c>
      <c r="C1019" s="50">
        <v>40676.418749999997</v>
      </c>
      <c r="D1019" s="9" t="s">
        <v>335</v>
      </c>
      <c r="E1019" t="str">
        <f t="shared" si="19"/>
        <v>'9610fe5'</v>
      </c>
      <c r="F1019" s="9" t="s">
        <v>335</v>
      </c>
      <c r="G1019" s="4">
        <v>1</v>
      </c>
      <c r="L1019" s="58" t="s">
        <v>1469</v>
      </c>
    </row>
    <row r="1020" spans="1:12">
      <c r="A1020">
        <v>51</v>
      </c>
      <c r="B1020" s="9" t="s">
        <v>335</v>
      </c>
      <c r="C1020" s="50">
        <v>40704.275000000001</v>
      </c>
      <c r="D1020" s="9" t="s">
        <v>335</v>
      </c>
      <c r="E1020" t="str">
        <f t="shared" si="19"/>
        <v>'8a2fc3b'</v>
      </c>
      <c r="F1020" s="9" t="s">
        <v>335</v>
      </c>
      <c r="G1020" s="4">
        <v>2</v>
      </c>
      <c r="L1020" s="58" t="s">
        <v>1031</v>
      </c>
    </row>
    <row r="1021" spans="1:12">
      <c r="A1021">
        <v>52</v>
      </c>
      <c r="B1021" s="9" t="s">
        <v>335</v>
      </c>
      <c r="C1021" s="50">
        <v>40573.97152777778</v>
      </c>
      <c r="D1021" s="9" t="s">
        <v>335</v>
      </c>
      <c r="E1021" t="str">
        <f t="shared" si="19"/>
        <v>'0ffa032'</v>
      </c>
      <c r="F1021" s="9" t="s">
        <v>335</v>
      </c>
      <c r="G1021" s="4">
        <v>1</v>
      </c>
      <c r="L1021" s="58" t="s">
        <v>695</v>
      </c>
    </row>
    <row r="1022" spans="1:12">
      <c r="A1022">
        <v>53</v>
      </c>
      <c r="B1022" s="9" t="s">
        <v>335</v>
      </c>
      <c r="C1022" s="50">
        <v>40632.723611111112</v>
      </c>
      <c r="D1022" s="9" t="s">
        <v>335</v>
      </c>
      <c r="E1022" t="str">
        <f t="shared" si="19"/>
        <v>'d8096f2'</v>
      </c>
      <c r="F1022" s="9" t="s">
        <v>335</v>
      </c>
      <c r="G1022" s="4">
        <v>1</v>
      </c>
      <c r="L1022" s="58" t="s">
        <v>1455</v>
      </c>
    </row>
    <row r="1023" spans="1:12">
      <c r="A1023">
        <v>54</v>
      </c>
      <c r="B1023" s="9" t="s">
        <v>335</v>
      </c>
      <c r="C1023" s="50">
        <v>40625.667361111111</v>
      </c>
      <c r="D1023" s="9" t="s">
        <v>335</v>
      </c>
      <c r="E1023" t="str">
        <f t="shared" si="19"/>
        <v>'049c0ea'</v>
      </c>
      <c r="F1023" s="9" t="s">
        <v>335</v>
      </c>
      <c r="G1023" s="4">
        <v>1</v>
      </c>
      <c r="L1023" s="58" t="s">
        <v>1239</v>
      </c>
    </row>
    <row r="1024" spans="1:12">
      <c r="A1024">
        <v>54</v>
      </c>
      <c r="B1024" s="9" t="s">
        <v>335</v>
      </c>
      <c r="C1024" s="50">
        <v>40632.505555555559</v>
      </c>
      <c r="D1024" s="9" t="s">
        <v>335</v>
      </c>
      <c r="E1024" t="str">
        <f t="shared" si="19"/>
        <v>'cd083bf'</v>
      </c>
      <c r="F1024" s="9" t="s">
        <v>335</v>
      </c>
      <c r="G1024" s="4">
        <v>2</v>
      </c>
      <c r="L1024" s="58" t="s">
        <v>1454</v>
      </c>
    </row>
    <row r="1025" spans="1:12">
      <c r="A1025">
        <v>54</v>
      </c>
      <c r="B1025" s="9" t="s">
        <v>335</v>
      </c>
      <c r="C1025" s="50">
        <v>40632.723611111112</v>
      </c>
      <c r="D1025" s="9" t="s">
        <v>335</v>
      </c>
      <c r="E1025" t="str">
        <f t="shared" si="19"/>
        <v>'afa9e5b'</v>
      </c>
      <c r="F1025" s="9" t="s">
        <v>335</v>
      </c>
      <c r="G1025" s="4">
        <v>3</v>
      </c>
      <c r="L1025" s="58" t="s">
        <v>1057</v>
      </c>
    </row>
    <row r="1026" spans="1:12">
      <c r="A1026">
        <v>54</v>
      </c>
      <c r="B1026" s="9" t="s">
        <v>335</v>
      </c>
      <c r="C1026" s="50">
        <v>40633.414583333331</v>
      </c>
      <c r="D1026" s="9" t="s">
        <v>335</v>
      </c>
      <c r="E1026" t="str">
        <f t="shared" si="19"/>
        <v>'9194d14'</v>
      </c>
      <c r="F1026" s="9" t="s">
        <v>335</v>
      </c>
      <c r="G1026" s="4">
        <v>4</v>
      </c>
      <c r="L1026" s="58" t="s">
        <v>677</v>
      </c>
    </row>
    <row r="1027" spans="1:12">
      <c r="A1027">
        <v>54</v>
      </c>
      <c r="B1027" s="9" t="s">
        <v>335</v>
      </c>
      <c r="C1027" s="50">
        <v>40633.690972222219</v>
      </c>
      <c r="D1027" s="9" t="s">
        <v>335</v>
      </c>
      <c r="E1027" t="str">
        <f t="shared" si="19"/>
        <v>'97f1d02'</v>
      </c>
      <c r="F1027" s="9" t="s">
        <v>335</v>
      </c>
      <c r="G1027" s="4">
        <v>5</v>
      </c>
      <c r="L1027" s="58" t="s">
        <v>1460</v>
      </c>
    </row>
    <row r="1028" spans="1:12">
      <c r="A1028">
        <v>54</v>
      </c>
      <c r="B1028" s="9" t="s">
        <v>335</v>
      </c>
      <c r="C1028" s="50">
        <v>40633.416666666664</v>
      </c>
      <c r="D1028" s="9" t="s">
        <v>335</v>
      </c>
      <c r="E1028" t="str">
        <f t="shared" si="19"/>
        <v>'782f7f7'</v>
      </c>
      <c r="F1028" s="9" t="s">
        <v>335</v>
      </c>
      <c r="G1028" s="4">
        <v>6</v>
      </c>
      <c r="L1028" s="58" t="s">
        <v>585</v>
      </c>
    </row>
    <row r="1029" spans="1:12">
      <c r="A1029">
        <v>54</v>
      </c>
      <c r="B1029" s="9" t="s">
        <v>335</v>
      </c>
      <c r="C1029" s="50">
        <v>40668.411111111112</v>
      </c>
      <c r="D1029" s="9" t="s">
        <v>335</v>
      </c>
      <c r="E1029" t="str">
        <f t="shared" si="19"/>
        <v>'f9ee867'</v>
      </c>
      <c r="F1029" s="9" t="s">
        <v>335</v>
      </c>
      <c r="G1029" s="4">
        <v>7</v>
      </c>
      <c r="L1029" s="58" t="s">
        <v>1367</v>
      </c>
    </row>
    <row r="1030" spans="1:12">
      <c r="A1030">
        <v>54</v>
      </c>
      <c r="B1030" s="9" t="s">
        <v>335</v>
      </c>
      <c r="C1030" s="50">
        <v>40701.719444444447</v>
      </c>
      <c r="D1030" s="9" t="s">
        <v>335</v>
      </c>
      <c r="E1030" t="str">
        <f t="shared" si="19"/>
        <v>'4f569c8'</v>
      </c>
      <c r="F1030" s="9" t="s">
        <v>335</v>
      </c>
      <c r="G1030" s="4">
        <v>8</v>
      </c>
      <c r="L1030" s="58" t="s">
        <v>549</v>
      </c>
    </row>
    <row r="1031" spans="1:12">
      <c r="A1031">
        <v>54</v>
      </c>
      <c r="B1031" s="9" t="s">
        <v>335</v>
      </c>
      <c r="C1031" s="50">
        <v>40701.719444444447</v>
      </c>
      <c r="D1031" s="9" t="s">
        <v>335</v>
      </c>
      <c r="E1031" t="str">
        <f t="shared" si="19"/>
        <v>'e78248c'</v>
      </c>
      <c r="F1031" s="9" t="s">
        <v>335</v>
      </c>
      <c r="G1031" s="4">
        <v>9</v>
      </c>
      <c r="L1031" s="58" t="s">
        <v>1271</v>
      </c>
    </row>
    <row r="1032" spans="1:12">
      <c r="A1032">
        <v>55</v>
      </c>
      <c r="B1032" s="9" t="s">
        <v>335</v>
      </c>
      <c r="C1032" s="50">
        <v>40554.457638888889</v>
      </c>
      <c r="D1032" s="9" t="s">
        <v>335</v>
      </c>
      <c r="E1032" t="str">
        <f t="shared" si="19"/>
        <v>'62cb08d'</v>
      </c>
      <c r="F1032" s="9" t="s">
        <v>335</v>
      </c>
      <c r="G1032" s="4">
        <v>1</v>
      </c>
      <c r="L1032" s="58" t="s">
        <v>1287</v>
      </c>
    </row>
    <row r="1033" spans="1:12">
      <c r="A1033">
        <v>55</v>
      </c>
      <c r="B1033" s="9" t="s">
        <v>335</v>
      </c>
      <c r="C1033" s="50">
        <v>40554.459027777775</v>
      </c>
      <c r="D1033" s="9" t="s">
        <v>335</v>
      </c>
      <c r="E1033" t="str">
        <f t="shared" si="19"/>
        <v>'4470cb3'</v>
      </c>
      <c r="F1033" s="9" t="s">
        <v>335</v>
      </c>
      <c r="G1033" s="4">
        <v>2</v>
      </c>
      <c r="L1033" s="58" t="s">
        <v>1335</v>
      </c>
    </row>
    <row r="1034" spans="1:12">
      <c r="A1034">
        <v>55</v>
      </c>
      <c r="B1034" s="9" t="s">
        <v>335</v>
      </c>
      <c r="C1034" s="50">
        <v>40630.605555555558</v>
      </c>
      <c r="D1034" s="9" t="s">
        <v>335</v>
      </c>
      <c r="E1034" t="str">
        <f t="shared" si="19"/>
        <v>'cf7bc42'</v>
      </c>
      <c r="F1034" s="9" t="s">
        <v>335</v>
      </c>
      <c r="G1034" s="4">
        <v>3</v>
      </c>
      <c r="L1034" s="58" t="s">
        <v>671</v>
      </c>
    </row>
    <row r="1035" spans="1:12">
      <c r="A1035">
        <v>55</v>
      </c>
      <c r="B1035" s="9" t="s">
        <v>335</v>
      </c>
      <c r="C1035" s="50">
        <v>40669.832638888889</v>
      </c>
      <c r="D1035" s="9" t="s">
        <v>335</v>
      </c>
      <c r="E1035" t="str">
        <f t="shared" si="19"/>
        <v>'119aea8'</v>
      </c>
      <c r="F1035" s="9" t="s">
        <v>335</v>
      </c>
      <c r="G1035" s="4">
        <v>4</v>
      </c>
      <c r="L1035" s="58" t="s">
        <v>902</v>
      </c>
    </row>
    <row r="1036" spans="1:12">
      <c r="A1036">
        <v>55</v>
      </c>
      <c r="B1036" s="9" t="s">
        <v>335</v>
      </c>
      <c r="C1036" s="50">
        <v>40672.697916666664</v>
      </c>
      <c r="D1036" s="9" t="s">
        <v>335</v>
      </c>
      <c r="E1036" t="str">
        <f t="shared" si="19"/>
        <v>'393e397'</v>
      </c>
      <c r="F1036" s="9" t="s">
        <v>335</v>
      </c>
      <c r="G1036" s="4">
        <v>5</v>
      </c>
      <c r="L1036" s="58" t="s">
        <v>1418</v>
      </c>
    </row>
    <row r="1037" spans="1:12">
      <c r="A1037">
        <v>55</v>
      </c>
      <c r="B1037" s="9" t="s">
        <v>335</v>
      </c>
      <c r="C1037" s="50">
        <v>40673.48541666667</v>
      </c>
      <c r="D1037" s="9" t="s">
        <v>335</v>
      </c>
      <c r="E1037" t="str">
        <f t="shared" si="19"/>
        <v>'9578bf7'</v>
      </c>
      <c r="F1037" s="9" t="s">
        <v>335</v>
      </c>
      <c r="G1037" s="4">
        <v>6</v>
      </c>
      <c r="L1037" s="58" t="s">
        <v>437</v>
      </c>
    </row>
    <row r="1038" spans="1:12">
      <c r="A1038">
        <v>55</v>
      </c>
      <c r="B1038" s="9" t="s">
        <v>335</v>
      </c>
      <c r="C1038" s="50">
        <v>40681.545138888891</v>
      </c>
      <c r="D1038" s="9" t="s">
        <v>335</v>
      </c>
      <c r="E1038" t="str">
        <f t="shared" si="19"/>
        <v>'008bb9d'</v>
      </c>
      <c r="F1038" s="9" t="s">
        <v>335</v>
      </c>
      <c r="G1038" s="4">
        <v>7</v>
      </c>
      <c r="L1038" s="58" t="s">
        <v>1277</v>
      </c>
    </row>
    <row r="1039" spans="1:12">
      <c r="A1039">
        <v>55</v>
      </c>
      <c r="B1039" s="9" t="s">
        <v>335</v>
      </c>
      <c r="C1039" s="50">
        <v>40682.429861111108</v>
      </c>
      <c r="D1039" s="9" t="s">
        <v>335</v>
      </c>
      <c r="E1039" t="str">
        <f t="shared" si="19"/>
        <v>'208c7b6'</v>
      </c>
      <c r="F1039" s="9" t="s">
        <v>335</v>
      </c>
      <c r="G1039" s="4">
        <v>8</v>
      </c>
      <c r="L1039" s="58" t="s">
        <v>1084</v>
      </c>
    </row>
    <row r="1040" spans="1:12">
      <c r="A1040">
        <v>56</v>
      </c>
      <c r="B1040" s="9" t="s">
        <v>335</v>
      </c>
      <c r="C1040" s="50">
        <v>40665.703472222223</v>
      </c>
      <c r="D1040" s="9" t="s">
        <v>335</v>
      </c>
      <c r="E1040" t="str">
        <f t="shared" si="19"/>
        <v>'2ec192b'</v>
      </c>
      <c r="F1040" s="9" t="s">
        <v>335</v>
      </c>
      <c r="G1040" s="4">
        <v>1</v>
      </c>
      <c r="L1040" s="58" t="s">
        <v>561</v>
      </c>
    </row>
    <row r="1041" spans="1:12">
      <c r="A1041">
        <v>56</v>
      </c>
      <c r="B1041" s="9" t="s">
        <v>335</v>
      </c>
      <c r="C1041" s="50">
        <v>40666.701388888891</v>
      </c>
      <c r="D1041" s="9" t="s">
        <v>335</v>
      </c>
      <c r="E1041" t="str">
        <f t="shared" si="19"/>
        <v>'70a2a69'</v>
      </c>
      <c r="F1041" s="9" t="s">
        <v>335</v>
      </c>
      <c r="G1041" s="4">
        <v>2</v>
      </c>
      <c r="L1041" s="58" t="s">
        <v>953</v>
      </c>
    </row>
    <row r="1042" spans="1:12">
      <c r="A1042">
        <v>56</v>
      </c>
      <c r="B1042" s="9" t="s">
        <v>335</v>
      </c>
      <c r="C1042" s="50">
        <v>40666.705555555556</v>
      </c>
      <c r="D1042" s="9" t="s">
        <v>335</v>
      </c>
      <c r="E1042" t="str">
        <f t="shared" si="19"/>
        <v>'c217ff1'</v>
      </c>
      <c r="F1042" s="9" t="s">
        <v>335</v>
      </c>
      <c r="G1042" s="4">
        <v>3</v>
      </c>
      <c r="L1042" s="58" t="s">
        <v>1358</v>
      </c>
    </row>
    <row r="1043" spans="1:12">
      <c r="A1043">
        <v>56</v>
      </c>
      <c r="B1043" s="9" t="s">
        <v>335</v>
      </c>
      <c r="C1043" s="50">
        <v>40666.717361111114</v>
      </c>
      <c r="D1043" s="9" t="s">
        <v>335</v>
      </c>
      <c r="E1043" t="str">
        <f t="shared" si="19"/>
        <v>'e57f40d'</v>
      </c>
      <c r="F1043" s="9" t="s">
        <v>335</v>
      </c>
      <c r="G1043" s="4">
        <v>4</v>
      </c>
      <c r="L1043" s="58" t="s">
        <v>1452</v>
      </c>
    </row>
    <row r="1044" spans="1:12">
      <c r="A1044">
        <v>56</v>
      </c>
      <c r="B1044" s="9" t="s">
        <v>335</v>
      </c>
      <c r="C1044" s="50">
        <v>40668.704861111109</v>
      </c>
      <c r="D1044" s="9" t="s">
        <v>335</v>
      </c>
      <c r="E1044" t="str">
        <f t="shared" si="19"/>
        <v>'86d077d'</v>
      </c>
      <c r="F1044" s="9" t="s">
        <v>335</v>
      </c>
      <c r="G1044" s="4">
        <v>5</v>
      </c>
      <c r="L1044" s="58" t="s">
        <v>779</v>
      </c>
    </row>
    <row r="1045" spans="1:12">
      <c r="A1045">
        <v>57</v>
      </c>
      <c r="B1045" s="9" t="s">
        <v>335</v>
      </c>
      <c r="C1045" s="50">
        <v>40651.559027777781</v>
      </c>
      <c r="D1045" s="9" t="s">
        <v>335</v>
      </c>
      <c r="E1045" t="str">
        <f t="shared" si="19"/>
        <v>'2d629d6'</v>
      </c>
      <c r="F1045" s="9" t="s">
        <v>335</v>
      </c>
      <c r="G1045" s="4">
        <v>1</v>
      </c>
      <c r="L1045" s="58" t="s">
        <v>1024</v>
      </c>
    </row>
    <row r="1046" spans="1:12">
      <c r="A1046">
        <v>58</v>
      </c>
      <c r="B1046" s="9" t="s">
        <v>335</v>
      </c>
      <c r="C1046" s="50">
        <v>40655.811805555553</v>
      </c>
      <c r="D1046" s="9" t="s">
        <v>335</v>
      </c>
      <c r="E1046" t="str">
        <f t="shared" si="19"/>
        <v>'7c5da9b'</v>
      </c>
      <c r="F1046" s="9" t="s">
        <v>335</v>
      </c>
      <c r="G1046" s="4">
        <v>1</v>
      </c>
      <c r="L1046" s="58" t="s">
        <v>1106</v>
      </c>
    </row>
    <row r="1047" spans="1:12">
      <c r="A1047">
        <v>58</v>
      </c>
      <c r="B1047" s="9" t="s">
        <v>335</v>
      </c>
      <c r="C1047" s="50">
        <v>40693.478472222225</v>
      </c>
      <c r="D1047" s="9" t="s">
        <v>335</v>
      </c>
      <c r="E1047" t="str">
        <f t="shared" si="19"/>
        <v>'a2c2088'</v>
      </c>
      <c r="F1047" s="9" t="s">
        <v>335</v>
      </c>
      <c r="G1047" s="4">
        <v>2</v>
      </c>
      <c r="L1047" s="58" t="s">
        <v>894</v>
      </c>
    </row>
    <row r="1048" spans="1:12">
      <c r="A1048">
        <v>58</v>
      </c>
      <c r="B1048" s="9" t="s">
        <v>335</v>
      </c>
      <c r="C1048" s="50">
        <v>40704.956250000003</v>
      </c>
      <c r="D1048" s="9" t="s">
        <v>335</v>
      </c>
      <c r="E1048" t="str">
        <f t="shared" si="19"/>
        <v>'a2d8257'</v>
      </c>
      <c r="F1048" s="9" t="s">
        <v>335</v>
      </c>
      <c r="G1048" s="4">
        <v>3</v>
      </c>
      <c r="L1048" s="58" t="s">
        <v>1304</v>
      </c>
    </row>
    <row r="1049" spans="1:12">
      <c r="A1049">
        <v>59</v>
      </c>
      <c r="B1049" s="9" t="s">
        <v>335</v>
      </c>
      <c r="C1049" s="50">
        <v>40711.008333333331</v>
      </c>
      <c r="D1049" s="9" t="s">
        <v>335</v>
      </c>
      <c r="E1049" t="str">
        <f t="shared" si="19"/>
        <v>'c1c487b'</v>
      </c>
      <c r="F1049" s="9" t="s">
        <v>335</v>
      </c>
      <c r="G1049" s="4">
        <v>1</v>
      </c>
      <c r="L1049" s="58" t="s">
        <v>1080</v>
      </c>
    </row>
    <row r="1050" spans="1:12">
      <c r="A1050">
        <v>59</v>
      </c>
      <c r="B1050" s="9" t="s">
        <v>335</v>
      </c>
      <c r="C1050" s="50">
        <v>40713.057638888888</v>
      </c>
      <c r="D1050" s="9" t="s">
        <v>335</v>
      </c>
      <c r="E1050" t="str">
        <f t="shared" ref="E1050" si="20">CONCATENATE("'",L1050,"'")</f>
        <v>'547c8d6'</v>
      </c>
      <c r="F1050" s="9" t="s">
        <v>335</v>
      </c>
      <c r="G1050" s="4">
        <v>2</v>
      </c>
      <c r="L1050" s="58" t="s">
        <v>813</v>
      </c>
    </row>
    <row r="1052" spans="1:12">
      <c r="A1052">
        <v>1</v>
      </c>
      <c r="B1052" s="9" t="s">
        <v>335</v>
      </c>
      <c r="C1052" s="3">
        <v>40137.790671296294</v>
      </c>
      <c r="D1052" s="9" t="s">
        <v>335</v>
      </c>
      <c r="E1052" t="str">
        <f t="shared" ref="E1052:E1101" si="21">CONCATENATE("'",L1052,"'")</f>
        <v>'51393fc'</v>
      </c>
      <c r="F1052" s="9" t="s">
        <v>335</v>
      </c>
      <c r="G1052" s="4">
        <v>1</v>
      </c>
      <c r="H1052" t="s">
        <v>3697</v>
      </c>
      <c r="L1052" s="8" t="s">
        <v>2057</v>
      </c>
    </row>
    <row r="1053" spans="1:12">
      <c r="A1053">
        <v>1</v>
      </c>
      <c r="B1053" s="9" t="s">
        <v>335</v>
      </c>
      <c r="C1053" s="3">
        <v>40184.763321759259</v>
      </c>
      <c r="D1053" s="9" t="s">
        <v>335</v>
      </c>
      <c r="E1053" t="str">
        <f t="shared" si="21"/>
        <v>'0b370c0'</v>
      </c>
      <c r="F1053" s="9" t="s">
        <v>335</v>
      </c>
      <c r="G1053" s="4">
        <v>2</v>
      </c>
      <c r="L1053" s="8" t="s">
        <v>2539</v>
      </c>
    </row>
    <row r="1054" spans="1:12">
      <c r="A1054">
        <v>1</v>
      </c>
      <c r="B1054" s="9" t="s">
        <v>335</v>
      </c>
      <c r="C1054" s="3">
        <v>40206.886493055557</v>
      </c>
      <c r="D1054" s="9" t="s">
        <v>335</v>
      </c>
      <c r="E1054" t="str">
        <f t="shared" si="21"/>
        <v>'29e8de6'</v>
      </c>
      <c r="F1054" s="9" t="s">
        <v>335</v>
      </c>
      <c r="G1054" s="4">
        <v>3</v>
      </c>
      <c r="L1054" s="8" t="s">
        <v>2529</v>
      </c>
    </row>
    <row r="1055" spans="1:12">
      <c r="A1055">
        <v>1</v>
      </c>
      <c r="B1055" s="9" t="s">
        <v>335</v>
      </c>
      <c r="C1055" s="3">
        <v>40212.767893518518</v>
      </c>
      <c r="D1055" s="9" t="s">
        <v>335</v>
      </c>
      <c r="E1055" t="str">
        <f t="shared" si="21"/>
        <v>'872cbd3'</v>
      </c>
      <c r="F1055" s="9" t="s">
        <v>335</v>
      </c>
      <c r="G1055" s="4">
        <v>4</v>
      </c>
      <c r="L1055" s="8" t="s">
        <v>2283</v>
      </c>
    </row>
    <row r="1056" spans="1:12">
      <c r="A1056">
        <v>2</v>
      </c>
      <c r="B1056" s="9" t="s">
        <v>335</v>
      </c>
      <c r="C1056" s="3">
        <v>40155.483958333331</v>
      </c>
      <c r="D1056" s="9" t="s">
        <v>335</v>
      </c>
      <c r="E1056" t="str">
        <f t="shared" si="21"/>
        <v>'ecf5c23'</v>
      </c>
      <c r="F1056" s="9" t="s">
        <v>335</v>
      </c>
      <c r="G1056" s="4">
        <v>1</v>
      </c>
      <c r="L1056" s="8" t="s">
        <v>2179</v>
      </c>
    </row>
    <row r="1057" spans="1:12">
      <c r="A1057">
        <v>3</v>
      </c>
      <c r="B1057" s="9" t="s">
        <v>335</v>
      </c>
      <c r="C1057" s="3">
        <v>40114.713946759257</v>
      </c>
      <c r="D1057" s="9" t="s">
        <v>335</v>
      </c>
      <c r="E1057" t="str">
        <f t="shared" si="21"/>
        <v>'f89a570'</v>
      </c>
      <c r="F1057" s="9" t="s">
        <v>335</v>
      </c>
      <c r="G1057" s="4">
        <v>1</v>
      </c>
      <c r="L1057" s="8" t="s">
        <v>2369</v>
      </c>
    </row>
    <row r="1058" spans="1:12">
      <c r="A1058">
        <v>4</v>
      </c>
      <c r="B1058" s="9" t="s">
        <v>335</v>
      </c>
      <c r="C1058" s="3">
        <v>40203.452233796299</v>
      </c>
      <c r="D1058" s="9" t="s">
        <v>335</v>
      </c>
      <c r="E1058" t="str">
        <f t="shared" si="21"/>
        <v>'c119778'</v>
      </c>
      <c r="F1058" s="9" t="s">
        <v>335</v>
      </c>
      <c r="G1058" s="4">
        <v>1</v>
      </c>
      <c r="L1058" s="8" t="s">
        <v>2099</v>
      </c>
    </row>
    <row r="1059" spans="1:12">
      <c r="A1059">
        <v>5</v>
      </c>
      <c r="B1059" s="9" t="s">
        <v>335</v>
      </c>
      <c r="C1059" s="3">
        <v>40105.900185185186</v>
      </c>
      <c r="D1059" s="9" t="s">
        <v>335</v>
      </c>
      <c r="E1059" t="str">
        <f t="shared" si="21"/>
        <v>'ab87ca4'</v>
      </c>
      <c r="F1059" s="9" t="s">
        <v>335</v>
      </c>
      <c r="G1059" s="4">
        <v>1</v>
      </c>
      <c r="L1059" s="8" t="s">
        <v>2148</v>
      </c>
    </row>
    <row r="1060" spans="1:12">
      <c r="A1060">
        <v>5</v>
      </c>
      <c r="B1060" s="9" t="s">
        <v>335</v>
      </c>
      <c r="C1060" s="3">
        <v>40123.587141203701</v>
      </c>
      <c r="D1060" s="9" t="s">
        <v>335</v>
      </c>
      <c r="E1060" t="str">
        <f t="shared" si="21"/>
        <v>'e3f38af'</v>
      </c>
      <c r="F1060" s="9" t="s">
        <v>335</v>
      </c>
      <c r="G1060" s="4">
        <v>2</v>
      </c>
      <c r="L1060" s="8" t="s">
        <v>2125</v>
      </c>
    </row>
    <row r="1061" spans="1:12">
      <c r="A1061">
        <v>5</v>
      </c>
      <c r="B1061" s="9" t="s">
        <v>335</v>
      </c>
      <c r="C1061" s="3">
        <v>40215.631481481483</v>
      </c>
      <c r="D1061" s="9" t="s">
        <v>335</v>
      </c>
      <c r="E1061" t="str">
        <f t="shared" si="21"/>
        <v>'6369c73'</v>
      </c>
      <c r="F1061" s="9" t="s">
        <v>335</v>
      </c>
      <c r="G1061" s="4">
        <v>3</v>
      </c>
      <c r="L1061" s="8" t="s">
        <v>2183</v>
      </c>
    </row>
    <row r="1062" spans="1:12">
      <c r="A1062">
        <v>6</v>
      </c>
      <c r="B1062" s="9" t="s">
        <v>335</v>
      </c>
      <c r="C1062" s="3">
        <v>40217.880509259259</v>
      </c>
      <c r="D1062" s="9" t="s">
        <v>335</v>
      </c>
      <c r="E1062" t="str">
        <f t="shared" si="21"/>
        <v>'0972ecd'</v>
      </c>
      <c r="F1062" s="9" t="s">
        <v>335</v>
      </c>
      <c r="G1062" s="4">
        <v>1</v>
      </c>
      <c r="L1062" s="8" t="s">
        <v>2195</v>
      </c>
    </row>
    <row r="1063" spans="1:12">
      <c r="A1063">
        <v>7</v>
      </c>
      <c r="B1063" s="9" t="s">
        <v>335</v>
      </c>
      <c r="C1063" s="3">
        <v>40124.870578703703</v>
      </c>
      <c r="D1063" s="9" t="s">
        <v>335</v>
      </c>
      <c r="E1063" t="str">
        <f t="shared" si="21"/>
        <v>'6de131f'</v>
      </c>
      <c r="F1063" s="9" t="s">
        <v>335</v>
      </c>
      <c r="G1063" s="4">
        <v>1</v>
      </c>
      <c r="L1063" s="8" t="s">
        <v>2049</v>
      </c>
    </row>
    <row r="1064" spans="1:12">
      <c r="A1064">
        <v>8</v>
      </c>
      <c r="B1064" s="9" t="s">
        <v>335</v>
      </c>
      <c r="C1064" s="3">
        <v>40155.52983796296</v>
      </c>
      <c r="D1064" s="9" t="s">
        <v>335</v>
      </c>
      <c r="E1064" t="str">
        <f t="shared" si="21"/>
        <v>'f6435df'</v>
      </c>
      <c r="F1064" s="9" t="s">
        <v>335</v>
      </c>
      <c r="G1064" s="4">
        <v>1</v>
      </c>
      <c r="L1064" s="8" t="s">
        <v>2180</v>
      </c>
    </row>
    <row r="1065" spans="1:12">
      <c r="A1065">
        <v>9</v>
      </c>
      <c r="B1065" s="9" t="s">
        <v>335</v>
      </c>
      <c r="C1065" s="3">
        <v>40136.72115740741</v>
      </c>
      <c r="D1065" s="9" t="s">
        <v>335</v>
      </c>
      <c r="E1065" t="str">
        <f t="shared" si="21"/>
        <v>'e82692a'</v>
      </c>
      <c r="F1065" s="9" t="s">
        <v>335</v>
      </c>
      <c r="G1065" s="4">
        <v>1</v>
      </c>
      <c r="L1065" s="8" t="s">
        <v>2328</v>
      </c>
    </row>
    <row r="1066" spans="1:12">
      <c r="A1066">
        <v>9</v>
      </c>
      <c r="B1066" s="9" t="s">
        <v>335</v>
      </c>
      <c r="C1066" s="3">
        <v>40184.368981481479</v>
      </c>
      <c r="D1066" s="9" t="s">
        <v>335</v>
      </c>
      <c r="E1066" t="str">
        <f t="shared" si="21"/>
        <v>'1afd330'</v>
      </c>
      <c r="F1066" s="9" t="s">
        <v>335</v>
      </c>
      <c r="G1066" s="4">
        <v>2</v>
      </c>
      <c r="L1066" s="8" t="s">
        <v>2538</v>
      </c>
    </row>
    <row r="1067" spans="1:12">
      <c r="A1067">
        <v>10</v>
      </c>
      <c r="B1067" s="9" t="s">
        <v>335</v>
      </c>
      <c r="C1067" s="3">
        <v>40091.627696759257</v>
      </c>
      <c r="D1067" s="9" t="s">
        <v>335</v>
      </c>
      <c r="E1067" t="str">
        <f t="shared" si="21"/>
        <v>'07962d9'</v>
      </c>
      <c r="F1067" s="9" t="s">
        <v>335</v>
      </c>
      <c r="G1067" s="4">
        <v>1</v>
      </c>
      <c r="L1067" s="8" t="s">
        <v>2497</v>
      </c>
    </row>
    <row r="1068" spans="1:12">
      <c r="A1068">
        <v>10</v>
      </c>
      <c r="B1068" s="9" t="s">
        <v>335</v>
      </c>
      <c r="C1068" s="3">
        <v>40105.892118055555</v>
      </c>
      <c r="D1068" s="9" t="s">
        <v>335</v>
      </c>
      <c r="E1068" t="str">
        <f t="shared" si="21"/>
        <v>'af42750'</v>
      </c>
      <c r="F1068" s="9" t="s">
        <v>335</v>
      </c>
      <c r="G1068" s="4">
        <v>2</v>
      </c>
      <c r="L1068" s="8" t="s">
        <v>2147</v>
      </c>
    </row>
    <row r="1069" spans="1:12">
      <c r="A1069">
        <v>10</v>
      </c>
      <c r="B1069" s="9" t="s">
        <v>335</v>
      </c>
      <c r="C1069" s="3">
        <v>40157.555868055555</v>
      </c>
      <c r="D1069" s="9" t="s">
        <v>335</v>
      </c>
      <c r="E1069" t="str">
        <f t="shared" si="21"/>
        <v>'3a42395'</v>
      </c>
      <c r="F1069" s="9" t="s">
        <v>335</v>
      </c>
      <c r="G1069" s="4">
        <v>3</v>
      </c>
      <c r="L1069" s="8" t="s">
        <v>2331</v>
      </c>
    </row>
    <row r="1070" spans="1:12">
      <c r="A1070">
        <v>10</v>
      </c>
      <c r="B1070" s="9" t="s">
        <v>335</v>
      </c>
      <c r="C1070" s="3">
        <v>40167.701562499999</v>
      </c>
      <c r="D1070" s="9" t="s">
        <v>335</v>
      </c>
      <c r="E1070" t="str">
        <f t="shared" si="21"/>
        <v>'1918549'</v>
      </c>
      <c r="F1070" s="9" t="s">
        <v>335</v>
      </c>
      <c r="G1070" s="4">
        <v>4</v>
      </c>
      <c r="L1070" s="8" t="s">
        <v>2549</v>
      </c>
    </row>
    <row r="1071" spans="1:12">
      <c r="A1071">
        <v>10</v>
      </c>
      <c r="B1071" s="9" t="s">
        <v>335</v>
      </c>
      <c r="C1071" s="3">
        <v>40167.722719907404</v>
      </c>
      <c r="D1071" s="9" t="s">
        <v>335</v>
      </c>
      <c r="E1071" t="str">
        <f t="shared" si="21"/>
        <v>'4656de9'</v>
      </c>
      <c r="F1071" s="9" t="s">
        <v>335</v>
      </c>
      <c r="G1071" s="4">
        <v>5</v>
      </c>
      <c r="L1071" s="8" t="s">
        <v>2064</v>
      </c>
    </row>
    <row r="1072" spans="1:12">
      <c r="A1072">
        <v>10</v>
      </c>
      <c r="B1072" s="9" t="s">
        <v>335</v>
      </c>
      <c r="C1072" s="3">
        <v>40167.735266203701</v>
      </c>
      <c r="D1072" s="9" t="s">
        <v>335</v>
      </c>
      <c r="E1072" t="str">
        <f t="shared" si="21"/>
        <v>'89dbd0d'</v>
      </c>
      <c r="F1072" s="9" t="s">
        <v>335</v>
      </c>
      <c r="G1072" s="4">
        <v>6</v>
      </c>
      <c r="L1072" s="8" t="s">
        <v>2343</v>
      </c>
    </row>
    <row r="1073" spans="1:12">
      <c r="A1073">
        <v>10</v>
      </c>
      <c r="B1073" s="9" t="s">
        <v>335</v>
      </c>
      <c r="C1073" s="3">
        <v>40203.204340277778</v>
      </c>
      <c r="D1073" s="9" t="s">
        <v>335</v>
      </c>
      <c r="E1073" t="str">
        <f t="shared" si="21"/>
        <v>'2bc3a08'</v>
      </c>
      <c r="F1073" s="9" t="s">
        <v>335</v>
      </c>
      <c r="G1073" s="4">
        <v>7</v>
      </c>
      <c r="L1073" s="8" t="s">
        <v>2098</v>
      </c>
    </row>
    <row r="1074" spans="1:12">
      <c r="A1074">
        <v>10</v>
      </c>
      <c r="B1074" s="9" t="s">
        <v>335</v>
      </c>
      <c r="C1074" s="3">
        <v>40212.404953703706</v>
      </c>
      <c r="D1074" s="9" t="s">
        <v>335</v>
      </c>
      <c r="E1074" t="str">
        <f t="shared" si="21"/>
        <v>'14a86d0'</v>
      </c>
      <c r="F1074" s="9" t="s">
        <v>335</v>
      </c>
      <c r="G1074" s="4">
        <v>8</v>
      </c>
      <c r="L1074" s="8" t="s">
        <v>2282</v>
      </c>
    </row>
    <row r="1075" spans="1:12">
      <c r="A1075">
        <v>10</v>
      </c>
      <c r="B1075" s="9" t="s">
        <v>335</v>
      </c>
      <c r="C1075" s="3">
        <v>40218.313379629632</v>
      </c>
      <c r="D1075" s="9" t="s">
        <v>335</v>
      </c>
      <c r="E1075" t="str">
        <f t="shared" si="21"/>
        <v>'d27f8d4'</v>
      </c>
      <c r="F1075" s="9" t="s">
        <v>335</v>
      </c>
      <c r="G1075" s="4">
        <v>9</v>
      </c>
      <c r="L1075" s="8" t="s">
        <v>2196</v>
      </c>
    </row>
    <row r="1076" spans="1:12">
      <c r="A1076">
        <v>11</v>
      </c>
      <c r="B1076" s="9" t="s">
        <v>335</v>
      </c>
      <c r="C1076" s="3">
        <v>39832.517118055555</v>
      </c>
      <c r="D1076" s="9" t="s">
        <v>335</v>
      </c>
      <c r="E1076" t="str">
        <f t="shared" si="21"/>
        <v>'6606016'</v>
      </c>
      <c r="F1076" s="9" t="s">
        <v>335</v>
      </c>
      <c r="G1076" s="4">
        <v>1</v>
      </c>
      <c r="L1076" s="8" t="s">
        <v>2124</v>
      </c>
    </row>
    <row r="1077" spans="1:12">
      <c r="A1077">
        <v>12</v>
      </c>
      <c r="B1077" s="9" t="s">
        <v>335</v>
      </c>
      <c r="C1077" s="3">
        <v>40145.503171296295</v>
      </c>
      <c r="D1077" s="9" t="s">
        <v>335</v>
      </c>
      <c r="E1077" t="str">
        <f t="shared" si="21"/>
        <v>'23e33b6'</v>
      </c>
      <c r="F1077" s="9" t="s">
        <v>335</v>
      </c>
      <c r="G1077" s="4">
        <v>1</v>
      </c>
      <c r="L1077" s="8" t="s">
        <v>2154</v>
      </c>
    </row>
    <row r="1078" spans="1:12">
      <c r="A1078">
        <v>12</v>
      </c>
      <c r="B1078" s="9" t="s">
        <v>335</v>
      </c>
      <c r="C1078" s="3">
        <v>40152.931689814817</v>
      </c>
      <c r="D1078" s="9" t="s">
        <v>335</v>
      </c>
      <c r="E1078" t="str">
        <f t="shared" si="21"/>
        <v>'37e2e78'</v>
      </c>
      <c r="F1078" s="9" t="s">
        <v>335</v>
      </c>
      <c r="G1078" s="4">
        <v>2</v>
      </c>
      <c r="L1078" s="8" t="s">
        <v>2330</v>
      </c>
    </row>
    <row r="1079" spans="1:12">
      <c r="A1079">
        <v>12</v>
      </c>
      <c r="B1079" s="9" t="s">
        <v>335</v>
      </c>
      <c r="C1079" s="3">
        <v>40167.600844907407</v>
      </c>
      <c r="D1079" s="9" t="s">
        <v>335</v>
      </c>
      <c r="E1079" t="str">
        <f t="shared" si="21"/>
        <v>'5b31146'</v>
      </c>
      <c r="F1079" s="9" t="s">
        <v>335</v>
      </c>
      <c r="G1079" s="4">
        <v>3</v>
      </c>
      <c r="L1079" s="8" t="s">
        <v>2261</v>
      </c>
    </row>
    <row r="1080" spans="1:12">
      <c r="A1080">
        <v>12</v>
      </c>
      <c r="B1080" s="9" t="s">
        <v>335</v>
      </c>
      <c r="C1080" s="3">
        <v>40167.981898148151</v>
      </c>
      <c r="D1080" s="9" t="s">
        <v>335</v>
      </c>
      <c r="E1080" t="str">
        <f t="shared" si="21"/>
        <v>'51f494c'</v>
      </c>
      <c r="F1080" s="9" t="s">
        <v>335</v>
      </c>
      <c r="G1080" s="4">
        <v>4</v>
      </c>
      <c r="L1080" s="8" t="s">
        <v>2344</v>
      </c>
    </row>
    <row r="1081" spans="1:12">
      <c r="A1081">
        <v>12</v>
      </c>
      <c r="B1081" s="9" t="s">
        <v>335</v>
      </c>
      <c r="C1081" s="3">
        <v>40206.389513888891</v>
      </c>
      <c r="D1081" s="9" t="s">
        <v>335</v>
      </c>
      <c r="E1081" t="str">
        <f t="shared" si="21"/>
        <v>'b21d8e5'</v>
      </c>
      <c r="F1081" s="9" t="s">
        <v>335</v>
      </c>
      <c r="G1081" s="4">
        <v>5</v>
      </c>
      <c r="L1081" s="8" t="s">
        <v>2528</v>
      </c>
    </row>
    <row r="1082" spans="1:12">
      <c r="A1082">
        <v>13</v>
      </c>
      <c r="B1082" s="9" t="s">
        <v>335</v>
      </c>
      <c r="C1082" s="3">
        <v>40135.878472222219</v>
      </c>
      <c r="D1082" s="9" t="s">
        <v>335</v>
      </c>
      <c r="E1082" t="str">
        <f t="shared" si="21"/>
        <v>'c3d14d7'</v>
      </c>
      <c r="F1082" s="9" t="s">
        <v>335</v>
      </c>
      <c r="G1082" s="4">
        <v>1</v>
      </c>
      <c r="L1082" s="8" t="s">
        <v>2473</v>
      </c>
    </row>
    <row r="1083" spans="1:12">
      <c r="A1083">
        <v>13</v>
      </c>
      <c r="B1083" s="9" t="s">
        <v>335</v>
      </c>
      <c r="C1083" s="3">
        <v>40136.719317129631</v>
      </c>
      <c r="D1083" s="9" t="s">
        <v>335</v>
      </c>
      <c r="E1083" t="str">
        <f t="shared" si="21"/>
        <v>'b221970'</v>
      </c>
      <c r="F1083" s="9" t="s">
        <v>335</v>
      </c>
      <c r="G1083" s="4">
        <v>2</v>
      </c>
      <c r="L1083" s="8" t="s">
        <v>2199</v>
      </c>
    </row>
    <row r="1084" spans="1:12">
      <c r="A1084">
        <v>13</v>
      </c>
      <c r="B1084" s="9" t="s">
        <v>335</v>
      </c>
      <c r="C1084" s="3">
        <v>40136.673506944448</v>
      </c>
      <c r="D1084" s="9" t="s">
        <v>335</v>
      </c>
      <c r="E1084" t="str">
        <f t="shared" si="21"/>
        <v>'a59108e'</v>
      </c>
      <c r="F1084" s="9" t="s">
        <v>335</v>
      </c>
      <c r="G1084" s="4">
        <v>3</v>
      </c>
      <c r="L1084" s="8" t="s">
        <v>2327</v>
      </c>
    </row>
    <row r="1085" spans="1:12">
      <c r="A1085">
        <v>14</v>
      </c>
      <c r="B1085" s="9" t="s">
        <v>335</v>
      </c>
      <c r="C1085" s="3">
        <v>40091.793969907405</v>
      </c>
      <c r="D1085" s="9" t="s">
        <v>335</v>
      </c>
      <c r="E1085" t="str">
        <f t="shared" si="21"/>
        <v>'38ec24b'</v>
      </c>
      <c r="F1085" s="9" t="s">
        <v>335</v>
      </c>
      <c r="G1085" s="4">
        <v>1</v>
      </c>
      <c r="L1085" s="8" t="s">
        <v>2498</v>
      </c>
    </row>
    <row r="1086" spans="1:12">
      <c r="A1086">
        <v>15</v>
      </c>
      <c r="B1086" s="9" t="s">
        <v>335</v>
      </c>
      <c r="C1086" s="3">
        <v>40101.633900462963</v>
      </c>
      <c r="D1086" s="9" t="s">
        <v>335</v>
      </c>
      <c r="E1086" t="str">
        <f t="shared" si="21"/>
        <v>'2e0eeea'</v>
      </c>
      <c r="F1086" s="9" t="s">
        <v>335</v>
      </c>
      <c r="G1086" s="4">
        <v>1</v>
      </c>
      <c r="L1086" s="8" t="s">
        <v>2173</v>
      </c>
    </row>
    <row r="1087" spans="1:12">
      <c r="A1087">
        <v>15</v>
      </c>
      <c r="B1087" s="9" t="s">
        <v>335</v>
      </c>
      <c r="C1087" s="3">
        <v>40136.712430555555</v>
      </c>
      <c r="D1087" s="9" t="s">
        <v>335</v>
      </c>
      <c r="E1087" t="str">
        <f t="shared" si="21"/>
        <v>'06d5de5'</v>
      </c>
      <c r="F1087" s="9" t="s">
        <v>335</v>
      </c>
      <c r="G1087" s="4">
        <v>2</v>
      </c>
      <c r="L1087" s="8" t="s">
        <v>2198</v>
      </c>
    </row>
    <row r="1088" spans="1:12">
      <c r="A1088">
        <v>15</v>
      </c>
      <c r="B1088" s="9" t="s">
        <v>335</v>
      </c>
      <c r="C1088" s="3">
        <v>40137.571527777778</v>
      </c>
      <c r="D1088" s="9" t="s">
        <v>335</v>
      </c>
      <c r="E1088" t="str">
        <f t="shared" si="21"/>
        <v>'5ce5779'</v>
      </c>
      <c r="F1088" s="9" t="s">
        <v>335</v>
      </c>
      <c r="G1088" s="4">
        <v>3</v>
      </c>
      <c r="L1088" s="8" t="s">
        <v>2056</v>
      </c>
    </row>
    <row r="1089" spans="1:12">
      <c r="A1089">
        <v>15</v>
      </c>
      <c r="B1089" s="9" t="s">
        <v>335</v>
      </c>
      <c r="C1089" s="3">
        <v>40215.746898148151</v>
      </c>
      <c r="D1089" s="9" t="s">
        <v>335</v>
      </c>
      <c r="E1089" t="str">
        <f t="shared" si="21"/>
        <v>'d963bf0'</v>
      </c>
      <c r="F1089" s="9" t="s">
        <v>335</v>
      </c>
      <c r="G1089" s="4">
        <v>4</v>
      </c>
      <c r="L1089" s="8" t="s">
        <v>2184</v>
      </c>
    </row>
    <row r="1090" spans="1:12">
      <c r="A1090">
        <v>16</v>
      </c>
      <c r="B1090" s="9" t="s">
        <v>335</v>
      </c>
      <c r="C1090" s="3">
        <v>40094.633460648147</v>
      </c>
      <c r="D1090" s="9" t="s">
        <v>335</v>
      </c>
      <c r="E1090" t="str">
        <f t="shared" si="21"/>
        <v>'8e32470'</v>
      </c>
      <c r="F1090" s="9" t="s">
        <v>335</v>
      </c>
      <c r="G1090" s="4">
        <v>1</v>
      </c>
      <c r="L1090" s="8" t="s">
        <v>2278</v>
      </c>
    </row>
    <row r="1091" spans="1:12">
      <c r="A1091">
        <v>16</v>
      </c>
      <c r="B1091" s="9" t="s">
        <v>335</v>
      </c>
      <c r="C1091" s="3">
        <v>40124.870578703703</v>
      </c>
      <c r="D1091" s="9" t="s">
        <v>335</v>
      </c>
      <c r="E1091" t="str">
        <f t="shared" si="21"/>
        <v>'34e73a2'</v>
      </c>
      <c r="F1091" s="9" t="s">
        <v>335</v>
      </c>
      <c r="G1091" s="4">
        <v>2</v>
      </c>
      <c r="L1091" s="8" t="s">
        <v>2050</v>
      </c>
    </row>
    <row r="1092" spans="1:12">
      <c r="A1092">
        <v>17</v>
      </c>
      <c r="B1092" s="9" t="s">
        <v>335</v>
      </c>
      <c r="C1092" s="3">
        <v>40094.622870370367</v>
      </c>
      <c r="D1092" s="9" t="s">
        <v>335</v>
      </c>
      <c r="E1092" t="str">
        <f t="shared" si="21"/>
        <v>'e92f586'</v>
      </c>
      <c r="F1092" s="9" t="s">
        <v>335</v>
      </c>
      <c r="G1092" s="4">
        <v>1</v>
      </c>
      <c r="L1092" s="8" t="s">
        <v>2277</v>
      </c>
    </row>
    <row r="1093" spans="1:12">
      <c r="A1093">
        <v>17</v>
      </c>
      <c r="B1093" s="9" t="s">
        <v>335</v>
      </c>
      <c r="C1093" s="3">
        <v>40139.901284722226</v>
      </c>
      <c r="D1093" s="9" t="s">
        <v>335</v>
      </c>
      <c r="E1093" t="str">
        <f t="shared" si="21"/>
        <v>'23f0c13'</v>
      </c>
      <c r="F1093" s="9" t="s">
        <v>335</v>
      </c>
      <c r="G1093" s="4">
        <v>2</v>
      </c>
      <c r="L1093" s="8" t="s">
        <v>2455</v>
      </c>
    </row>
    <row r="1094" spans="1:12">
      <c r="A1094">
        <v>17</v>
      </c>
      <c r="B1094" s="9" t="s">
        <v>335</v>
      </c>
      <c r="C1094" s="3">
        <v>40167.970138888886</v>
      </c>
      <c r="D1094" s="9" t="s">
        <v>335</v>
      </c>
      <c r="E1094" t="str">
        <f t="shared" si="21"/>
        <v>'b9627ca'</v>
      </c>
      <c r="F1094" s="9" t="s">
        <v>335</v>
      </c>
      <c r="G1094" s="4">
        <v>3</v>
      </c>
      <c r="L1094" s="8" t="s">
        <v>2065</v>
      </c>
    </row>
    <row r="1095" spans="1:12">
      <c r="A1095">
        <v>18</v>
      </c>
      <c r="B1095" s="9" t="s">
        <v>335</v>
      </c>
      <c r="C1095" s="3">
        <v>40124.619259259256</v>
      </c>
      <c r="D1095" s="9" t="s">
        <v>335</v>
      </c>
      <c r="E1095" t="str">
        <f t="shared" si="21"/>
        <v>'d541574'</v>
      </c>
      <c r="F1095" s="9" t="s">
        <v>335</v>
      </c>
      <c r="G1095" s="4">
        <v>1</v>
      </c>
      <c r="L1095" s="8" t="s">
        <v>2452</v>
      </c>
    </row>
    <row r="1096" spans="1:12">
      <c r="A1096">
        <v>19</v>
      </c>
      <c r="B1096" s="9" t="s">
        <v>335</v>
      </c>
      <c r="C1096" s="3">
        <v>40101.383993055555</v>
      </c>
      <c r="D1096" s="9" t="s">
        <v>335</v>
      </c>
      <c r="E1096" t="str">
        <f t="shared" si="21"/>
        <v>'9e8c01f'</v>
      </c>
      <c r="F1096" s="9" t="s">
        <v>335</v>
      </c>
      <c r="G1096" s="4">
        <v>1</v>
      </c>
      <c r="L1096" s="8" t="s">
        <v>2172</v>
      </c>
    </row>
    <row r="1097" spans="1:12">
      <c r="A1097">
        <v>19</v>
      </c>
      <c r="B1097" s="9" t="s">
        <v>335</v>
      </c>
      <c r="C1097" s="3">
        <v>40145.988321759258</v>
      </c>
      <c r="D1097" s="9" t="s">
        <v>335</v>
      </c>
      <c r="E1097" t="str">
        <f t="shared" si="21"/>
        <v>'ff868e6'</v>
      </c>
      <c r="F1097" s="9" t="s">
        <v>335</v>
      </c>
      <c r="G1097" s="4">
        <v>2</v>
      </c>
      <c r="L1097" s="8" t="s">
        <v>2155</v>
      </c>
    </row>
    <row r="1098" spans="1:12">
      <c r="A1098">
        <v>20</v>
      </c>
      <c r="B1098" s="9" t="s">
        <v>335</v>
      </c>
      <c r="C1098" s="3">
        <v>40153.947002314817</v>
      </c>
      <c r="D1098" s="9" t="s">
        <v>335</v>
      </c>
      <c r="E1098" t="str">
        <f t="shared" si="21"/>
        <v>'81ae3cd'</v>
      </c>
      <c r="F1098" s="9" t="s">
        <v>335</v>
      </c>
      <c r="G1098" s="4">
        <v>1</v>
      </c>
      <c r="L1098" s="8" t="s">
        <v>2370</v>
      </c>
    </row>
    <row r="1099" spans="1:12">
      <c r="A1099">
        <v>21</v>
      </c>
      <c r="B1099" s="9" t="s">
        <v>335</v>
      </c>
      <c r="C1099" s="3">
        <v>40135.90625</v>
      </c>
      <c r="D1099" s="9" t="s">
        <v>335</v>
      </c>
      <c r="E1099" t="str">
        <f t="shared" si="21"/>
        <v>'333f887'</v>
      </c>
      <c r="F1099" s="9" t="s">
        <v>335</v>
      </c>
      <c r="G1099" s="4">
        <v>1</v>
      </c>
      <c r="L1099" s="8" t="s">
        <v>2474</v>
      </c>
    </row>
    <row r="1100" spans="1:12">
      <c r="A1100">
        <v>21</v>
      </c>
      <c r="B1100" s="9" t="s">
        <v>335</v>
      </c>
      <c r="C1100" s="3">
        <v>40138.921886574077</v>
      </c>
      <c r="D1100" s="9" t="s">
        <v>335</v>
      </c>
      <c r="E1100" t="str">
        <f t="shared" si="21"/>
        <v>'a9a5a0d'</v>
      </c>
      <c r="F1100" s="9" t="s">
        <v>335</v>
      </c>
      <c r="G1100" s="4">
        <v>2</v>
      </c>
      <c r="L1100" s="8" t="s">
        <v>2454</v>
      </c>
    </row>
    <row r="1101" spans="1:12">
      <c r="A1101">
        <v>22</v>
      </c>
      <c r="B1101" s="9" t="s">
        <v>335</v>
      </c>
      <c r="C1101" s="3">
        <v>40124.543437499997</v>
      </c>
      <c r="D1101" s="9" t="s">
        <v>335</v>
      </c>
      <c r="E1101" t="str">
        <f t="shared" si="21"/>
        <v>'58e85f6'</v>
      </c>
      <c r="F1101" s="9" t="s">
        <v>335</v>
      </c>
      <c r="G1101" s="4">
        <v>1</v>
      </c>
      <c r="L1101" s="8" t="s">
        <v>2451</v>
      </c>
    </row>
    <row r="1103" spans="1:12">
      <c r="A1103">
        <v>1</v>
      </c>
      <c r="B1103" s="9" t="s">
        <v>335</v>
      </c>
      <c r="C1103" s="3">
        <v>37487.32545138889</v>
      </c>
      <c r="D1103" s="9" t="s">
        <v>335</v>
      </c>
      <c r="E1103" t="str">
        <f t="shared" ref="E1103:E1165" si="22">CONCATENATE("'",L1103,"'")</f>
        <v>'03d9e98'</v>
      </c>
      <c r="F1103" s="9" t="s">
        <v>335</v>
      </c>
      <c r="G1103" s="4">
        <v>1</v>
      </c>
      <c r="H1103" t="s">
        <v>3699</v>
      </c>
      <c r="L1103" s="8" t="s">
        <v>2442</v>
      </c>
    </row>
    <row r="1104" spans="1:12">
      <c r="A1104">
        <v>2</v>
      </c>
      <c r="B1104" s="9" t="s">
        <v>335</v>
      </c>
      <c r="C1104" s="3">
        <v>37448.233252314814</v>
      </c>
      <c r="D1104" s="9" t="s">
        <v>335</v>
      </c>
      <c r="E1104" t="str">
        <f t="shared" si="22"/>
        <v>'3deee5e'</v>
      </c>
      <c r="F1104" s="9" t="s">
        <v>335</v>
      </c>
      <c r="G1104" s="4">
        <v>1</v>
      </c>
      <c r="L1104" s="8" t="s">
        <v>2081</v>
      </c>
    </row>
    <row r="1105" spans="1:12">
      <c r="A1105">
        <v>3</v>
      </c>
      <c r="B1105" s="9" t="s">
        <v>335</v>
      </c>
      <c r="C1105" s="3">
        <v>37418.739247685182</v>
      </c>
      <c r="D1105" s="9" t="s">
        <v>335</v>
      </c>
      <c r="E1105" t="str">
        <f t="shared" si="22"/>
        <v>'7f830b7'</v>
      </c>
      <c r="F1105" s="9" t="s">
        <v>335</v>
      </c>
      <c r="G1105" s="4">
        <v>1</v>
      </c>
      <c r="L1105" s="8" t="s">
        <v>2508</v>
      </c>
    </row>
    <row r="1106" spans="1:12">
      <c r="A1106">
        <v>3</v>
      </c>
      <c r="B1106" s="9" t="s">
        <v>335</v>
      </c>
      <c r="C1106" s="3">
        <v>37448.256284722222</v>
      </c>
      <c r="D1106" s="9" t="s">
        <v>335</v>
      </c>
      <c r="E1106" t="str">
        <f t="shared" si="22"/>
        <v>'6700e35'</v>
      </c>
      <c r="F1106" s="9" t="s">
        <v>335</v>
      </c>
      <c r="G1106" s="4">
        <v>2</v>
      </c>
      <c r="L1106" s="8" t="s">
        <v>2251</v>
      </c>
    </row>
    <row r="1107" spans="1:12">
      <c r="A1107">
        <v>4</v>
      </c>
      <c r="B1107" s="9" t="s">
        <v>335</v>
      </c>
      <c r="C1107" s="3">
        <v>37427.202638888892</v>
      </c>
      <c r="D1107" s="9" t="s">
        <v>335</v>
      </c>
      <c r="E1107" t="str">
        <f t="shared" si="22"/>
        <v>'7f51080'</v>
      </c>
      <c r="F1107" s="9" t="s">
        <v>335</v>
      </c>
      <c r="G1107" s="4">
        <v>1</v>
      </c>
      <c r="L1107" s="8" t="s">
        <v>2280</v>
      </c>
    </row>
    <row r="1108" spans="1:12">
      <c r="A1108">
        <v>4</v>
      </c>
      <c r="B1108" s="9" t="s">
        <v>335</v>
      </c>
      <c r="C1108" s="3">
        <v>37504.269861111112</v>
      </c>
      <c r="D1108" s="9" t="s">
        <v>335</v>
      </c>
      <c r="E1108" t="str">
        <f t="shared" si="22"/>
        <v>'83d0579'</v>
      </c>
      <c r="F1108" s="9" t="s">
        <v>335</v>
      </c>
      <c r="G1108" s="4">
        <v>2</v>
      </c>
      <c r="L1108" s="8" t="s">
        <v>2420</v>
      </c>
    </row>
    <row r="1109" spans="1:12">
      <c r="A1109">
        <v>5</v>
      </c>
      <c r="B1109" s="9" t="s">
        <v>335</v>
      </c>
      <c r="C1109" s="3">
        <v>37512.584930555553</v>
      </c>
      <c r="D1109" s="9" t="s">
        <v>335</v>
      </c>
      <c r="E1109" t="str">
        <f t="shared" si="22"/>
        <v>'478d307'</v>
      </c>
      <c r="F1109" s="9" t="s">
        <v>335</v>
      </c>
      <c r="G1109" s="4">
        <v>1</v>
      </c>
      <c r="L1109" s="8" t="s">
        <v>2423</v>
      </c>
    </row>
    <row r="1110" spans="1:12">
      <c r="A1110">
        <v>6</v>
      </c>
      <c r="B1110" s="9" t="s">
        <v>335</v>
      </c>
      <c r="C1110" s="3">
        <v>37445.761805555558</v>
      </c>
      <c r="D1110" s="9" t="s">
        <v>335</v>
      </c>
      <c r="E1110" t="str">
        <f t="shared" si="22"/>
        <v>'0fcc65b'</v>
      </c>
      <c r="F1110" s="9" t="s">
        <v>335</v>
      </c>
      <c r="G1110" s="4">
        <v>1</v>
      </c>
      <c r="L1110" s="8" t="s">
        <v>2433</v>
      </c>
    </row>
    <row r="1111" spans="1:12">
      <c r="A1111">
        <v>7</v>
      </c>
      <c r="B1111" s="9" t="s">
        <v>335</v>
      </c>
      <c r="C1111" s="3">
        <v>37473.935243055559</v>
      </c>
      <c r="D1111" s="9" t="s">
        <v>335</v>
      </c>
      <c r="E1111" t="str">
        <f t="shared" si="22"/>
        <v>'e55ac0f'</v>
      </c>
      <c r="F1111" s="9" t="s">
        <v>335</v>
      </c>
      <c r="G1111" s="4">
        <v>1</v>
      </c>
      <c r="L1111" s="8" t="s">
        <v>2164</v>
      </c>
    </row>
    <row r="1112" spans="1:12">
      <c r="A1112">
        <v>7</v>
      </c>
      <c r="B1112" s="9" t="s">
        <v>335</v>
      </c>
      <c r="C1112" s="3">
        <v>37495.478148148148</v>
      </c>
      <c r="D1112" s="9" t="s">
        <v>335</v>
      </c>
      <c r="E1112" t="str">
        <f t="shared" si="22"/>
        <v>'dcbc17c'</v>
      </c>
      <c r="F1112" s="9" t="s">
        <v>335</v>
      </c>
      <c r="G1112" s="4">
        <v>2</v>
      </c>
      <c r="L1112" s="8" t="s">
        <v>2353</v>
      </c>
    </row>
    <row r="1113" spans="1:12">
      <c r="A1113">
        <v>8</v>
      </c>
      <c r="B1113" s="9" t="s">
        <v>335</v>
      </c>
      <c r="C1113" s="3">
        <v>37421.066805555558</v>
      </c>
      <c r="D1113" s="9" t="s">
        <v>335</v>
      </c>
      <c r="E1113" t="str">
        <f t="shared" si="22"/>
        <v>'218ab4d'</v>
      </c>
      <c r="F1113" s="9" t="s">
        <v>335</v>
      </c>
      <c r="G1113" s="4">
        <v>1</v>
      </c>
      <c r="L1113" s="8" t="s">
        <v>2018</v>
      </c>
    </row>
    <row r="1114" spans="1:12">
      <c r="A1114">
        <v>8</v>
      </c>
      <c r="B1114" s="9" t="s">
        <v>335</v>
      </c>
      <c r="C1114" s="3">
        <v>37421.601134259261</v>
      </c>
      <c r="D1114" s="9" t="s">
        <v>335</v>
      </c>
      <c r="E1114" t="str">
        <f t="shared" si="22"/>
        <v>'f808df7'</v>
      </c>
      <c r="F1114" s="9" t="s">
        <v>335</v>
      </c>
      <c r="G1114" s="4">
        <v>2</v>
      </c>
      <c r="L1114" s="8" t="s">
        <v>2374</v>
      </c>
    </row>
    <row r="1115" spans="1:12">
      <c r="A1115">
        <v>8</v>
      </c>
      <c r="B1115" s="9" t="s">
        <v>335</v>
      </c>
      <c r="C1115" s="3">
        <v>37425.132430555554</v>
      </c>
      <c r="D1115" s="9" t="s">
        <v>335</v>
      </c>
      <c r="E1115" t="str">
        <f t="shared" si="22"/>
        <v>'f9aa124'</v>
      </c>
      <c r="F1115" s="9" t="s">
        <v>335</v>
      </c>
      <c r="G1115" s="4">
        <v>3</v>
      </c>
      <c r="L1115" s="8" t="s">
        <v>2514</v>
      </c>
    </row>
    <row r="1116" spans="1:12">
      <c r="A1116">
        <v>8</v>
      </c>
      <c r="B1116" s="9" t="s">
        <v>335</v>
      </c>
      <c r="C1116" s="3">
        <v>37425.846817129626</v>
      </c>
      <c r="D1116" s="9" t="s">
        <v>335</v>
      </c>
      <c r="E1116" t="str">
        <f t="shared" si="22"/>
        <v>'8f8cf39'</v>
      </c>
      <c r="F1116" s="9" t="s">
        <v>335</v>
      </c>
      <c r="G1116" s="4">
        <v>4</v>
      </c>
      <c r="L1116" s="8" t="s">
        <v>1977</v>
      </c>
    </row>
    <row r="1117" spans="1:12">
      <c r="A1117">
        <v>8</v>
      </c>
      <c r="B1117" s="9" t="s">
        <v>335</v>
      </c>
      <c r="C1117" s="3">
        <v>37426.522962962961</v>
      </c>
      <c r="D1117" s="9" t="s">
        <v>335</v>
      </c>
      <c r="E1117" t="str">
        <f t="shared" si="22"/>
        <v>'dd9bbc5'</v>
      </c>
      <c r="F1117" s="9" t="s">
        <v>335</v>
      </c>
      <c r="G1117" s="4">
        <v>5</v>
      </c>
      <c r="L1117" s="8" t="s">
        <v>2531</v>
      </c>
    </row>
    <row r="1118" spans="1:12">
      <c r="A1118">
        <v>8</v>
      </c>
      <c r="B1118" s="9" t="s">
        <v>335</v>
      </c>
      <c r="C1118" s="3">
        <v>37426.588136574072</v>
      </c>
      <c r="D1118" s="9" t="s">
        <v>335</v>
      </c>
      <c r="E1118" t="str">
        <f t="shared" si="22"/>
        <v>'5fcb245'</v>
      </c>
      <c r="F1118" s="9" t="s">
        <v>335</v>
      </c>
      <c r="G1118" s="4">
        <v>6</v>
      </c>
      <c r="L1118" s="8" t="s">
        <v>2289</v>
      </c>
    </row>
    <row r="1119" spans="1:12">
      <c r="A1119">
        <v>8</v>
      </c>
      <c r="B1119" s="9" t="s">
        <v>335</v>
      </c>
      <c r="C1119" s="3">
        <v>37427.702337962961</v>
      </c>
      <c r="D1119" s="9" t="s">
        <v>335</v>
      </c>
      <c r="E1119" t="str">
        <f t="shared" si="22"/>
        <v>'109cdaf'</v>
      </c>
      <c r="F1119" s="9" t="s">
        <v>335</v>
      </c>
      <c r="G1119" s="4">
        <v>7</v>
      </c>
      <c r="L1119" s="8" t="s">
        <v>2263</v>
      </c>
    </row>
    <row r="1120" spans="1:12">
      <c r="A1120">
        <v>8</v>
      </c>
      <c r="B1120" s="9" t="s">
        <v>335</v>
      </c>
      <c r="C1120" s="3">
        <v>37427.759386574071</v>
      </c>
      <c r="D1120" s="9" t="s">
        <v>335</v>
      </c>
      <c r="E1120" t="str">
        <f t="shared" si="22"/>
        <v>'b132d76'</v>
      </c>
      <c r="F1120" s="9" t="s">
        <v>335</v>
      </c>
      <c r="G1120" s="4">
        <v>8</v>
      </c>
      <c r="L1120" s="8" t="s">
        <v>2186</v>
      </c>
    </row>
    <row r="1121" spans="1:12">
      <c r="A1121">
        <v>8</v>
      </c>
      <c r="B1121" s="9" t="s">
        <v>335</v>
      </c>
      <c r="C1121" s="3">
        <v>37428.029791666668</v>
      </c>
      <c r="D1121" s="9" t="s">
        <v>335</v>
      </c>
      <c r="E1121" t="str">
        <f t="shared" si="22"/>
        <v>'0e96520'</v>
      </c>
      <c r="F1121" s="9" t="s">
        <v>335</v>
      </c>
      <c r="G1121" s="4">
        <v>9</v>
      </c>
      <c r="L1121" s="8" t="s">
        <v>2271</v>
      </c>
    </row>
    <row r="1122" spans="1:12">
      <c r="A1122">
        <v>8</v>
      </c>
      <c r="B1122" s="9" t="s">
        <v>335</v>
      </c>
      <c r="C1122" s="3">
        <v>37428.551365740743</v>
      </c>
      <c r="D1122" s="9" t="s">
        <v>335</v>
      </c>
      <c r="E1122" t="str">
        <f t="shared" si="22"/>
        <v>'f871171'</v>
      </c>
      <c r="F1122" s="9" t="s">
        <v>335</v>
      </c>
      <c r="G1122" s="4">
        <v>10</v>
      </c>
      <c r="L1122" s="8" t="s">
        <v>2034</v>
      </c>
    </row>
    <row r="1123" spans="1:12">
      <c r="A1123">
        <v>8</v>
      </c>
      <c r="B1123" s="9" t="s">
        <v>335</v>
      </c>
      <c r="C1123" s="3">
        <v>37435.55228009259</v>
      </c>
      <c r="D1123" s="9" t="s">
        <v>335</v>
      </c>
      <c r="E1123" t="str">
        <f t="shared" si="22"/>
        <v>'1a95e36'</v>
      </c>
      <c r="F1123" s="9" t="s">
        <v>335</v>
      </c>
      <c r="G1123" s="4">
        <v>11</v>
      </c>
      <c r="L1123" s="8" t="s">
        <v>2311</v>
      </c>
    </row>
    <row r="1124" spans="1:12">
      <c r="A1124">
        <v>8</v>
      </c>
      <c r="B1124" s="9" t="s">
        <v>335</v>
      </c>
      <c r="C1124" s="3">
        <v>37446.012372685182</v>
      </c>
      <c r="D1124" s="9" t="s">
        <v>335</v>
      </c>
      <c r="E1124" t="str">
        <f t="shared" si="22"/>
        <v>'b138723'</v>
      </c>
      <c r="F1124" s="9" t="s">
        <v>335</v>
      </c>
      <c r="G1124" s="4">
        <v>12</v>
      </c>
      <c r="L1124" s="8" t="s">
        <v>2249</v>
      </c>
    </row>
    <row r="1125" spans="1:12">
      <c r="A1125">
        <v>8</v>
      </c>
      <c r="B1125" s="9" t="s">
        <v>335</v>
      </c>
      <c r="C1125" s="3">
        <v>37446.689062500001</v>
      </c>
      <c r="D1125" s="9" t="s">
        <v>335</v>
      </c>
      <c r="E1125" t="str">
        <f t="shared" si="22"/>
        <v>'2032ff0'</v>
      </c>
      <c r="F1125" s="9" t="s">
        <v>335</v>
      </c>
      <c r="G1125" s="4">
        <v>13</v>
      </c>
      <c r="L1125" s="8" t="s">
        <v>2541</v>
      </c>
    </row>
    <row r="1126" spans="1:12">
      <c r="A1126">
        <v>8</v>
      </c>
      <c r="B1126" s="9" t="s">
        <v>335</v>
      </c>
      <c r="C1126" s="3">
        <v>37447.165949074071</v>
      </c>
      <c r="D1126" s="9" t="s">
        <v>335</v>
      </c>
      <c r="E1126" t="str">
        <f t="shared" si="22"/>
        <v>'317cb13'</v>
      </c>
      <c r="F1126" s="9" t="s">
        <v>335</v>
      </c>
      <c r="G1126" s="4">
        <v>14</v>
      </c>
      <c r="L1126" s="8" t="s">
        <v>2465</v>
      </c>
    </row>
    <row r="1127" spans="1:12">
      <c r="A1127">
        <v>8</v>
      </c>
      <c r="B1127" s="9" t="s">
        <v>335</v>
      </c>
      <c r="C1127" s="3">
        <v>37450.007025462961</v>
      </c>
      <c r="D1127" s="9" t="s">
        <v>335</v>
      </c>
      <c r="E1127" t="str">
        <f t="shared" si="22"/>
        <v>'dd99735'</v>
      </c>
      <c r="F1127" s="9" t="s">
        <v>335</v>
      </c>
      <c r="G1127" s="4">
        <v>15</v>
      </c>
      <c r="L1127" s="8" t="s">
        <v>2468</v>
      </c>
    </row>
    <row r="1128" spans="1:12">
      <c r="A1128">
        <v>8</v>
      </c>
      <c r="B1128" s="9" t="s">
        <v>335</v>
      </c>
      <c r="C1128" s="3">
        <v>37452.169340277775</v>
      </c>
      <c r="D1128" s="9" t="s">
        <v>335</v>
      </c>
      <c r="E1128" t="str">
        <f t="shared" si="22"/>
        <v>'ed11042'</v>
      </c>
      <c r="F1128" s="9" t="s">
        <v>335</v>
      </c>
      <c r="G1128" s="4">
        <v>16</v>
      </c>
      <c r="L1128" s="8" t="s">
        <v>2350</v>
      </c>
    </row>
    <row r="1129" spans="1:12">
      <c r="A1129">
        <v>8</v>
      </c>
      <c r="B1129" s="9" t="s">
        <v>335</v>
      </c>
      <c r="C1129" s="3">
        <v>37453.759606481479</v>
      </c>
      <c r="D1129" s="9" t="s">
        <v>335</v>
      </c>
      <c r="E1129" t="str">
        <f t="shared" si="22"/>
        <v>'cc1c1d2'</v>
      </c>
      <c r="F1129" s="9" t="s">
        <v>335</v>
      </c>
      <c r="G1129" s="4">
        <v>17</v>
      </c>
      <c r="L1129" s="8" t="s">
        <v>2115</v>
      </c>
    </row>
    <row r="1130" spans="1:12">
      <c r="A1130">
        <v>8</v>
      </c>
      <c r="B1130" s="9" t="s">
        <v>335</v>
      </c>
      <c r="C1130" s="3">
        <v>37454.133252314816</v>
      </c>
      <c r="D1130" s="9" t="s">
        <v>335</v>
      </c>
      <c r="E1130" t="str">
        <f t="shared" si="22"/>
        <v>'5d20095'</v>
      </c>
      <c r="F1130" s="9" t="s">
        <v>335</v>
      </c>
      <c r="G1130" s="4">
        <v>18</v>
      </c>
      <c r="L1130" s="8" t="s">
        <v>2118</v>
      </c>
    </row>
    <row r="1131" spans="1:12">
      <c r="A1131">
        <v>8</v>
      </c>
      <c r="B1131" s="9" t="s">
        <v>335</v>
      </c>
      <c r="C1131" s="3">
        <v>37454.517812500002</v>
      </c>
      <c r="D1131" s="9" t="s">
        <v>335</v>
      </c>
      <c r="E1131" t="str">
        <f t="shared" si="22"/>
        <v>'9d45c60'</v>
      </c>
      <c r="F1131" s="9" t="s">
        <v>335</v>
      </c>
      <c r="G1131" s="4">
        <v>19</v>
      </c>
      <c r="L1131" s="8" t="s">
        <v>2533</v>
      </c>
    </row>
    <row r="1132" spans="1:12">
      <c r="A1132">
        <v>8</v>
      </c>
      <c r="B1132" s="9" t="s">
        <v>335</v>
      </c>
      <c r="C1132" s="3">
        <v>37454.685115740744</v>
      </c>
      <c r="D1132" s="9" t="s">
        <v>335</v>
      </c>
      <c r="E1132" t="str">
        <f t="shared" si="22"/>
        <v>'811b48f'</v>
      </c>
      <c r="F1132" s="9" t="s">
        <v>335</v>
      </c>
      <c r="G1132" s="4">
        <v>20</v>
      </c>
      <c r="L1132" s="8" t="s">
        <v>2396</v>
      </c>
    </row>
    <row r="1133" spans="1:12">
      <c r="A1133">
        <v>8</v>
      </c>
      <c r="B1133" s="9" t="s">
        <v>335</v>
      </c>
      <c r="C1133" s="3">
        <v>37455.195983796293</v>
      </c>
      <c r="D1133" s="9" t="s">
        <v>335</v>
      </c>
      <c r="E1133" t="str">
        <f t="shared" si="22"/>
        <v>'65fe0b2'</v>
      </c>
      <c r="F1133" s="9" t="s">
        <v>335</v>
      </c>
      <c r="G1133" s="4">
        <v>21</v>
      </c>
      <c r="L1133" s="8" t="s">
        <v>2378</v>
      </c>
    </row>
    <row r="1134" spans="1:12">
      <c r="A1134">
        <v>8</v>
      </c>
      <c r="B1134" s="9" t="s">
        <v>335</v>
      </c>
      <c r="C1134" s="3">
        <v>37455.922592592593</v>
      </c>
      <c r="D1134" s="9" t="s">
        <v>335</v>
      </c>
      <c r="E1134" t="str">
        <f t="shared" si="22"/>
        <v>'147da4b'</v>
      </c>
      <c r="F1134" s="9" t="s">
        <v>335</v>
      </c>
      <c r="G1134" s="4">
        <v>22</v>
      </c>
      <c r="L1134" s="8" t="s">
        <v>2001</v>
      </c>
    </row>
    <row r="1135" spans="1:12">
      <c r="A1135">
        <v>8</v>
      </c>
      <c r="B1135" s="9" t="s">
        <v>335</v>
      </c>
      <c r="C1135" s="3">
        <v>37456.032847222225</v>
      </c>
      <c r="D1135" s="9" t="s">
        <v>335</v>
      </c>
      <c r="E1135" t="str">
        <f t="shared" si="22"/>
        <v>'6b490b4'</v>
      </c>
      <c r="F1135" s="9" t="s">
        <v>335</v>
      </c>
      <c r="G1135" s="4">
        <v>23</v>
      </c>
      <c r="L1135" s="8" t="s">
        <v>2020</v>
      </c>
    </row>
    <row r="1136" spans="1:12">
      <c r="A1136">
        <v>8</v>
      </c>
      <c r="B1136" s="9" t="s">
        <v>335</v>
      </c>
      <c r="C1136" s="3">
        <v>37498.4143287037</v>
      </c>
      <c r="D1136" s="9" t="s">
        <v>335</v>
      </c>
      <c r="E1136" t="str">
        <f t="shared" si="22"/>
        <v>'cfc8a80'</v>
      </c>
      <c r="F1136" s="9" t="s">
        <v>335</v>
      </c>
      <c r="G1136" s="4">
        <v>24</v>
      </c>
      <c r="L1136" s="8" t="s">
        <v>2314</v>
      </c>
    </row>
    <row r="1137" spans="1:12">
      <c r="A1137">
        <v>9</v>
      </c>
      <c r="B1137" s="9" t="s">
        <v>335</v>
      </c>
      <c r="C1137" s="3">
        <v>37422.992673611108</v>
      </c>
      <c r="D1137" s="9" t="s">
        <v>335</v>
      </c>
      <c r="E1137" t="str">
        <f t="shared" si="22"/>
        <v>'d5d4ec9'</v>
      </c>
      <c r="F1137" s="9" t="s">
        <v>335</v>
      </c>
      <c r="G1137" s="4">
        <v>1</v>
      </c>
      <c r="L1137" s="8" t="s">
        <v>2417</v>
      </c>
    </row>
    <row r="1138" spans="1:12">
      <c r="A1138">
        <v>9</v>
      </c>
      <c r="B1138" s="9" t="s">
        <v>335</v>
      </c>
      <c r="C1138" s="3">
        <v>37425.730358796296</v>
      </c>
      <c r="D1138" s="9" t="s">
        <v>335</v>
      </c>
      <c r="E1138" t="str">
        <f t="shared" si="22"/>
        <v>'6ebe41a'</v>
      </c>
      <c r="F1138" s="9" t="s">
        <v>335</v>
      </c>
      <c r="G1138" s="4">
        <v>2</v>
      </c>
      <c r="L1138" s="8" t="s">
        <v>2393</v>
      </c>
    </row>
    <row r="1139" spans="1:12">
      <c r="A1139">
        <v>10</v>
      </c>
      <c r="B1139" s="9" t="s">
        <v>335</v>
      </c>
      <c r="C1139" s="3">
        <v>37418.671689814815</v>
      </c>
      <c r="D1139" s="9" t="s">
        <v>335</v>
      </c>
      <c r="E1139" t="str">
        <f t="shared" si="22"/>
        <v>'5d8c5f6'</v>
      </c>
      <c r="F1139" s="9" t="s">
        <v>335</v>
      </c>
      <c r="G1139" s="4">
        <v>1</v>
      </c>
      <c r="L1139" s="8" t="s">
        <v>2507</v>
      </c>
    </row>
    <row r="1140" spans="1:12">
      <c r="A1140">
        <v>10</v>
      </c>
      <c r="B1140" s="9" t="s">
        <v>335</v>
      </c>
      <c r="C1140" s="3">
        <v>37419.467546296299</v>
      </c>
      <c r="D1140" s="9" t="s">
        <v>335</v>
      </c>
      <c r="E1140" t="str">
        <f t="shared" si="22"/>
        <v>'3bef992'</v>
      </c>
      <c r="F1140" s="9" t="s">
        <v>335</v>
      </c>
      <c r="G1140" s="4">
        <v>2</v>
      </c>
      <c r="L1140" s="8" t="s">
        <v>2017</v>
      </c>
    </row>
    <row r="1141" spans="1:12">
      <c r="A1141">
        <v>10</v>
      </c>
      <c r="B1141" s="9" t="s">
        <v>335</v>
      </c>
      <c r="C1141" s="3">
        <v>37421.358796296299</v>
      </c>
      <c r="D1141" s="9" t="s">
        <v>335</v>
      </c>
      <c r="E1141" t="str">
        <f t="shared" si="22"/>
        <v>'b9e06e2'</v>
      </c>
      <c r="F1141" s="9" t="s">
        <v>335</v>
      </c>
      <c r="G1141" s="4">
        <v>3</v>
      </c>
      <c r="L1141" s="8" t="s">
        <v>2373</v>
      </c>
    </row>
    <row r="1142" spans="1:12">
      <c r="A1142">
        <v>10</v>
      </c>
      <c r="B1142" s="9" t="s">
        <v>335</v>
      </c>
      <c r="C1142" s="3">
        <v>37421.719189814816</v>
      </c>
      <c r="D1142" s="9" t="s">
        <v>335</v>
      </c>
      <c r="E1142" t="str">
        <f t="shared" si="22"/>
        <v>'a1c9140'</v>
      </c>
      <c r="F1142" s="9" t="s">
        <v>335</v>
      </c>
      <c r="G1142" s="4">
        <v>4</v>
      </c>
      <c r="L1142" s="8" t="s">
        <v>2416</v>
      </c>
    </row>
    <row r="1143" spans="1:12">
      <c r="A1143">
        <v>10</v>
      </c>
      <c r="B1143" s="9" t="s">
        <v>335</v>
      </c>
      <c r="C1143" s="3">
        <v>37423.693738425929</v>
      </c>
      <c r="D1143" s="9" t="s">
        <v>335</v>
      </c>
      <c r="E1143" t="str">
        <f t="shared" si="22"/>
        <v>'4b069b4'</v>
      </c>
      <c r="F1143" s="9" t="s">
        <v>335</v>
      </c>
      <c r="G1143" s="4">
        <v>5</v>
      </c>
      <c r="L1143" s="8" t="s">
        <v>2391</v>
      </c>
    </row>
    <row r="1144" spans="1:12">
      <c r="A1144">
        <v>10</v>
      </c>
      <c r="B1144" s="9" t="s">
        <v>335</v>
      </c>
      <c r="C1144" s="3">
        <v>37424.529039351852</v>
      </c>
      <c r="D1144" s="9" t="s">
        <v>335</v>
      </c>
      <c r="E1144" t="str">
        <f t="shared" si="22"/>
        <v>'aca0dac'</v>
      </c>
      <c r="F1144" s="9" t="s">
        <v>335</v>
      </c>
      <c r="G1144" s="4">
        <v>6</v>
      </c>
      <c r="L1144" s="8" t="s">
        <v>2510</v>
      </c>
    </row>
    <row r="1145" spans="1:12">
      <c r="A1145">
        <v>10</v>
      </c>
      <c r="B1145" s="9" t="s">
        <v>335</v>
      </c>
      <c r="C1145" s="3">
        <v>37425.293842592589</v>
      </c>
      <c r="D1145" s="9" t="s">
        <v>335</v>
      </c>
      <c r="E1145" t="str">
        <f t="shared" si="22"/>
        <v>'755e775'</v>
      </c>
      <c r="F1145" s="9" t="s">
        <v>335</v>
      </c>
      <c r="G1145" s="4">
        <v>7</v>
      </c>
      <c r="L1145" s="8" t="s">
        <v>2515</v>
      </c>
    </row>
    <row r="1146" spans="1:12">
      <c r="A1146">
        <v>10</v>
      </c>
      <c r="B1146" s="9" t="s">
        <v>335</v>
      </c>
      <c r="C1146" s="3">
        <v>37425.385011574072</v>
      </c>
      <c r="D1146" s="9" t="s">
        <v>335</v>
      </c>
      <c r="E1146" t="str">
        <f t="shared" si="22"/>
        <v>'01e6739'</v>
      </c>
      <c r="F1146" s="9" t="s">
        <v>335</v>
      </c>
      <c r="G1146" s="4">
        <v>8</v>
      </c>
      <c r="L1146" s="8" t="s">
        <v>1976</v>
      </c>
    </row>
    <row r="1147" spans="1:12">
      <c r="A1147">
        <v>10</v>
      </c>
      <c r="B1147" s="9" t="s">
        <v>335</v>
      </c>
      <c r="C1147" s="3">
        <v>37426.510092592594</v>
      </c>
      <c r="D1147" s="9" t="s">
        <v>335</v>
      </c>
      <c r="E1147" t="str">
        <f t="shared" si="22"/>
        <v>'0226bbd'</v>
      </c>
      <c r="F1147" s="9" t="s">
        <v>335</v>
      </c>
      <c r="G1147" s="4">
        <v>9</v>
      </c>
      <c r="L1147" s="8" t="s">
        <v>2288</v>
      </c>
    </row>
    <row r="1148" spans="1:12">
      <c r="A1148">
        <v>10</v>
      </c>
      <c r="B1148" s="9" t="s">
        <v>335</v>
      </c>
      <c r="C1148" s="3">
        <v>37426.868680555555</v>
      </c>
      <c r="D1148" s="9" t="s">
        <v>335</v>
      </c>
      <c r="E1148" t="str">
        <f t="shared" si="22"/>
        <v>'86e05cf'</v>
      </c>
      <c r="F1148" s="9" t="s">
        <v>335</v>
      </c>
      <c r="G1148" s="4">
        <v>10</v>
      </c>
      <c r="L1148" s="8" t="s">
        <v>1996</v>
      </c>
    </row>
    <row r="1149" spans="1:12">
      <c r="A1149">
        <v>10</v>
      </c>
      <c r="B1149" s="9" t="s">
        <v>335</v>
      </c>
      <c r="C1149" s="3">
        <v>37427.70417824074</v>
      </c>
      <c r="D1149" s="9" t="s">
        <v>335</v>
      </c>
      <c r="E1149" t="str">
        <f t="shared" si="22"/>
        <v>'a33cf58'</v>
      </c>
      <c r="F1149" s="9" t="s">
        <v>335</v>
      </c>
      <c r="G1149" s="4">
        <v>11</v>
      </c>
      <c r="L1149" s="8" t="s">
        <v>2264</v>
      </c>
    </row>
    <row r="1150" spans="1:12">
      <c r="A1150">
        <v>10</v>
      </c>
      <c r="B1150" s="9" t="s">
        <v>335</v>
      </c>
      <c r="C1150" s="3">
        <v>37427.836122685185</v>
      </c>
      <c r="D1150" s="9" t="s">
        <v>335</v>
      </c>
      <c r="E1150" t="str">
        <f t="shared" si="22"/>
        <v>'2dc2558'</v>
      </c>
      <c r="F1150" s="9" t="s">
        <v>335</v>
      </c>
      <c r="G1150" s="4">
        <v>12</v>
      </c>
      <c r="L1150" s="8" t="s">
        <v>2187</v>
      </c>
    </row>
    <row r="1151" spans="1:12">
      <c r="A1151">
        <v>10</v>
      </c>
      <c r="B1151" s="9" t="s">
        <v>335</v>
      </c>
      <c r="C1151" s="3">
        <v>37428.365937499999</v>
      </c>
      <c r="D1151" s="9" t="s">
        <v>335</v>
      </c>
      <c r="E1151" t="str">
        <f t="shared" si="22"/>
        <v>'00f5185'</v>
      </c>
      <c r="F1151" s="9" t="s">
        <v>335</v>
      </c>
      <c r="G1151" s="4">
        <v>13</v>
      </c>
      <c r="L1151" s="8" t="s">
        <v>2272</v>
      </c>
    </row>
    <row r="1152" spans="1:12">
      <c r="A1152">
        <v>10</v>
      </c>
      <c r="B1152" s="9" t="s">
        <v>335</v>
      </c>
      <c r="C1152" s="3">
        <v>37428.562581018516</v>
      </c>
      <c r="D1152" s="9" t="s">
        <v>335</v>
      </c>
      <c r="E1152" t="str">
        <f t="shared" si="22"/>
        <v>'0111df8'</v>
      </c>
      <c r="F1152" s="9" t="s">
        <v>335</v>
      </c>
      <c r="G1152" s="4">
        <v>14</v>
      </c>
      <c r="L1152" s="8" t="s">
        <v>2035</v>
      </c>
    </row>
    <row r="1153" spans="1:12">
      <c r="A1153">
        <v>10</v>
      </c>
      <c r="B1153" s="9" t="s">
        <v>335</v>
      </c>
      <c r="C1153" s="3">
        <v>37428.589895833335</v>
      </c>
      <c r="D1153" s="9" t="s">
        <v>335</v>
      </c>
      <c r="E1153" t="str">
        <f t="shared" si="22"/>
        <v>'318c11d'</v>
      </c>
      <c r="F1153" s="9" t="s">
        <v>335</v>
      </c>
      <c r="G1153" s="4">
        <v>15</v>
      </c>
      <c r="L1153" s="8" t="s">
        <v>2310</v>
      </c>
    </row>
    <row r="1154" spans="1:12">
      <c r="A1154">
        <v>10</v>
      </c>
      <c r="B1154" s="9" t="s">
        <v>335</v>
      </c>
      <c r="C1154" s="3">
        <v>37435.7497337963</v>
      </c>
      <c r="D1154" s="9" t="s">
        <v>335</v>
      </c>
      <c r="E1154" t="str">
        <f t="shared" si="22"/>
        <v>'3e71143'</v>
      </c>
      <c r="F1154" s="9" t="s">
        <v>335</v>
      </c>
      <c r="G1154" s="4">
        <v>16</v>
      </c>
      <c r="L1154" s="8" t="s">
        <v>2160</v>
      </c>
    </row>
    <row r="1155" spans="1:12">
      <c r="A1155">
        <v>10</v>
      </c>
      <c r="B1155" s="9" t="s">
        <v>335</v>
      </c>
      <c r="C1155" s="3">
        <v>37442.295601851853</v>
      </c>
      <c r="D1155" s="9" t="s">
        <v>335</v>
      </c>
      <c r="E1155" t="str">
        <f t="shared" si="22"/>
        <v>'c5427a3'</v>
      </c>
      <c r="F1155" s="9" t="s">
        <v>335</v>
      </c>
      <c r="G1155" s="4">
        <v>17</v>
      </c>
      <c r="L1155" s="8" t="s">
        <v>2037</v>
      </c>
    </row>
    <row r="1156" spans="1:12">
      <c r="A1156">
        <v>10</v>
      </c>
      <c r="B1156" s="9" t="s">
        <v>335</v>
      </c>
      <c r="C1156" s="3">
        <v>37443.29446759259</v>
      </c>
      <c r="D1156" s="9" t="s">
        <v>335</v>
      </c>
      <c r="E1156" t="str">
        <f t="shared" si="22"/>
        <v>'d8d621e'</v>
      </c>
      <c r="F1156" s="9" t="s">
        <v>335</v>
      </c>
      <c r="G1156" s="4">
        <v>18</v>
      </c>
      <c r="L1156" s="8" t="s">
        <v>2248</v>
      </c>
    </row>
    <row r="1157" spans="1:12">
      <c r="A1157">
        <v>10</v>
      </c>
      <c r="B1157" s="9" t="s">
        <v>335</v>
      </c>
      <c r="C1157" s="3">
        <v>37446.570902777778</v>
      </c>
      <c r="D1157" s="9" t="s">
        <v>335</v>
      </c>
      <c r="E1157" t="str">
        <f t="shared" si="22"/>
        <v>'2a6fd44'</v>
      </c>
      <c r="F1157" s="9" t="s">
        <v>335</v>
      </c>
      <c r="G1157" s="4">
        <v>19</v>
      </c>
      <c r="L1157" s="8" t="s">
        <v>2434</v>
      </c>
    </row>
    <row r="1158" spans="1:12">
      <c r="A1158">
        <v>10</v>
      </c>
      <c r="B1158" s="9" t="s">
        <v>335</v>
      </c>
      <c r="C1158" s="3">
        <v>37446.717835648145</v>
      </c>
      <c r="D1158" s="9" t="s">
        <v>335</v>
      </c>
      <c r="E1158" t="str">
        <f t="shared" si="22"/>
        <v>'30ef332'</v>
      </c>
      <c r="F1158" s="9" t="s">
        <v>335</v>
      </c>
      <c r="G1158" s="4">
        <v>20</v>
      </c>
      <c r="L1158" s="8" t="s">
        <v>2464</v>
      </c>
    </row>
    <row r="1159" spans="1:12">
      <c r="A1159">
        <v>10</v>
      </c>
      <c r="B1159" s="9" t="s">
        <v>335</v>
      </c>
      <c r="C1159" s="3">
        <v>37447.290821759256</v>
      </c>
      <c r="D1159" s="9" t="s">
        <v>335</v>
      </c>
      <c r="E1159" t="str">
        <f t="shared" si="22"/>
        <v>'3e37c67'</v>
      </c>
      <c r="F1159" s="9" t="s">
        <v>335</v>
      </c>
      <c r="G1159" s="4">
        <v>21</v>
      </c>
      <c r="L1159" s="8" t="s">
        <v>2080</v>
      </c>
    </row>
    <row r="1160" spans="1:12">
      <c r="A1160">
        <v>10</v>
      </c>
      <c r="B1160" s="9" t="s">
        <v>335</v>
      </c>
      <c r="C1160" s="3">
        <v>37448.386643518519</v>
      </c>
      <c r="D1160" s="9" t="s">
        <v>335</v>
      </c>
      <c r="E1160" t="str">
        <f t="shared" si="22"/>
        <v>'4ec2216'</v>
      </c>
      <c r="F1160" s="9" t="s">
        <v>335</v>
      </c>
      <c r="G1160" s="4">
        <v>22</v>
      </c>
      <c r="L1160" s="8" t="s">
        <v>2252</v>
      </c>
    </row>
    <row r="1161" spans="1:12">
      <c r="A1161">
        <v>10</v>
      </c>
      <c r="B1161" s="9" t="s">
        <v>335</v>
      </c>
      <c r="C1161" s="3">
        <v>37448.648530092592</v>
      </c>
      <c r="D1161" s="9" t="s">
        <v>335</v>
      </c>
      <c r="E1161" t="str">
        <f t="shared" si="22"/>
        <v>'5ad584e'</v>
      </c>
      <c r="F1161" s="9" t="s">
        <v>335</v>
      </c>
      <c r="G1161" s="4">
        <v>23</v>
      </c>
      <c r="L1161" s="8" t="s">
        <v>2467</v>
      </c>
    </row>
    <row r="1162" spans="1:12">
      <c r="A1162">
        <v>10</v>
      </c>
      <c r="B1162" s="9" t="s">
        <v>335</v>
      </c>
      <c r="C1162" s="3">
        <v>37450.38753472222</v>
      </c>
      <c r="D1162" s="9" t="s">
        <v>335</v>
      </c>
      <c r="E1162" t="str">
        <f t="shared" si="22"/>
        <v>'0d30e69'</v>
      </c>
      <c r="F1162" s="9" t="s">
        <v>335</v>
      </c>
      <c r="G1162" s="4">
        <v>24</v>
      </c>
      <c r="L1162" s="8" t="s">
        <v>2349</v>
      </c>
    </row>
    <row r="1163" spans="1:12">
      <c r="A1163">
        <v>10</v>
      </c>
      <c r="B1163" s="9" t="s">
        <v>335</v>
      </c>
      <c r="C1163" s="3">
        <v>37452.289375</v>
      </c>
      <c r="D1163" s="9" t="s">
        <v>335</v>
      </c>
      <c r="E1163" t="str">
        <f t="shared" si="22"/>
        <v>'0716006'</v>
      </c>
      <c r="F1163" s="9" t="s">
        <v>335</v>
      </c>
      <c r="G1163" s="4">
        <v>25</v>
      </c>
      <c r="L1163" s="8" t="s">
        <v>2114</v>
      </c>
    </row>
    <row r="1164" spans="1:12">
      <c r="A1164">
        <v>10</v>
      </c>
      <c r="B1164" s="9" t="s">
        <v>335</v>
      </c>
      <c r="C1164" s="3">
        <v>37453.820532407408</v>
      </c>
      <c r="D1164" s="9" t="s">
        <v>335</v>
      </c>
      <c r="E1164" t="str">
        <f t="shared" si="22"/>
        <v>'8e93eb2'</v>
      </c>
      <c r="F1164" s="9" t="s">
        <v>335</v>
      </c>
      <c r="G1164" s="4">
        <v>26</v>
      </c>
      <c r="L1164" s="8" t="s">
        <v>2117</v>
      </c>
    </row>
    <row r="1165" spans="1:12">
      <c r="A1165">
        <v>10</v>
      </c>
      <c r="B1165" s="9" t="s">
        <v>335</v>
      </c>
      <c r="C1165" s="3">
        <v>37454.273587962962</v>
      </c>
      <c r="D1165" s="9" t="s">
        <v>335</v>
      </c>
      <c r="E1165" t="str">
        <f t="shared" si="22"/>
        <v>'14d8904'</v>
      </c>
      <c r="F1165" s="9" t="s">
        <v>335</v>
      </c>
      <c r="G1165" s="4">
        <v>27</v>
      </c>
      <c r="L1165" s="8" t="s">
        <v>2395</v>
      </c>
    </row>
    <row r="1166" spans="1:12">
      <c r="A1166">
        <v>10</v>
      </c>
      <c r="B1166" s="9" t="s">
        <v>335</v>
      </c>
      <c r="C1166" s="3">
        <v>37454.812951388885</v>
      </c>
      <c r="D1166" s="9" t="s">
        <v>335</v>
      </c>
      <c r="E1166" t="str">
        <f t="shared" ref="E1166:E1179" si="23">CONCATENATE("'",L1166,"'")</f>
        <v>'fe6a355'</v>
      </c>
      <c r="F1166" s="9" t="s">
        <v>335</v>
      </c>
      <c r="G1166" s="4">
        <v>28</v>
      </c>
      <c r="L1166" s="8" t="s">
        <v>2377</v>
      </c>
    </row>
    <row r="1167" spans="1:12">
      <c r="A1167">
        <v>10</v>
      </c>
      <c r="B1167" s="9" t="s">
        <v>335</v>
      </c>
      <c r="C1167" s="3">
        <v>37455.313206018516</v>
      </c>
      <c r="D1167" s="9" t="s">
        <v>335</v>
      </c>
      <c r="E1167" t="str">
        <f t="shared" si="23"/>
        <v>'7cf2ce7'</v>
      </c>
      <c r="F1167" s="9" t="s">
        <v>335</v>
      </c>
      <c r="G1167" s="4">
        <v>29</v>
      </c>
      <c r="L1167" s="8" t="s">
        <v>2000</v>
      </c>
    </row>
    <row r="1168" spans="1:12">
      <c r="A1168">
        <v>10</v>
      </c>
      <c r="B1168" s="9" t="s">
        <v>335</v>
      </c>
      <c r="C1168" s="3">
        <v>37456.298344907409</v>
      </c>
      <c r="D1168" s="9" t="s">
        <v>335</v>
      </c>
      <c r="E1168" t="str">
        <f t="shared" si="23"/>
        <v>'3eb7d03'</v>
      </c>
      <c r="F1168" s="9" t="s">
        <v>335</v>
      </c>
      <c r="G1168" s="4">
        <v>30</v>
      </c>
      <c r="L1168" s="8" t="s">
        <v>2021</v>
      </c>
    </row>
    <row r="1169" spans="1:12">
      <c r="A1169">
        <v>10</v>
      </c>
      <c r="B1169" s="9" t="s">
        <v>335</v>
      </c>
      <c r="C1169" s="3">
        <v>37460.33084490741</v>
      </c>
      <c r="D1169" s="9" t="s">
        <v>335</v>
      </c>
      <c r="E1169" t="str">
        <f t="shared" si="23"/>
        <v>'abc0a01'</v>
      </c>
      <c r="F1169" s="9" t="s">
        <v>335</v>
      </c>
      <c r="G1169" s="4">
        <v>31</v>
      </c>
      <c r="L1169" s="8" t="s">
        <v>2163</v>
      </c>
    </row>
    <row r="1170" spans="1:12">
      <c r="A1170">
        <v>10</v>
      </c>
      <c r="B1170" s="9" t="s">
        <v>335</v>
      </c>
      <c r="C1170" s="3">
        <v>37479.434201388889</v>
      </c>
      <c r="D1170" s="9" t="s">
        <v>335</v>
      </c>
      <c r="E1170" t="str">
        <f t="shared" si="23"/>
        <v>'e949e37'</v>
      </c>
      <c r="F1170" s="9" t="s">
        <v>335</v>
      </c>
      <c r="G1170" s="4">
        <v>32</v>
      </c>
      <c r="L1170" s="8" t="s">
        <v>2441</v>
      </c>
    </row>
    <row r="1171" spans="1:12">
      <c r="A1171">
        <v>10</v>
      </c>
      <c r="B1171" s="9" t="s">
        <v>335</v>
      </c>
      <c r="C1171" s="3">
        <v>37488.301296296297</v>
      </c>
      <c r="D1171" s="9" t="s">
        <v>335</v>
      </c>
      <c r="E1171" t="str">
        <f t="shared" si="23"/>
        <v>'3c26928'</v>
      </c>
      <c r="F1171" s="9" t="s">
        <v>335</v>
      </c>
      <c r="G1171" s="4">
        <v>33</v>
      </c>
      <c r="L1171" s="8" t="s">
        <v>2352</v>
      </c>
    </row>
    <row r="1172" spans="1:12">
      <c r="A1172">
        <v>10</v>
      </c>
      <c r="B1172" s="9" t="s">
        <v>335</v>
      </c>
      <c r="C1172" s="3">
        <v>37495.782199074078</v>
      </c>
      <c r="D1172" s="9" t="s">
        <v>335</v>
      </c>
      <c r="E1172" t="str">
        <f t="shared" si="23"/>
        <v>'54f3bd6'</v>
      </c>
      <c r="F1172" s="9" t="s">
        <v>335</v>
      </c>
      <c r="G1172" s="4">
        <v>34</v>
      </c>
      <c r="L1172" s="8" t="s">
        <v>2313</v>
      </c>
    </row>
    <row r="1173" spans="1:12">
      <c r="A1173">
        <v>10</v>
      </c>
      <c r="B1173" s="9" t="s">
        <v>335</v>
      </c>
      <c r="C1173" s="3">
        <v>37498.338148148148</v>
      </c>
      <c r="D1173" s="9" t="s">
        <v>335</v>
      </c>
      <c r="E1173" t="str">
        <f t="shared" si="23"/>
        <v>'e87ef8c'</v>
      </c>
      <c r="F1173" s="9" t="s">
        <v>335</v>
      </c>
      <c r="G1173" s="4">
        <v>35</v>
      </c>
      <c r="L1173" s="8" t="s">
        <v>2419</v>
      </c>
    </row>
    <row r="1174" spans="1:12">
      <c r="A1174">
        <v>10</v>
      </c>
      <c r="B1174" s="9" t="s">
        <v>335</v>
      </c>
      <c r="C1174" s="3">
        <v>37506.429398148146</v>
      </c>
      <c r="D1174" s="9" t="s">
        <v>335</v>
      </c>
      <c r="E1174" t="str">
        <f t="shared" si="23"/>
        <v>'cb5fdd8'</v>
      </c>
      <c r="F1174" s="9" t="s">
        <v>335</v>
      </c>
      <c r="G1174" s="4">
        <v>36</v>
      </c>
      <c r="L1174" s="8" t="s">
        <v>2422</v>
      </c>
    </row>
    <row r="1175" spans="1:12">
      <c r="A1175">
        <v>11</v>
      </c>
      <c r="B1175" s="9" t="s">
        <v>335</v>
      </c>
      <c r="C1175" s="3">
        <v>37427.011238425926</v>
      </c>
      <c r="D1175" s="9" t="s">
        <v>335</v>
      </c>
      <c r="E1175" t="str">
        <f t="shared" si="23"/>
        <v>'7814eec'</v>
      </c>
      <c r="F1175" s="9" t="s">
        <v>335</v>
      </c>
      <c r="G1175" s="4">
        <v>1</v>
      </c>
      <c r="L1175" s="8" t="s">
        <v>1997</v>
      </c>
    </row>
    <row r="1176" spans="1:12">
      <c r="A1176">
        <v>12</v>
      </c>
      <c r="B1176" s="9" t="s">
        <v>335</v>
      </c>
      <c r="C1176" s="3">
        <v>37423.480219907404</v>
      </c>
      <c r="D1176" s="9" t="s">
        <v>335</v>
      </c>
      <c r="E1176" t="str">
        <f t="shared" si="23"/>
        <v>'947cb11'</v>
      </c>
      <c r="F1176" s="9" t="s">
        <v>335</v>
      </c>
      <c r="G1176" s="4">
        <v>1</v>
      </c>
      <c r="L1176" s="8" t="s">
        <v>2390</v>
      </c>
    </row>
    <row r="1177" spans="1:12">
      <c r="A1177">
        <v>13</v>
      </c>
      <c r="B1177" s="9" t="s">
        <v>335</v>
      </c>
      <c r="C1177" s="3">
        <v>37441.848032407404</v>
      </c>
      <c r="D1177" s="9" t="s">
        <v>335</v>
      </c>
      <c r="E1177" t="str">
        <f t="shared" si="23"/>
        <v>'3ef0590'</v>
      </c>
      <c r="F1177" s="9" t="s">
        <v>335</v>
      </c>
      <c r="G1177" s="4">
        <v>1</v>
      </c>
      <c r="L1177" s="8" t="s">
        <v>2161</v>
      </c>
    </row>
    <row r="1178" spans="1:12">
      <c r="A1178">
        <v>13</v>
      </c>
      <c r="B1178" s="9" t="s">
        <v>335</v>
      </c>
      <c r="C1178" s="3">
        <v>37442.532199074078</v>
      </c>
      <c r="D1178" s="9" t="s">
        <v>335</v>
      </c>
      <c r="E1178" t="str">
        <f t="shared" si="23"/>
        <v>'a266333'</v>
      </c>
      <c r="F1178" s="9" t="s">
        <v>335</v>
      </c>
      <c r="G1178" s="4">
        <v>2</v>
      </c>
      <c r="L1178" s="8" t="s">
        <v>2038</v>
      </c>
    </row>
    <row r="1179" spans="1:12">
      <c r="A1179">
        <v>14</v>
      </c>
      <c r="B1179" s="9" t="s">
        <v>335</v>
      </c>
      <c r="C1179" s="3">
        <v>37425.022083333337</v>
      </c>
      <c r="D1179" s="9" t="s">
        <v>335</v>
      </c>
      <c r="E1179" t="str">
        <f t="shared" si="23"/>
        <v>'978ae42'</v>
      </c>
      <c r="F1179" s="9" t="s">
        <v>335</v>
      </c>
      <c r="G1179" s="4">
        <v>1</v>
      </c>
      <c r="L1179" s="8" t="s">
        <v>2511</v>
      </c>
    </row>
    <row r="1182" spans="1:12">
      <c r="A1182" s="7">
        <v>1</v>
      </c>
      <c r="B1182" s="9" t="s">
        <v>335</v>
      </c>
      <c r="C1182" s="50">
        <v>40682.754861111112</v>
      </c>
      <c r="D1182" s="9" t="s">
        <v>335</v>
      </c>
      <c r="E1182" t="str">
        <f t="shared" ref="E1182:E1243" si="24">CONCATENATE("'",L1182,"'")</f>
        <v>'e8ecc7a'</v>
      </c>
      <c r="F1182" s="9" t="s">
        <v>335</v>
      </c>
      <c r="G1182">
        <v>1</v>
      </c>
      <c r="H1182" t="s">
        <v>3700</v>
      </c>
      <c r="L1182" s="58" t="s">
        <v>3328</v>
      </c>
    </row>
    <row r="1183" spans="1:12">
      <c r="A1183" s="7">
        <v>1</v>
      </c>
      <c r="B1183" s="9" t="s">
        <v>335</v>
      </c>
      <c r="C1183" s="50">
        <v>40767.597222222219</v>
      </c>
      <c r="D1183" s="9" t="s">
        <v>335</v>
      </c>
      <c r="E1183" t="str">
        <f t="shared" si="24"/>
        <v>'6388c94'</v>
      </c>
      <c r="F1183" s="9" t="s">
        <v>335</v>
      </c>
      <c r="G1183">
        <v>2</v>
      </c>
      <c r="L1183" s="58" t="s">
        <v>3239</v>
      </c>
    </row>
    <row r="1184" spans="1:12">
      <c r="A1184" s="7">
        <v>2</v>
      </c>
      <c r="B1184" s="9" t="s">
        <v>335</v>
      </c>
      <c r="C1184" s="50">
        <v>40618.023611111108</v>
      </c>
      <c r="D1184" s="9" t="s">
        <v>335</v>
      </c>
      <c r="E1184" t="str">
        <f t="shared" si="24"/>
        <v>'5231f92'</v>
      </c>
      <c r="F1184" s="9" t="s">
        <v>335</v>
      </c>
      <c r="G1184">
        <v>1</v>
      </c>
      <c r="L1184" s="58" t="s">
        <v>2987</v>
      </c>
    </row>
    <row r="1185" spans="1:12">
      <c r="A1185" s="7">
        <v>2</v>
      </c>
      <c r="B1185" s="9" t="s">
        <v>335</v>
      </c>
      <c r="C1185" s="50">
        <v>40634.576388888891</v>
      </c>
      <c r="D1185" s="9" t="s">
        <v>335</v>
      </c>
      <c r="E1185" t="str">
        <f t="shared" si="24"/>
        <v>'ad057e9'</v>
      </c>
      <c r="F1185" s="9" t="s">
        <v>335</v>
      </c>
      <c r="G1185">
        <v>2</v>
      </c>
      <c r="L1185" s="58" t="s">
        <v>2960</v>
      </c>
    </row>
    <row r="1186" spans="1:12">
      <c r="A1186" s="7">
        <v>2</v>
      </c>
      <c r="B1186" s="9" t="s">
        <v>335</v>
      </c>
      <c r="C1186" s="50">
        <v>40634.784722222219</v>
      </c>
      <c r="D1186" s="9" t="s">
        <v>335</v>
      </c>
      <c r="E1186" t="str">
        <f t="shared" si="24"/>
        <v>'d327272'</v>
      </c>
      <c r="F1186" s="9" t="s">
        <v>335</v>
      </c>
      <c r="G1186">
        <v>3</v>
      </c>
      <c r="L1186" s="58" t="s">
        <v>3325</v>
      </c>
    </row>
    <row r="1187" spans="1:12">
      <c r="A1187" s="7">
        <v>2</v>
      </c>
      <c r="B1187" s="9" t="s">
        <v>335</v>
      </c>
      <c r="C1187" s="50">
        <v>40675.615277777775</v>
      </c>
      <c r="D1187" s="9" t="s">
        <v>335</v>
      </c>
      <c r="E1187" t="str">
        <f t="shared" si="24"/>
        <v>'aa4d73d'</v>
      </c>
      <c r="F1187" s="9" t="s">
        <v>335</v>
      </c>
      <c r="G1187">
        <v>4</v>
      </c>
      <c r="L1187" s="58" t="s">
        <v>3547</v>
      </c>
    </row>
    <row r="1188" spans="1:12">
      <c r="A1188" s="7">
        <v>2</v>
      </c>
      <c r="B1188" s="9" t="s">
        <v>335</v>
      </c>
      <c r="C1188" s="50">
        <v>40675.615277777775</v>
      </c>
      <c r="D1188" s="9" t="s">
        <v>335</v>
      </c>
      <c r="E1188" t="str">
        <f t="shared" si="24"/>
        <v>'ea2f292'</v>
      </c>
      <c r="F1188" s="9" t="s">
        <v>335</v>
      </c>
      <c r="G1188">
        <v>5</v>
      </c>
      <c r="L1188" s="58" t="s">
        <v>3306</v>
      </c>
    </row>
    <row r="1189" spans="1:12">
      <c r="A1189" s="7">
        <v>2</v>
      </c>
      <c r="B1189" s="9" t="s">
        <v>335</v>
      </c>
      <c r="C1189" s="50">
        <v>40706.552083333336</v>
      </c>
      <c r="D1189" s="9" t="s">
        <v>335</v>
      </c>
      <c r="E1189" t="str">
        <f t="shared" si="24"/>
        <v>'8c07e32'</v>
      </c>
      <c r="F1189" s="9" t="s">
        <v>335</v>
      </c>
      <c r="G1189">
        <v>6</v>
      </c>
      <c r="L1189" s="58" t="s">
        <v>2665</v>
      </c>
    </row>
    <row r="1190" spans="1:12">
      <c r="A1190" s="7">
        <v>2</v>
      </c>
      <c r="B1190" s="9" t="s">
        <v>335</v>
      </c>
      <c r="C1190" s="50">
        <v>40708.57916666667</v>
      </c>
      <c r="D1190" s="9" t="s">
        <v>335</v>
      </c>
      <c r="E1190" t="str">
        <f t="shared" si="24"/>
        <v>'cca94e7'</v>
      </c>
      <c r="F1190" s="9" t="s">
        <v>335</v>
      </c>
      <c r="G1190">
        <v>7</v>
      </c>
      <c r="L1190" s="58" t="s">
        <v>2689</v>
      </c>
    </row>
    <row r="1191" spans="1:12">
      <c r="A1191" s="7">
        <v>2</v>
      </c>
      <c r="B1191" s="9" t="s">
        <v>335</v>
      </c>
      <c r="C1191" s="50">
        <v>40745.768750000003</v>
      </c>
      <c r="D1191" s="9" t="s">
        <v>335</v>
      </c>
      <c r="E1191" t="str">
        <f t="shared" si="24"/>
        <v>'c716080'</v>
      </c>
      <c r="F1191" s="9" t="s">
        <v>335</v>
      </c>
      <c r="G1191">
        <v>8</v>
      </c>
      <c r="L1191" s="58" t="s">
        <v>3413</v>
      </c>
    </row>
    <row r="1192" spans="1:12">
      <c r="A1192" s="7">
        <v>2</v>
      </c>
      <c r="B1192" s="9" t="s">
        <v>335</v>
      </c>
      <c r="C1192" s="50">
        <v>40750.980555555558</v>
      </c>
      <c r="D1192" s="9" t="s">
        <v>335</v>
      </c>
      <c r="E1192" t="str">
        <f t="shared" si="24"/>
        <v>'cc8c363'</v>
      </c>
      <c r="F1192" s="9" t="s">
        <v>335</v>
      </c>
      <c r="G1192">
        <v>9</v>
      </c>
      <c r="L1192" s="58" t="s">
        <v>3180</v>
      </c>
    </row>
    <row r="1193" spans="1:12">
      <c r="A1193" s="7">
        <v>2</v>
      </c>
      <c r="B1193" s="9" t="s">
        <v>335</v>
      </c>
      <c r="C1193" s="50">
        <v>40752.700694444444</v>
      </c>
      <c r="D1193" s="9" t="s">
        <v>335</v>
      </c>
      <c r="E1193" t="str">
        <f t="shared" si="24"/>
        <v>'9e68193'</v>
      </c>
      <c r="F1193" s="9" t="s">
        <v>335</v>
      </c>
      <c r="G1193">
        <v>10</v>
      </c>
      <c r="L1193" s="58" t="s">
        <v>3380</v>
      </c>
    </row>
    <row r="1194" spans="1:12">
      <c r="A1194" s="7">
        <v>2</v>
      </c>
      <c r="B1194" s="9" t="s">
        <v>335</v>
      </c>
      <c r="C1194" s="50">
        <v>40788.870833333334</v>
      </c>
      <c r="D1194" s="9" t="s">
        <v>335</v>
      </c>
      <c r="E1194" t="str">
        <f t="shared" si="24"/>
        <v>'e491023'</v>
      </c>
      <c r="F1194" s="9" t="s">
        <v>335</v>
      </c>
      <c r="G1194">
        <v>11</v>
      </c>
      <c r="L1194" s="58" t="s">
        <v>3439</v>
      </c>
    </row>
    <row r="1195" spans="1:12">
      <c r="A1195" s="7">
        <v>3</v>
      </c>
      <c r="B1195" s="9" t="s">
        <v>335</v>
      </c>
      <c r="C1195" s="50">
        <v>40757.435416666667</v>
      </c>
      <c r="D1195" s="9" t="s">
        <v>335</v>
      </c>
      <c r="E1195" t="str">
        <f t="shared" si="24"/>
        <v>'1bf538c'</v>
      </c>
      <c r="F1195" s="9" t="s">
        <v>335</v>
      </c>
      <c r="G1195">
        <v>1</v>
      </c>
      <c r="L1195" s="58" t="s">
        <v>3381</v>
      </c>
    </row>
    <row r="1196" spans="1:12">
      <c r="A1196" s="7">
        <v>3</v>
      </c>
      <c r="B1196" s="9" t="s">
        <v>335</v>
      </c>
      <c r="C1196" s="50">
        <v>40766.825694444444</v>
      </c>
      <c r="D1196" s="9" t="s">
        <v>335</v>
      </c>
      <c r="E1196" t="str">
        <f t="shared" si="24"/>
        <v>'3fea647'</v>
      </c>
      <c r="F1196" s="9" t="s">
        <v>335</v>
      </c>
      <c r="G1196">
        <v>2</v>
      </c>
      <c r="L1196" s="58" t="s">
        <v>3238</v>
      </c>
    </row>
    <row r="1197" spans="1:12">
      <c r="A1197" s="7">
        <v>4</v>
      </c>
      <c r="B1197" s="9" t="s">
        <v>335</v>
      </c>
      <c r="C1197" s="50">
        <v>40704.673611111109</v>
      </c>
      <c r="D1197" s="9" t="s">
        <v>335</v>
      </c>
      <c r="E1197" t="str">
        <f t="shared" si="24"/>
        <v>'8e62003'</v>
      </c>
      <c r="F1197" s="9" t="s">
        <v>335</v>
      </c>
      <c r="G1197">
        <v>1</v>
      </c>
      <c r="L1197" s="58" t="s">
        <v>2845</v>
      </c>
    </row>
    <row r="1198" spans="1:12">
      <c r="A1198" s="7">
        <v>5</v>
      </c>
      <c r="B1198" s="9" t="s">
        <v>335</v>
      </c>
      <c r="C1198" s="50">
        <v>40661.657638888886</v>
      </c>
      <c r="D1198" s="9" t="s">
        <v>335</v>
      </c>
      <c r="E1198" t="str">
        <f t="shared" si="24"/>
        <v>'dbdf05c'</v>
      </c>
      <c r="F1198" s="9" t="s">
        <v>335</v>
      </c>
      <c r="G1198">
        <v>1</v>
      </c>
      <c r="L1198" s="58" t="s">
        <v>2786</v>
      </c>
    </row>
    <row r="1199" spans="1:12">
      <c r="A1199" s="7">
        <v>5</v>
      </c>
      <c r="B1199" s="9" t="s">
        <v>335</v>
      </c>
      <c r="C1199" s="50">
        <v>40717.961805555555</v>
      </c>
      <c r="D1199" s="9" t="s">
        <v>335</v>
      </c>
      <c r="E1199" t="str">
        <f t="shared" si="24"/>
        <v>'c3b8777'</v>
      </c>
      <c r="F1199" s="9" t="s">
        <v>335</v>
      </c>
      <c r="G1199">
        <v>2</v>
      </c>
      <c r="L1199" s="58" t="s">
        <v>2964</v>
      </c>
    </row>
    <row r="1200" spans="1:12">
      <c r="A1200" s="7">
        <v>5</v>
      </c>
      <c r="B1200" s="9" t="s">
        <v>335</v>
      </c>
      <c r="C1200" s="50">
        <v>40738.96875</v>
      </c>
      <c r="D1200" s="9" t="s">
        <v>335</v>
      </c>
      <c r="E1200" t="str">
        <f t="shared" si="24"/>
        <v>'86293a3'</v>
      </c>
      <c r="F1200" s="9" t="s">
        <v>335</v>
      </c>
      <c r="G1200">
        <v>3</v>
      </c>
      <c r="L1200" s="58" t="s">
        <v>2752</v>
      </c>
    </row>
    <row r="1201" spans="1:12">
      <c r="A1201" s="7">
        <v>5</v>
      </c>
      <c r="B1201" s="9" t="s">
        <v>335</v>
      </c>
      <c r="C1201" s="50">
        <v>40738.981249999997</v>
      </c>
      <c r="D1201" s="9" t="s">
        <v>335</v>
      </c>
      <c r="E1201" t="str">
        <f t="shared" si="24"/>
        <v>'f5628c4'</v>
      </c>
      <c r="F1201" s="9" t="s">
        <v>335</v>
      </c>
      <c r="G1201">
        <v>4</v>
      </c>
      <c r="L1201" s="58" t="s">
        <v>3347</v>
      </c>
    </row>
    <row r="1202" spans="1:12">
      <c r="A1202" s="7">
        <v>6</v>
      </c>
      <c r="B1202" s="9" t="s">
        <v>335</v>
      </c>
      <c r="C1202" s="50">
        <v>40661.643055555556</v>
      </c>
      <c r="D1202" s="9" t="s">
        <v>335</v>
      </c>
      <c r="E1202" t="str">
        <f t="shared" si="24"/>
        <v>'40031f9'</v>
      </c>
      <c r="F1202" s="9" t="s">
        <v>335</v>
      </c>
      <c r="G1202">
        <v>1</v>
      </c>
      <c r="L1202" s="58" t="s">
        <v>3549</v>
      </c>
    </row>
    <row r="1203" spans="1:12">
      <c r="A1203" s="7">
        <v>6</v>
      </c>
      <c r="B1203" s="9" t="s">
        <v>335</v>
      </c>
      <c r="C1203" s="50">
        <v>40661.643055555556</v>
      </c>
      <c r="D1203" s="9" t="s">
        <v>335</v>
      </c>
      <c r="E1203" t="str">
        <f t="shared" si="24"/>
        <v>'e8dc28e'</v>
      </c>
      <c r="F1203" s="9" t="s">
        <v>335</v>
      </c>
      <c r="G1203">
        <v>2</v>
      </c>
      <c r="L1203" s="58" t="s">
        <v>2785</v>
      </c>
    </row>
    <row r="1204" spans="1:12">
      <c r="A1204" s="7">
        <v>6</v>
      </c>
      <c r="B1204" s="9" t="s">
        <v>335</v>
      </c>
      <c r="C1204" s="50">
        <v>40665.572222222225</v>
      </c>
      <c r="D1204" s="9" t="s">
        <v>335</v>
      </c>
      <c r="E1204" t="str">
        <f t="shared" si="24"/>
        <v>'72bfb73'</v>
      </c>
      <c r="F1204" s="9" t="s">
        <v>335</v>
      </c>
      <c r="G1204">
        <v>3</v>
      </c>
      <c r="L1204" s="58" t="s">
        <v>3141</v>
      </c>
    </row>
    <row r="1205" spans="1:12">
      <c r="A1205" s="7">
        <v>6</v>
      </c>
      <c r="B1205" s="9" t="s">
        <v>335</v>
      </c>
      <c r="C1205" s="50">
        <v>40675.609027777777</v>
      </c>
      <c r="D1205" s="9" t="s">
        <v>335</v>
      </c>
      <c r="E1205" t="str">
        <f t="shared" si="24"/>
        <v>'b7ccb6f'</v>
      </c>
      <c r="F1205" s="9" t="s">
        <v>335</v>
      </c>
      <c r="G1205">
        <v>4</v>
      </c>
      <c r="L1205" s="58" t="s">
        <v>3546</v>
      </c>
    </row>
    <row r="1206" spans="1:12">
      <c r="A1206" s="7">
        <v>6</v>
      </c>
      <c r="B1206" s="9" t="s">
        <v>335</v>
      </c>
      <c r="C1206" s="50">
        <v>40675.802777777775</v>
      </c>
      <c r="D1206" s="9" t="s">
        <v>335</v>
      </c>
      <c r="E1206" t="str">
        <f t="shared" si="24"/>
        <v>'50c043c'</v>
      </c>
      <c r="F1206" s="9" t="s">
        <v>335</v>
      </c>
      <c r="G1206">
        <v>5</v>
      </c>
      <c r="L1206" s="58" t="s">
        <v>3327</v>
      </c>
    </row>
    <row r="1207" spans="1:12">
      <c r="A1207" s="7">
        <v>6</v>
      </c>
      <c r="B1207" s="9" t="s">
        <v>335</v>
      </c>
      <c r="C1207" s="50">
        <v>40682.606249999997</v>
      </c>
      <c r="D1207" s="9" t="s">
        <v>335</v>
      </c>
      <c r="E1207" t="str">
        <f t="shared" si="24"/>
        <v>'207b94a'</v>
      </c>
      <c r="F1207" s="9" t="s">
        <v>335</v>
      </c>
      <c r="G1207">
        <v>6</v>
      </c>
      <c r="L1207" s="58" t="s">
        <v>3211</v>
      </c>
    </row>
    <row r="1208" spans="1:12">
      <c r="A1208" s="7">
        <v>6</v>
      </c>
      <c r="B1208" s="9" t="s">
        <v>335</v>
      </c>
      <c r="C1208" s="50">
        <v>40682.629861111112</v>
      </c>
      <c r="D1208" s="9" t="s">
        <v>335</v>
      </c>
      <c r="E1208" t="str">
        <f t="shared" si="24"/>
        <v>'b648fba'</v>
      </c>
      <c r="F1208" s="9" t="s">
        <v>335</v>
      </c>
      <c r="G1208">
        <v>7</v>
      </c>
      <c r="L1208" s="58" t="s">
        <v>2938</v>
      </c>
    </row>
    <row r="1209" spans="1:12">
      <c r="A1209" s="7">
        <v>6</v>
      </c>
      <c r="B1209" s="9" t="s">
        <v>335</v>
      </c>
      <c r="C1209" s="50">
        <v>40694.802777777775</v>
      </c>
      <c r="D1209" s="9" t="s">
        <v>335</v>
      </c>
      <c r="E1209" t="str">
        <f t="shared" si="24"/>
        <v>'f2e82d4'</v>
      </c>
      <c r="F1209" s="9" t="s">
        <v>335</v>
      </c>
      <c r="G1209">
        <v>8</v>
      </c>
      <c r="L1209" s="58" t="s">
        <v>3411</v>
      </c>
    </row>
    <row r="1210" spans="1:12">
      <c r="A1210" s="7">
        <v>6</v>
      </c>
      <c r="B1210" s="9" t="s">
        <v>335</v>
      </c>
      <c r="C1210" s="50">
        <v>40703.938194444447</v>
      </c>
      <c r="D1210" s="9" t="s">
        <v>335</v>
      </c>
      <c r="E1210" t="str">
        <f t="shared" si="24"/>
        <v>'b8d8a0d'</v>
      </c>
      <c r="F1210" s="9" t="s">
        <v>335</v>
      </c>
      <c r="G1210">
        <v>9</v>
      </c>
      <c r="L1210" s="58" t="s">
        <v>3261</v>
      </c>
    </row>
    <row r="1211" spans="1:12">
      <c r="A1211" s="7">
        <v>6</v>
      </c>
      <c r="B1211" s="9" t="s">
        <v>335</v>
      </c>
      <c r="C1211" s="50">
        <v>40704.663888888892</v>
      </c>
      <c r="D1211" s="9" t="s">
        <v>335</v>
      </c>
      <c r="E1211" t="str">
        <f t="shared" si="24"/>
        <v>'2c0af43'</v>
      </c>
      <c r="F1211" s="9" t="s">
        <v>335</v>
      </c>
      <c r="G1211">
        <v>10</v>
      </c>
      <c r="L1211" s="58" t="s">
        <v>2844</v>
      </c>
    </row>
    <row r="1212" spans="1:12">
      <c r="A1212" s="7">
        <v>6</v>
      </c>
      <c r="B1212" s="9" t="s">
        <v>335</v>
      </c>
      <c r="C1212" s="50">
        <v>40709.01458333333</v>
      </c>
      <c r="D1212" s="9" t="s">
        <v>335</v>
      </c>
      <c r="E1212" t="str">
        <f t="shared" si="24"/>
        <v>'7376cc6'</v>
      </c>
      <c r="F1212" s="9" t="s">
        <v>335</v>
      </c>
      <c r="G1212">
        <v>11</v>
      </c>
      <c r="L1212" s="58" t="s">
        <v>2690</v>
      </c>
    </row>
    <row r="1213" spans="1:12">
      <c r="A1213" s="7">
        <v>6</v>
      </c>
      <c r="B1213" s="9" t="s">
        <v>335</v>
      </c>
      <c r="C1213" s="50">
        <v>40709.015277777777</v>
      </c>
      <c r="D1213" s="9" t="s">
        <v>335</v>
      </c>
      <c r="E1213" t="str">
        <f t="shared" si="24"/>
        <v>'69ae69e'</v>
      </c>
      <c r="F1213" s="9" t="s">
        <v>335</v>
      </c>
      <c r="G1213">
        <v>12</v>
      </c>
      <c r="L1213" s="58" t="s">
        <v>2963</v>
      </c>
    </row>
    <row r="1214" spans="1:12">
      <c r="A1214" s="7">
        <v>6</v>
      </c>
      <c r="B1214" s="9" t="s">
        <v>335</v>
      </c>
      <c r="C1214" s="50">
        <v>40717.949305555558</v>
      </c>
      <c r="D1214" s="9" t="s">
        <v>335</v>
      </c>
      <c r="E1214" t="str">
        <f t="shared" si="24"/>
        <v>'50c3abb'</v>
      </c>
      <c r="F1214" s="9" t="s">
        <v>335</v>
      </c>
      <c r="G1214">
        <v>13</v>
      </c>
      <c r="L1214" s="58" t="s">
        <v>2980</v>
      </c>
    </row>
    <row r="1215" spans="1:12">
      <c r="A1215" s="7">
        <v>6</v>
      </c>
      <c r="B1215" s="9" t="s">
        <v>335</v>
      </c>
      <c r="C1215" s="50">
        <v>40717.967361111114</v>
      </c>
      <c r="D1215" s="9" t="s">
        <v>335</v>
      </c>
      <c r="E1215" t="str">
        <f t="shared" si="24"/>
        <v>'02420ab'</v>
      </c>
      <c r="F1215" s="9" t="s">
        <v>335</v>
      </c>
      <c r="G1215">
        <v>14</v>
      </c>
      <c r="L1215" s="58" t="s">
        <v>3136</v>
      </c>
    </row>
    <row r="1216" spans="1:12">
      <c r="A1216" s="7">
        <v>6</v>
      </c>
      <c r="B1216" s="9" t="s">
        <v>335</v>
      </c>
      <c r="C1216" s="50">
        <v>40722.045138888891</v>
      </c>
      <c r="D1216" s="9" t="s">
        <v>335</v>
      </c>
      <c r="E1216" t="str">
        <f t="shared" si="24"/>
        <v>'351e729'</v>
      </c>
      <c r="F1216" s="9" t="s">
        <v>335</v>
      </c>
      <c r="G1216">
        <v>15</v>
      </c>
      <c r="L1216" s="58" t="s">
        <v>2686</v>
      </c>
    </row>
    <row r="1217" spans="1:12">
      <c r="A1217" s="7">
        <v>6</v>
      </c>
      <c r="B1217" s="9" t="s">
        <v>335</v>
      </c>
      <c r="C1217" s="50">
        <v>40737.872916666667</v>
      </c>
      <c r="D1217" s="9" t="s">
        <v>335</v>
      </c>
      <c r="E1217" t="str">
        <f t="shared" si="24"/>
        <v>'a69271a'</v>
      </c>
      <c r="F1217" s="9" t="s">
        <v>335</v>
      </c>
      <c r="G1217">
        <v>16</v>
      </c>
      <c r="L1217" s="58" t="s">
        <v>3346</v>
      </c>
    </row>
    <row r="1218" spans="1:12">
      <c r="A1218" s="7">
        <v>6</v>
      </c>
      <c r="B1218" s="9" t="s">
        <v>335</v>
      </c>
      <c r="C1218" s="50">
        <v>40739.946527777778</v>
      </c>
      <c r="D1218" s="9" t="s">
        <v>335</v>
      </c>
      <c r="E1218" t="str">
        <f t="shared" si="24"/>
        <v>'e8fabf3'</v>
      </c>
      <c r="F1218" s="9" t="s">
        <v>335</v>
      </c>
      <c r="G1218">
        <v>17</v>
      </c>
      <c r="L1218" s="58" t="s">
        <v>2777</v>
      </c>
    </row>
    <row r="1219" spans="1:12">
      <c r="A1219" s="7">
        <v>6</v>
      </c>
      <c r="B1219" s="9" t="s">
        <v>335</v>
      </c>
      <c r="C1219" s="50">
        <v>40788.474999999999</v>
      </c>
      <c r="D1219" s="9" t="s">
        <v>335</v>
      </c>
      <c r="E1219" t="str">
        <f t="shared" si="24"/>
        <v>'c94ab05'</v>
      </c>
      <c r="F1219" s="9" t="s">
        <v>335</v>
      </c>
      <c r="G1219">
        <v>18</v>
      </c>
      <c r="L1219" s="58" t="s">
        <v>3438</v>
      </c>
    </row>
    <row r="1220" spans="1:12">
      <c r="A1220" s="7">
        <v>7</v>
      </c>
      <c r="B1220" s="9" t="s">
        <v>335</v>
      </c>
      <c r="C1220" s="50">
        <v>40634.65</v>
      </c>
      <c r="D1220" s="9" t="s">
        <v>335</v>
      </c>
      <c r="E1220" t="str">
        <f t="shared" si="24"/>
        <v>'4bc49d8'</v>
      </c>
      <c r="F1220" s="9" t="s">
        <v>335</v>
      </c>
      <c r="G1220">
        <v>1</v>
      </c>
      <c r="L1220" s="58" t="s">
        <v>2825</v>
      </c>
    </row>
    <row r="1221" spans="1:12">
      <c r="A1221" s="7">
        <v>7</v>
      </c>
      <c r="B1221" s="9" t="s">
        <v>335</v>
      </c>
      <c r="C1221" s="50">
        <v>40634.654166666667</v>
      </c>
      <c r="D1221" s="9" t="s">
        <v>335</v>
      </c>
      <c r="E1221" t="str">
        <f t="shared" si="24"/>
        <v>'475b823'</v>
      </c>
      <c r="F1221" s="9" t="s">
        <v>335</v>
      </c>
      <c r="G1221">
        <v>2</v>
      </c>
      <c r="L1221" s="58" t="s">
        <v>2961</v>
      </c>
    </row>
    <row r="1222" spans="1:12">
      <c r="A1222" s="7">
        <v>7</v>
      </c>
      <c r="B1222" s="9" t="s">
        <v>335</v>
      </c>
      <c r="C1222" s="50">
        <v>40637.569444444445</v>
      </c>
      <c r="D1222" s="9" t="s">
        <v>335</v>
      </c>
      <c r="E1222" t="str">
        <f t="shared" si="24"/>
        <v>'b452a8c'</v>
      </c>
      <c r="F1222" s="9" t="s">
        <v>335</v>
      </c>
      <c r="G1222">
        <v>3</v>
      </c>
      <c r="L1222" s="58" t="s">
        <v>3542</v>
      </c>
    </row>
    <row r="1223" spans="1:12">
      <c r="A1223" s="7">
        <v>7</v>
      </c>
      <c r="B1223" s="9" t="s">
        <v>335</v>
      </c>
      <c r="C1223" s="50">
        <v>40652.529861111114</v>
      </c>
      <c r="D1223" s="9" t="s">
        <v>335</v>
      </c>
      <c r="E1223" t="str">
        <f t="shared" si="24"/>
        <v>'5df0a72'</v>
      </c>
      <c r="F1223" s="9" t="s">
        <v>335</v>
      </c>
      <c r="G1223">
        <v>4</v>
      </c>
      <c r="L1223" s="58" t="s">
        <v>3425</v>
      </c>
    </row>
    <row r="1224" spans="1:12">
      <c r="A1224" s="7">
        <v>7</v>
      </c>
      <c r="B1224" s="9" t="s">
        <v>335</v>
      </c>
      <c r="C1224" s="50">
        <v>40660.638888888891</v>
      </c>
      <c r="D1224" s="9" t="s">
        <v>335</v>
      </c>
      <c r="E1224" t="str">
        <f t="shared" si="24"/>
        <v>'7cb8624'</v>
      </c>
      <c r="F1224" s="9" t="s">
        <v>335</v>
      </c>
      <c r="G1224">
        <v>5</v>
      </c>
      <c r="L1224" s="58" t="s">
        <v>2574</v>
      </c>
    </row>
    <row r="1225" spans="1:12">
      <c r="A1225" s="7">
        <v>7</v>
      </c>
      <c r="B1225" s="9" t="s">
        <v>335</v>
      </c>
      <c r="C1225" s="50">
        <v>40682.800000000003</v>
      </c>
      <c r="D1225" s="9" t="s">
        <v>335</v>
      </c>
      <c r="E1225" t="str">
        <f t="shared" si="24"/>
        <v>'946e042'</v>
      </c>
      <c r="F1225" s="9" t="s">
        <v>335</v>
      </c>
      <c r="G1225">
        <v>6</v>
      </c>
      <c r="L1225" s="58" t="s">
        <v>3672</v>
      </c>
    </row>
    <row r="1226" spans="1:12">
      <c r="A1226" s="7">
        <v>7</v>
      </c>
      <c r="B1226" s="9" t="s">
        <v>335</v>
      </c>
      <c r="C1226" s="50">
        <v>40709.470138888886</v>
      </c>
      <c r="D1226" s="9" t="s">
        <v>335</v>
      </c>
      <c r="E1226" t="str">
        <f t="shared" si="24"/>
        <v>'d8f6c90'</v>
      </c>
      <c r="F1226" s="9" t="s">
        <v>335</v>
      </c>
      <c r="G1226">
        <v>7</v>
      </c>
      <c r="L1226" s="58" t="s">
        <v>3530</v>
      </c>
    </row>
    <row r="1227" spans="1:12">
      <c r="A1227" s="7">
        <v>7</v>
      </c>
      <c r="B1227" s="9" t="s">
        <v>335</v>
      </c>
      <c r="C1227" s="50">
        <v>40717.543055555558</v>
      </c>
      <c r="D1227" s="9" t="s">
        <v>335</v>
      </c>
      <c r="E1227" t="str">
        <f t="shared" si="24"/>
        <v>'de9ffd0'</v>
      </c>
      <c r="F1227" s="9" t="s">
        <v>335</v>
      </c>
      <c r="G1227">
        <v>8</v>
      </c>
      <c r="L1227" s="58" t="s">
        <v>2979</v>
      </c>
    </row>
    <row r="1228" spans="1:12">
      <c r="A1228" s="7">
        <v>7</v>
      </c>
      <c r="B1228" s="9" t="s">
        <v>335</v>
      </c>
      <c r="C1228" s="50">
        <v>40737.826388888891</v>
      </c>
      <c r="D1228" s="9" t="s">
        <v>335</v>
      </c>
      <c r="E1228" t="str">
        <f t="shared" si="24"/>
        <v>'1ce9886'</v>
      </c>
      <c r="F1228" s="9" t="s">
        <v>335</v>
      </c>
      <c r="G1228">
        <v>9</v>
      </c>
      <c r="L1228" s="58" t="s">
        <v>2722</v>
      </c>
    </row>
    <row r="1229" spans="1:12">
      <c r="A1229" s="7">
        <v>7</v>
      </c>
      <c r="B1229" s="9" t="s">
        <v>335</v>
      </c>
      <c r="C1229" s="50">
        <v>40739.955555555556</v>
      </c>
      <c r="D1229" s="9" t="s">
        <v>335</v>
      </c>
      <c r="E1229" t="str">
        <f t="shared" si="24"/>
        <v>'57121fa'</v>
      </c>
      <c r="F1229" s="9" t="s">
        <v>335</v>
      </c>
      <c r="G1229">
        <v>10</v>
      </c>
      <c r="L1229" s="58" t="s">
        <v>2801</v>
      </c>
    </row>
    <row r="1230" spans="1:12">
      <c r="A1230" s="7">
        <v>7</v>
      </c>
      <c r="B1230" s="9" t="s">
        <v>335</v>
      </c>
      <c r="C1230" s="50">
        <v>40746.772916666669</v>
      </c>
      <c r="D1230" s="9" t="s">
        <v>335</v>
      </c>
      <c r="E1230" t="str">
        <f t="shared" si="24"/>
        <v>'611ddeb'</v>
      </c>
      <c r="F1230" s="9" t="s">
        <v>335</v>
      </c>
      <c r="G1230">
        <v>11</v>
      </c>
      <c r="L1230" s="58" t="s">
        <v>3004</v>
      </c>
    </row>
    <row r="1231" spans="1:12">
      <c r="A1231" s="7">
        <v>8</v>
      </c>
      <c r="B1231" s="9" t="s">
        <v>335</v>
      </c>
      <c r="C1231" s="50">
        <v>40599.729861111111</v>
      </c>
      <c r="D1231" s="9" t="s">
        <v>335</v>
      </c>
      <c r="E1231" t="str">
        <f t="shared" si="24"/>
        <v>'46a0ec8'</v>
      </c>
      <c r="F1231" s="9" t="s">
        <v>335</v>
      </c>
      <c r="G1231">
        <v>1</v>
      </c>
      <c r="L1231" s="58" t="s">
        <v>3529</v>
      </c>
    </row>
    <row r="1232" spans="1:12">
      <c r="A1232" s="7">
        <v>8</v>
      </c>
      <c r="B1232" s="9" t="s">
        <v>335</v>
      </c>
      <c r="C1232" s="50">
        <v>40632.652083333334</v>
      </c>
      <c r="D1232" s="9" t="s">
        <v>335</v>
      </c>
      <c r="E1232" t="str">
        <f t="shared" si="24"/>
        <v>'ad0a6b2'</v>
      </c>
      <c r="F1232" s="9" t="s">
        <v>335</v>
      </c>
      <c r="G1232">
        <v>2</v>
      </c>
      <c r="L1232" s="58" t="s">
        <v>3588</v>
      </c>
    </row>
    <row r="1233" spans="1:12">
      <c r="A1233" s="7">
        <v>8</v>
      </c>
      <c r="B1233" s="9" t="s">
        <v>335</v>
      </c>
      <c r="C1233" s="50">
        <v>40633.797222222223</v>
      </c>
      <c r="D1233" s="9" t="s">
        <v>335</v>
      </c>
      <c r="E1233" t="str">
        <f t="shared" si="24"/>
        <v>'bac0fa7'</v>
      </c>
      <c r="F1233" s="9" t="s">
        <v>335</v>
      </c>
      <c r="G1233">
        <v>3</v>
      </c>
      <c r="L1233" s="58" t="s">
        <v>2824</v>
      </c>
    </row>
    <row r="1234" spans="1:12">
      <c r="A1234" s="7">
        <v>8</v>
      </c>
      <c r="B1234" s="9" t="s">
        <v>335</v>
      </c>
      <c r="C1234" s="50">
        <v>40634.654166666667</v>
      </c>
      <c r="D1234" s="9" t="s">
        <v>335</v>
      </c>
      <c r="E1234" t="str">
        <f t="shared" si="24"/>
        <v>'475b823'</v>
      </c>
      <c r="F1234" s="9" t="s">
        <v>335</v>
      </c>
      <c r="G1234">
        <v>4</v>
      </c>
      <c r="L1234" s="58" t="s">
        <v>2961</v>
      </c>
    </row>
    <row r="1235" spans="1:12">
      <c r="A1235" s="7">
        <v>8</v>
      </c>
      <c r="B1235" s="9" t="s">
        <v>335</v>
      </c>
      <c r="C1235" s="50">
        <v>40634.751388888886</v>
      </c>
      <c r="D1235" s="9" t="s">
        <v>335</v>
      </c>
      <c r="E1235" t="str">
        <f t="shared" si="24"/>
        <v>'c4dfa32'</v>
      </c>
      <c r="F1235" s="9" t="s">
        <v>335</v>
      </c>
      <c r="G1235">
        <v>5</v>
      </c>
      <c r="L1235" s="58" t="s">
        <v>3324</v>
      </c>
    </row>
    <row r="1236" spans="1:12">
      <c r="A1236" s="7">
        <v>8</v>
      </c>
      <c r="B1236" s="9" t="s">
        <v>335</v>
      </c>
      <c r="C1236" s="50">
        <v>40636.425000000003</v>
      </c>
      <c r="D1236" s="9" t="s">
        <v>335</v>
      </c>
      <c r="E1236" t="str">
        <f t="shared" si="24"/>
        <v>'2601ab7'</v>
      </c>
      <c r="F1236" s="9" t="s">
        <v>335</v>
      </c>
      <c r="G1236">
        <v>6</v>
      </c>
      <c r="L1236" s="58" t="s">
        <v>3541</v>
      </c>
    </row>
    <row r="1237" spans="1:12">
      <c r="A1237" s="7">
        <v>8</v>
      </c>
      <c r="B1237" s="9" t="s">
        <v>335</v>
      </c>
      <c r="C1237" s="50">
        <v>40640.877083333333</v>
      </c>
      <c r="D1237" s="9" t="s">
        <v>335</v>
      </c>
      <c r="E1237" t="str">
        <f t="shared" si="24"/>
        <v>'63153cd'</v>
      </c>
      <c r="F1237" s="9" t="s">
        <v>335</v>
      </c>
      <c r="G1237">
        <v>7</v>
      </c>
      <c r="L1237" s="58" t="s">
        <v>2988</v>
      </c>
    </row>
    <row r="1238" spans="1:12">
      <c r="A1238" s="7">
        <v>8</v>
      </c>
      <c r="B1238" s="9" t="s">
        <v>335</v>
      </c>
      <c r="C1238" s="50">
        <v>40650.986805555556</v>
      </c>
      <c r="D1238" s="9" t="s">
        <v>335</v>
      </c>
      <c r="E1238" t="str">
        <f t="shared" si="24"/>
        <v>'b91a29f'</v>
      </c>
      <c r="F1238" s="9" t="s">
        <v>335</v>
      </c>
      <c r="G1238">
        <v>8</v>
      </c>
      <c r="L1238" s="58" t="s">
        <v>3424</v>
      </c>
    </row>
    <row r="1239" spans="1:12">
      <c r="A1239" s="7">
        <v>8</v>
      </c>
      <c r="B1239" s="9" t="s">
        <v>335</v>
      </c>
      <c r="C1239" s="50">
        <v>40659.031944444447</v>
      </c>
      <c r="D1239" s="9" t="s">
        <v>335</v>
      </c>
      <c r="E1239" t="str">
        <f t="shared" si="24"/>
        <v>'1a8ec6c'</v>
      </c>
      <c r="F1239" s="9" t="s">
        <v>335</v>
      </c>
      <c r="G1239">
        <v>9</v>
      </c>
      <c r="L1239" s="58" t="s">
        <v>2573</v>
      </c>
    </row>
    <row r="1240" spans="1:12">
      <c r="A1240" s="7">
        <v>8</v>
      </c>
      <c r="B1240" s="9" t="s">
        <v>335</v>
      </c>
      <c r="C1240" s="50">
        <v>40660.638888888891</v>
      </c>
      <c r="D1240" s="9" t="s">
        <v>335</v>
      </c>
      <c r="E1240" t="str">
        <f t="shared" si="24"/>
        <v>'7cb8624'</v>
      </c>
      <c r="F1240" s="9" t="s">
        <v>335</v>
      </c>
      <c r="G1240">
        <v>10</v>
      </c>
      <c r="L1240" s="58" t="s">
        <v>2574</v>
      </c>
    </row>
    <row r="1241" spans="1:12">
      <c r="A1241" s="7">
        <v>8</v>
      </c>
      <c r="B1241" s="9" t="s">
        <v>335</v>
      </c>
      <c r="C1241" s="50">
        <v>40674.799305555556</v>
      </c>
      <c r="D1241" s="9" t="s">
        <v>335</v>
      </c>
      <c r="E1241" t="str">
        <f t="shared" si="24"/>
        <v>'6140f78'</v>
      </c>
      <c r="F1241" s="9" t="s">
        <v>335</v>
      </c>
      <c r="G1241">
        <v>11</v>
      </c>
      <c r="L1241" s="58" t="s">
        <v>3305</v>
      </c>
    </row>
    <row r="1242" spans="1:12">
      <c r="A1242" s="7">
        <v>8</v>
      </c>
      <c r="B1242" s="9" t="s">
        <v>335</v>
      </c>
      <c r="C1242" s="50">
        <v>40675.750694444447</v>
      </c>
      <c r="D1242" s="9" t="s">
        <v>335</v>
      </c>
      <c r="E1242" t="str">
        <f t="shared" si="24"/>
        <v>'5608a20'</v>
      </c>
      <c r="F1242" s="9" t="s">
        <v>335</v>
      </c>
      <c r="G1242">
        <v>12</v>
      </c>
      <c r="L1242" s="58" t="s">
        <v>3433</v>
      </c>
    </row>
    <row r="1243" spans="1:12">
      <c r="A1243" s="7">
        <v>8</v>
      </c>
      <c r="B1243" s="9" t="s">
        <v>335</v>
      </c>
      <c r="C1243" s="50">
        <v>40682.592361111114</v>
      </c>
      <c r="D1243" s="9" t="s">
        <v>335</v>
      </c>
      <c r="E1243" t="str">
        <f t="shared" si="24"/>
        <v>'b255dca'</v>
      </c>
      <c r="F1243" s="9" t="s">
        <v>335</v>
      </c>
      <c r="G1243">
        <v>13</v>
      </c>
      <c r="L1243" s="58" t="s">
        <v>3210</v>
      </c>
    </row>
    <row r="1244" spans="1:12">
      <c r="A1244" s="7">
        <v>8</v>
      </c>
      <c r="B1244" s="9" t="s">
        <v>335</v>
      </c>
      <c r="C1244" s="50">
        <v>40682.714583333334</v>
      </c>
      <c r="D1244" s="9" t="s">
        <v>335</v>
      </c>
      <c r="E1244" t="str">
        <f t="shared" ref="E1244:E1259" si="25">CONCATENATE("'",L1244,"'")</f>
        <v>'8359fc4'</v>
      </c>
      <c r="F1244" s="9" t="s">
        <v>335</v>
      </c>
      <c r="G1244">
        <v>14</v>
      </c>
      <c r="L1244" s="58" t="s">
        <v>2939</v>
      </c>
    </row>
    <row r="1245" spans="1:12">
      <c r="A1245" s="7">
        <v>8</v>
      </c>
      <c r="B1245" s="9" t="s">
        <v>335</v>
      </c>
      <c r="C1245" s="50">
        <v>40682.79791666667</v>
      </c>
      <c r="D1245" s="9" t="s">
        <v>335</v>
      </c>
      <c r="E1245" t="str">
        <f t="shared" si="25"/>
        <v>'e635eb4'</v>
      </c>
      <c r="F1245" s="9" t="s">
        <v>335</v>
      </c>
      <c r="G1245">
        <v>15</v>
      </c>
      <c r="L1245" s="58" t="s">
        <v>3303</v>
      </c>
    </row>
    <row r="1246" spans="1:12">
      <c r="A1246" s="7">
        <v>8</v>
      </c>
      <c r="B1246" s="9" t="s">
        <v>335</v>
      </c>
      <c r="C1246" s="50">
        <v>40694.797222222223</v>
      </c>
      <c r="D1246" s="9" t="s">
        <v>335</v>
      </c>
      <c r="E1246" t="str">
        <f t="shared" si="25"/>
        <v>'e52f491'</v>
      </c>
      <c r="F1246" s="9" t="s">
        <v>335</v>
      </c>
      <c r="G1246">
        <v>16</v>
      </c>
      <c r="L1246" s="58" t="s">
        <v>3142</v>
      </c>
    </row>
    <row r="1247" spans="1:12">
      <c r="A1247" s="7">
        <v>8</v>
      </c>
      <c r="B1247" s="9" t="s">
        <v>335</v>
      </c>
      <c r="C1247" s="50">
        <v>40694.801388888889</v>
      </c>
      <c r="D1247" s="9" t="s">
        <v>335</v>
      </c>
      <c r="E1247" t="str">
        <f t="shared" si="25"/>
        <v>'b66ec96'</v>
      </c>
      <c r="F1247" s="9" t="s">
        <v>335</v>
      </c>
      <c r="G1247">
        <v>17</v>
      </c>
      <c r="L1247" s="58" t="s">
        <v>3410</v>
      </c>
    </row>
    <row r="1248" spans="1:12">
      <c r="A1248" s="7">
        <v>8</v>
      </c>
      <c r="B1248" s="9" t="s">
        <v>335</v>
      </c>
      <c r="C1248" s="50">
        <v>40703.720833333333</v>
      </c>
      <c r="D1248" s="9" t="s">
        <v>335</v>
      </c>
      <c r="E1248" t="str">
        <f t="shared" si="25"/>
        <v>'0893ed2'</v>
      </c>
      <c r="F1248" s="9" t="s">
        <v>335</v>
      </c>
      <c r="G1248">
        <v>18</v>
      </c>
      <c r="L1248" s="58" t="s">
        <v>3260</v>
      </c>
    </row>
    <row r="1249" spans="1:12">
      <c r="A1249" s="7">
        <v>8</v>
      </c>
      <c r="B1249" s="9" t="s">
        <v>335</v>
      </c>
      <c r="C1249" s="50">
        <v>40708.459722222222</v>
      </c>
      <c r="D1249" s="9" t="s">
        <v>335</v>
      </c>
      <c r="E1249" t="str">
        <f t="shared" si="25"/>
        <v>'c131595'</v>
      </c>
      <c r="F1249" s="9" t="s">
        <v>335</v>
      </c>
      <c r="G1249">
        <v>19</v>
      </c>
      <c r="L1249" s="58" t="s">
        <v>2666</v>
      </c>
    </row>
    <row r="1250" spans="1:12">
      <c r="A1250" s="7">
        <v>8</v>
      </c>
      <c r="B1250" s="9" t="s">
        <v>335</v>
      </c>
      <c r="C1250" s="50">
        <v>40710.586805555555</v>
      </c>
      <c r="D1250" s="9" t="s">
        <v>335</v>
      </c>
      <c r="E1250" t="str">
        <f t="shared" si="25"/>
        <v>'242fc10'</v>
      </c>
      <c r="F1250" s="9" t="s">
        <v>335</v>
      </c>
      <c r="G1250">
        <v>20</v>
      </c>
      <c r="L1250" s="58" t="s">
        <v>3527</v>
      </c>
    </row>
    <row r="1251" spans="1:12">
      <c r="A1251" s="7">
        <v>8</v>
      </c>
      <c r="B1251" s="9" t="s">
        <v>335</v>
      </c>
      <c r="C1251" s="50">
        <v>40717.543055555558</v>
      </c>
      <c r="D1251" s="9" t="s">
        <v>335</v>
      </c>
      <c r="E1251" t="str">
        <f t="shared" si="25"/>
        <v>'de9ffd0'</v>
      </c>
      <c r="F1251" s="9" t="s">
        <v>335</v>
      </c>
      <c r="G1251">
        <v>21</v>
      </c>
      <c r="L1251" s="58" t="s">
        <v>2979</v>
      </c>
    </row>
    <row r="1252" spans="1:12">
      <c r="A1252" s="7">
        <v>8</v>
      </c>
      <c r="B1252" s="9" t="s">
        <v>335</v>
      </c>
      <c r="C1252" s="50">
        <v>40717.605555555558</v>
      </c>
      <c r="D1252" s="9" t="s">
        <v>335</v>
      </c>
      <c r="E1252" t="str">
        <f t="shared" si="25"/>
        <v>'9ed2ae8'</v>
      </c>
      <c r="F1252" s="9" t="s">
        <v>335</v>
      </c>
      <c r="G1252">
        <v>22</v>
      </c>
      <c r="L1252" s="58" t="s">
        <v>2721</v>
      </c>
    </row>
    <row r="1253" spans="1:12">
      <c r="A1253" s="7">
        <v>8</v>
      </c>
      <c r="B1253" s="9" t="s">
        <v>335</v>
      </c>
      <c r="C1253" s="50">
        <v>40736.720138888886</v>
      </c>
      <c r="D1253" s="9" t="s">
        <v>335</v>
      </c>
      <c r="E1253" t="str">
        <f t="shared" si="25"/>
        <v>'6c31fec'</v>
      </c>
      <c r="F1253" s="9" t="s">
        <v>335</v>
      </c>
      <c r="G1253">
        <v>23</v>
      </c>
      <c r="L1253" s="58" t="s">
        <v>3234</v>
      </c>
    </row>
    <row r="1254" spans="1:12">
      <c r="A1254" s="7">
        <v>8</v>
      </c>
      <c r="B1254" s="9" t="s">
        <v>335</v>
      </c>
      <c r="C1254" s="50">
        <v>40737.827777777777</v>
      </c>
      <c r="D1254" s="9" t="s">
        <v>335</v>
      </c>
      <c r="E1254" t="str">
        <f t="shared" si="25"/>
        <v>'2ac361e'</v>
      </c>
      <c r="F1254" s="9" t="s">
        <v>335</v>
      </c>
      <c r="G1254">
        <v>24</v>
      </c>
      <c r="L1254" s="58" t="s">
        <v>2687</v>
      </c>
    </row>
    <row r="1255" spans="1:12">
      <c r="A1255" s="7">
        <v>8</v>
      </c>
      <c r="B1255" s="9" t="s">
        <v>335</v>
      </c>
      <c r="C1255" s="50">
        <v>40738.752083333333</v>
      </c>
      <c r="D1255" s="9" t="s">
        <v>335</v>
      </c>
      <c r="E1255" t="str">
        <f t="shared" si="25"/>
        <v>'784fecd'</v>
      </c>
      <c r="F1255" s="9" t="s">
        <v>335</v>
      </c>
      <c r="G1255">
        <v>25</v>
      </c>
      <c r="L1255" s="58" t="s">
        <v>2800</v>
      </c>
    </row>
    <row r="1256" spans="1:12">
      <c r="A1256" s="7">
        <v>8</v>
      </c>
      <c r="B1256" s="9" t="s">
        <v>335</v>
      </c>
      <c r="C1256" s="50">
        <v>40740.382638888892</v>
      </c>
      <c r="D1256" s="9" t="s">
        <v>335</v>
      </c>
      <c r="E1256" t="str">
        <f t="shared" si="25"/>
        <v>'25e2982'</v>
      </c>
      <c r="F1256" s="9" t="s">
        <v>335</v>
      </c>
      <c r="G1256">
        <v>26</v>
      </c>
      <c r="L1256" s="58" t="s">
        <v>2778</v>
      </c>
    </row>
    <row r="1257" spans="1:12">
      <c r="A1257" s="7">
        <v>8</v>
      </c>
      <c r="B1257" s="9" t="s">
        <v>335</v>
      </c>
      <c r="C1257" s="50">
        <v>40746.725694444445</v>
      </c>
      <c r="D1257" s="9" t="s">
        <v>335</v>
      </c>
      <c r="E1257" t="str">
        <f t="shared" si="25"/>
        <v>'abfbe22'</v>
      </c>
      <c r="F1257" s="9" t="s">
        <v>335</v>
      </c>
      <c r="G1257">
        <v>27</v>
      </c>
      <c r="L1257" s="58" t="s">
        <v>3003</v>
      </c>
    </row>
    <row r="1258" spans="1:12">
      <c r="A1258" s="7">
        <v>8</v>
      </c>
      <c r="B1258" s="9" t="s">
        <v>335</v>
      </c>
      <c r="C1258" s="50">
        <v>40750.68472222222</v>
      </c>
      <c r="D1258" s="9" t="s">
        <v>335</v>
      </c>
      <c r="E1258" t="str">
        <f t="shared" si="25"/>
        <v>'b2be54f'</v>
      </c>
      <c r="F1258" s="9" t="s">
        <v>335</v>
      </c>
      <c r="G1258">
        <v>28</v>
      </c>
      <c r="L1258" s="58" t="s">
        <v>3414</v>
      </c>
    </row>
    <row r="1259" spans="1:12">
      <c r="A1259" s="7">
        <v>8</v>
      </c>
      <c r="B1259" s="9" t="s">
        <v>335</v>
      </c>
      <c r="C1259" s="50">
        <v>40752.459027777775</v>
      </c>
      <c r="D1259" s="9" t="s">
        <v>335</v>
      </c>
      <c r="E1259" t="str">
        <f t="shared" si="25"/>
        <v>'8a9376a'</v>
      </c>
      <c r="F1259" s="9" t="s">
        <v>335</v>
      </c>
      <c r="G1259">
        <v>29</v>
      </c>
      <c r="L1259" s="58" t="s">
        <v>3181</v>
      </c>
    </row>
    <row r="1262" spans="1:12">
      <c r="A1262">
        <v>1</v>
      </c>
      <c r="B1262" s="9" t="s">
        <v>335</v>
      </c>
      <c r="C1262" s="50">
        <v>40185.501388888886</v>
      </c>
      <c r="D1262" s="9" t="s">
        <v>335</v>
      </c>
      <c r="E1262" t="str">
        <f t="shared" ref="E1262:E1323" si="26">CONCATENATE("'",L1262,"'")</f>
        <v>'aa5715c'</v>
      </c>
      <c r="F1262" s="9" t="s">
        <v>335</v>
      </c>
      <c r="G1262" s="4">
        <v>1</v>
      </c>
      <c r="H1262" t="s">
        <v>3701</v>
      </c>
      <c r="L1262" s="58" t="s">
        <v>3316</v>
      </c>
    </row>
    <row r="1263" spans="1:12">
      <c r="A1263">
        <v>1</v>
      </c>
      <c r="B1263" s="9" t="s">
        <v>335</v>
      </c>
      <c r="C1263" s="50">
        <v>40194.745833333334</v>
      </c>
      <c r="D1263" s="9" t="s">
        <v>335</v>
      </c>
      <c r="E1263" t="str">
        <f t="shared" si="26"/>
        <v>'d9d93c5'</v>
      </c>
      <c r="F1263" s="9" t="s">
        <v>335</v>
      </c>
      <c r="G1263" s="4">
        <v>2</v>
      </c>
      <c r="L1263" s="58" t="s">
        <v>2769</v>
      </c>
    </row>
    <row r="1264" spans="1:12">
      <c r="A1264">
        <v>1</v>
      </c>
      <c r="B1264" s="9" t="s">
        <v>335</v>
      </c>
      <c r="C1264" s="50">
        <v>40197.446527777778</v>
      </c>
      <c r="D1264" s="9" t="s">
        <v>335</v>
      </c>
      <c r="E1264" t="str">
        <f t="shared" si="26"/>
        <v>'af23673'</v>
      </c>
      <c r="F1264" s="9" t="s">
        <v>335</v>
      </c>
      <c r="G1264" s="4">
        <v>3</v>
      </c>
      <c r="L1264" s="58" t="s">
        <v>3108</v>
      </c>
    </row>
    <row r="1265" spans="1:12">
      <c r="A1265">
        <v>1</v>
      </c>
      <c r="B1265" s="9" t="s">
        <v>335</v>
      </c>
      <c r="C1265" s="50">
        <v>40198.720138888886</v>
      </c>
      <c r="D1265" s="9" t="s">
        <v>335</v>
      </c>
      <c r="E1265" t="str">
        <f t="shared" si="26"/>
        <v>'b14fa21'</v>
      </c>
      <c r="F1265" s="9" t="s">
        <v>335</v>
      </c>
      <c r="G1265" s="4">
        <v>4</v>
      </c>
      <c r="L1265" s="58" t="s">
        <v>2815</v>
      </c>
    </row>
    <row r="1266" spans="1:12">
      <c r="A1266">
        <v>1</v>
      </c>
      <c r="B1266" s="9" t="s">
        <v>335</v>
      </c>
      <c r="C1266" s="50">
        <v>40210.053472222222</v>
      </c>
      <c r="D1266" s="9" t="s">
        <v>335</v>
      </c>
      <c r="E1266" t="str">
        <f t="shared" si="26"/>
        <v>'d5ad745'</v>
      </c>
      <c r="F1266" s="9" t="s">
        <v>335</v>
      </c>
      <c r="G1266" s="4">
        <v>5</v>
      </c>
      <c r="L1266" s="58" t="s">
        <v>3079</v>
      </c>
    </row>
    <row r="1267" spans="1:12">
      <c r="A1267">
        <v>1</v>
      </c>
      <c r="B1267" s="9" t="s">
        <v>335</v>
      </c>
      <c r="C1267" s="50">
        <v>40210.582638888889</v>
      </c>
      <c r="D1267" s="9" t="s">
        <v>335</v>
      </c>
      <c r="E1267" t="str">
        <f t="shared" si="26"/>
        <v>'d2caede'</v>
      </c>
      <c r="F1267" s="9" t="s">
        <v>335</v>
      </c>
      <c r="G1267" s="4">
        <v>6</v>
      </c>
      <c r="L1267" s="58" t="s">
        <v>3080</v>
      </c>
    </row>
    <row r="1268" spans="1:12">
      <c r="A1268">
        <v>1</v>
      </c>
      <c r="B1268" s="9" t="s">
        <v>335</v>
      </c>
      <c r="C1268" s="50">
        <v>40217.644444444442</v>
      </c>
      <c r="D1268" s="9" t="s">
        <v>335</v>
      </c>
      <c r="E1268" t="str">
        <f t="shared" si="26"/>
        <v>'0852fcb'</v>
      </c>
      <c r="F1268" s="9" t="s">
        <v>335</v>
      </c>
      <c r="G1268" s="4">
        <v>7</v>
      </c>
      <c r="L1268" s="58" t="s">
        <v>3504</v>
      </c>
    </row>
    <row r="1269" spans="1:12">
      <c r="A1269">
        <v>1</v>
      </c>
      <c r="B1269" s="9" t="s">
        <v>335</v>
      </c>
      <c r="C1269" s="50">
        <v>40224.48541666667</v>
      </c>
      <c r="D1269" s="9" t="s">
        <v>335</v>
      </c>
      <c r="E1269" t="str">
        <f t="shared" si="26"/>
        <v>'b3b7b43'</v>
      </c>
      <c r="F1269" s="9" t="s">
        <v>335</v>
      </c>
      <c r="G1269" s="4">
        <v>8</v>
      </c>
      <c r="L1269" s="58" t="s">
        <v>2946</v>
      </c>
    </row>
    <row r="1270" spans="1:12">
      <c r="A1270">
        <v>1</v>
      </c>
      <c r="B1270" s="9" t="s">
        <v>335</v>
      </c>
      <c r="C1270" s="50">
        <v>40226.634027777778</v>
      </c>
      <c r="D1270" s="9" t="s">
        <v>335</v>
      </c>
      <c r="E1270" t="str">
        <f t="shared" si="26"/>
        <v>'d2c8824'</v>
      </c>
      <c r="F1270" s="9" t="s">
        <v>335</v>
      </c>
      <c r="G1270" s="4">
        <v>9</v>
      </c>
      <c r="L1270" s="58" t="s">
        <v>3490</v>
      </c>
    </row>
    <row r="1271" spans="1:12">
      <c r="A1271">
        <v>1</v>
      </c>
      <c r="B1271" s="9" t="s">
        <v>335</v>
      </c>
      <c r="C1271" s="50">
        <v>40227.770138888889</v>
      </c>
      <c r="D1271" s="9" t="s">
        <v>335</v>
      </c>
      <c r="E1271" t="str">
        <f t="shared" si="26"/>
        <v>'b3683e1'</v>
      </c>
      <c r="F1271" s="9" t="s">
        <v>335</v>
      </c>
      <c r="G1271" s="4">
        <v>10</v>
      </c>
      <c r="L1271" s="58" t="s">
        <v>3322</v>
      </c>
    </row>
    <row r="1272" spans="1:12">
      <c r="A1272">
        <v>1</v>
      </c>
      <c r="B1272" s="9" t="s">
        <v>335</v>
      </c>
      <c r="C1272" s="50">
        <v>40249.949305555558</v>
      </c>
      <c r="D1272" s="9" t="s">
        <v>335</v>
      </c>
      <c r="E1272" t="str">
        <f t="shared" si="26"/>
        <v>'5c596e6'</v>
      </c>
      <c r="F1272" s="9" t="s">
        <v>335</v>
      </c>
      <c r="G1272" s="4">
        <v>11</v>
      </c>
      <c r="L1272" s="58" t="s">
        <v>3064</v>
      </c>
    </row>
    <row r="1273" spans="1:12">
      <c r="A1273">
        <v>1</v>
      </c>
      <c r="B1273" s="9" t="s">
        <v>335</v>
      </c>
      <c r="C1273" s="50">
        <v>40322.975694444445</v>
      </c>
      <c r="D1273" s="9" t="s">
        <v>335</v>
      </c>
      <c r="E1273" t="str">
        <f t="shared" si="26"/>
        <v>'3841c74'</v>
      </c>
      <c r="F1273" s="9" t="s">
        <v>335</v>
      </c>
      <c r="G1273" s="4">
        <v>12</v>
      </c>
      <c r="L1273" s="58" t="s">
        <v>3660</v>
      </c>
    </row>
    <row r="1274" spans="1:12">
      <c r="A1274">
        <v>1</v>
      </c>
      <c r="B1274" s="9" t="s">
        <v>335</v>
      </c>
      <c r="C1274" s="50">
        <v>40345.768750000003</v>
      </c>
      <c r="D1274" s="9" t="s">
        <v>335</v>
      </c>
      <c r="E1274" t="str">
        <f t="shared" si="26"/>
        <v>'3363fcc'</v>
      </c>
      <c r="F1274" s="9" t="s">
        <v>335</v>
      </c>
      <c r="G1274" s="4">
        <v>13</v>
      </c>
      <c r="L1274" s="58" t="s">
        <v>3276</v>
      </c>
    </row>
    <row r="1275" spans="1:12">
      <c r="A1275">
        <v>2</v>
      </c>
      <c r="B1275" s="9" t="s">
        <v>335</v>
      </c>
      <c r="C1275" s="50">
        <v>40182.720138888886</v>
      </c>
      <c r="D1275" s="9" t="s">
        <v>335</v>
      </c>
      <c r="E1275" t="str">
        <f t="shared" si="26"/>
        <v>'a0e207d'</v>
      </c>
      <c r="F1275" s="9" t="s">
        <v>335</v>
      </c>
      <c r="G1275" s="4">
        <v>1</v>
      </c>
      <c r="L1275" s="58" t="s">
        <v>3131</v>
      </c>
    </row>
    <row r="1276" spans="1:12">
      <c r="A1276">
        <v>2</v>
      </c>
      <c r="B1276" s="9" t="s">
        <v>335</v>
      </c>
      <c r="C1276" s="50">
        <v>40183.463194444441</v>
      </c>
      <c r="D1276" s="9" t="s">
        <v>335</v>
      </c>
      <c r="E1276" t="str">
        <f t="shared" si="26"/>
        <v>'2c168c7'</v>
      </c>
      <c r="F1276" s="9" t="s">
        <v>335</v>
      </c>
      <c r="G1276" s="4">
        <v>2</v>
      </c>
      <c r="L1276" s="58" t="s">
        <v>3374</v>
      </c>
    </row>
    <row r="1277" spans="1:12">
      <c r="A1277">
        <v>2</v>
      </c>
      <c r="B1277" s="9" t="s">
        <v>335</v>
      </c>
      <c r="C1277" s="50">
        <v>40183.552083333336</v>
      </c>
      <c r="D1277" s="9" t="s">
        <v>335</v>
      </c>
      <c r="E1277" t="str">
        <f t="shared" si="26"/>
        <v>'925cc61'</v>
      </c>
      <c r="F1277" s="9" t="s">
        <v>335</v>
      </c>
      <c r="G1277" s="4">
        <v>3</v>
      </c>
      <c r="L1277" s="58" t="s">
        <v>3335</v>
      </c>
    </row>
    <row r="1278" spans="1:12">
      <c r="A1278">
        <v>2</v>
      </c>
      <c r="B1278" s="9" t="s">
        <v>335</v>
      </c>
      <c r="C1278" s="50">
        <v>40183.571527777778</v>
      </c>
      <c r="D1278" s="9" t="s">
        <v>335</v>
      </c>
      <c r="E1278" t="str">
        <f t="shared" si="26"/>
        <v>'1f6a817'</v>
      </c>
      <c r="F1278" s="9" t="s">
        <v>335</v>
      </c>
      <c r="G1278" s="4">
        <v>4</v>
      </c>
      <c r="L1278" s="58" t="s">
        <v>2841</v>
      </c>
    </row>
    <row r="1279" spans="1:12">
      <c r="A1279">
        <v>2</v>
      </c>
      <c r="B1279" s="9" t="s">
        <v>335</v>
      </c>
      <c r="C1279" s="50">
        <v>40183.602083333331</v>
      </c>
      <c r="D1279" s="9" t="s">
        <v>335</v>
      </c>
      <c r="E1279" t="str">
        <f t="shared" si="26"/>
        <v>'f056102'</v>
      </c>
      <c r="F1279" s="9" t="s">
        <v>335</v>
      </c>
      <c r="G1279" s="4">
        <v>5</v>
      </c>
      <c r="L1279" s="58" t="s">
        <v>3418</v>
      </c>
    </row>
    <row r="1280" spans="1:12">
      <c r="A1280">
        <v>2</v>
      </c>
      <c r="B1280" s="9" t="s">
        <v>335</v>
      </c>
      <c r="C1280" s="50">
        <v>40183.658333333333</v>
      </c>
      <c r="D1280" s="9" t="s">
        <v>335</v>
      </c>
      <c r="E1280" t="str">
        <f t="shared" si="26"/>
        <v>'b00c12e'</v>
      </c>
      <c r="F1280" s="9" t="s">
        <v>335</v>
      </c>
      <c r="G1280" s="4">
        <v>6</v>
      </c>
      <c r="L1280" s="58" t="s">
        <v>3581</v>
      </c>
    </row>
    <row r="1281" spans="1:12">
      <c r="A1281">
        <v>2</v>
      </c>
      <c r="B1281" s="9" t="s">
        <v>335</v>
      </c>
      <c r="C1281" s="50">
        <v>40183.787499999999</v>
      </c>
      <c r="D1281" s="9" t="s">
        <v>335</v>
      </c>
      <c r="E1281" t="str">
        <f t="shared" si="26"/>
        <v>'15bd2eb'</v>
      </c>
      <c r="F1281" s="9" t="s">
        <v>335</v>
      </c>
      <c r="G1281" s="4">
        <v>7</v>
      </c>
      <c r="L1281" s="58" t="s">
        <v>2936</v>
      </c>
    </row>
    <row r="1282" spans="1:12">
      <c r="A1282">
        <v>2</v>
      </c>
      <c r="B1282" s="9" t="s">
        <v>335</v>
      </c>
      <c r="C1282" s="50">
        <v>40184.427777777775</v>
      </c>
      <c r="D1282" s="9" t="s">
        <v>335</v>
      </c>
      <c r="E1282" t="str">
        <f t="shared" si="26"/>
        <v>'4e6992d'</v>
      </c>
      <c r="F1282" s="9" t="s">
        <v>335</v>
      </c>
      <c r="G1282" s="4">
        <v>8</v>
      </c>
      <c r="L1282" s="58" t="s">
        <v>3222</v>
      </c>
    </row>
    <row r="1283" spans="1:12">
      <c r="A1283">
        <v>2</v>
      </c>
      <c r="B1283" s="9" t="s">
        <v>335</v>
      </c>
      <c r="C1283" s="50">
        <v>40184.757638888892</v>
      </c>
      <c r="D1283" s="9" t="s">
        <v>335</v>
      </c>
      <c r="E1283" t="str">
        <f t="shared" si="26"/>
        <v>'cdf2d97'</v>
      </c>
      <c r="F1283" s="9" t="s">
        <v>335</v>
      </c>
      <c r="G1283" s="4">
        <v>9</v>
      </c>
      <c r="L1283" s="58" t="s">
        <v>2707</v>
      </c>
    </row>
    <row r="1284" spans="1:12">
      <c r="A1284">
        <v>2</v>
      </c>
      <c r="B1284" s="9" t="s">
        <v>335</v>
      </c>
      <c r="C1284" s="50">
        <v>40185.484027777777</v>
      </c>
      <c r="D1284" s="9" t="s">
        <v>335</v>
      </c>
      <c r="E1284" t="str">
        <f t="shared" si="26"/>
        <v>'d9f3267'</v>
      </c>
      <c r="F1284" s="9" t="s">
        <v>335</v>
      </c>
      <c r="G1284" s="4">
        <v>10</v>
      </c>
      <c r="L1284" s="58" t="s">
        <v>3315</v>
      </c>
    </row>
    <row r="1285" spans="1:12">
      <c r="A1285">
        <v>2</v>
      </c>
      <c r="B1285" s="9" t="s">
        <v>335</v>
      </c>
      <c r="C1285" s="50">
        <v>40185.803472222222</v>
      </c>
      <c r="D1285" s="9" t="s">
        <v>335</v>
      </c>
      <c r="E1285" t="str">
        <f t="shared" si="26"/>
        <v>'d604e60'</v>
      </c>
      <c r="F1285" s="9" t="s">
        <v>335</v>
      </c>
      <c r="G1285" s="4">
        <v>11</v>
      </c>
      <c r="L1285" s="58" t="s">
        <v>2683</v>
      </c>
    </row>
    <row r="1286" spans="1:12">
      <c r="A1286">
        <v>2</v>
      </c>
      <c r="B1286" s="9" t="s">
        <v>335</v>
      </c>
      <c r="C1286" s="50">
        <v>40186.76666666667</v>
      </c>
      <c r="D1286" s="9" t="s">
        <v>335</v>
      </c>
      <c r="E1286" t="str">
        <f t="shared" si="26"/>
        <v>'371b201'</v>
      </c>
      <c r="F1286" s="9" t="s">
        <v>335</v>
      </c>
      <c r="G1286" s="4">
        <v>12</v>
      </c>
      <c r="L1286" s="58" t="s">
        <v>2568</v>
      </c>
    </row>
    <row r="1287" spans="1:12">
      <c r="A1287">
        <v>2</v>
      </c>
      <c r="B1287" s="9" t="s">
        <v>335</v>
      </c>
      <c r="C1287" s="50">
        <v>40189.763888888891</v>
      </c>
      <c r="D1287" s="9" t="s">
        <v>335</v>
      </c>
      <c r="E1287" t="str">
        <f t="shared" si="26"/>
        <v>'4b0c40b'</v>
      </c>
      <c r="F1287" s="9" t="s">
        <v>335</v>
      </c>
      <c r="G1287" s="4">
        <v>13</v>
      </c>
      <c r="L1287" s="58" t="s">
        <v>2626</v>
      </c>
    </row>
    <row r="1288" spans="1:12">
      <c r="A1288">
        <v>2</v>
      </c>
      <c r="B1288" s="9" t="s">
        <v>335</v>
      </c>
      <c r="C1288" s="50">
        <v>40191.154861111114</v>
      </c>
      <c r="D1288" s="9" t="s">
        <v>335</v>
      </c>
      <c r="E1288" t="str">
        <f t="shared" si="26"/>
        <v>'54e5737'</v>
      </c>
      <c r="F1288" s="9" t="s">
        <v>335</v>
      </c>
      <c r="G1288" s="4">
        <v>14</v>
      </c>
      <c r="L1288" s="58" t="s">
        <v>3421</v>
      </c>
    </row>
    <row r="1289" spans="1:12">
      <c r="A1289">
        <v>2</v>
      </c>
      <c r="B1289" s="9" t="s">
        <v>335</v>
      </c>
      <c r="C1289" s="50">
        <v>40192.006249999999</v>
      </c>
      <c r="D1289" s="9" t="s">
        <v>335</v>
      </c>
      <c r="E1289" t="str">
        <f t="shared" si="26"/>
        <v>'2db0795'</v>
      </c>
      <c r="F1289" s="9" t="s">
        <v>335</v>
      </c>
      <c r="G1289" s="4">
        <v>15</v>
      </c>
      <c r="L1289" s="58" t="s">
        <v>2768</v>
      </c>
    </row>
    <row r="1290" spans="1:12">
      <c r="A1290">
        <v>2</v>
      </c>
      <c r="B1290" s="9" t="s">
        <v>335</v>
      </c>
      <c r="C1290" s="50">
        <v>40194.855555555558</v>
      </c>
      <c r="D1290" s="9" t="s">
        <v>335</v>
      </c>
      <c r="E1290" t="str">
        <f t="shared" si="26"/>
        <v>'4cd01ca'</v>
      </c>
      <c r="F1290" s="9" t="s">
        <v>335</v>
      </c>
      <c r="G1290" s="4">
        <v>16</v>
      </c>
      <c r="L1290" s="58" t="s">
        <v>3193</v>
      </c>
    </row>
    <row r="1291" spans="1:12">
      <c r="A1291">
        <v>2</v>
      </c>
      <c r="B1291" s="9" t="s">
        <v>335</v>
      </c>
      <c r="C1291" s="50">
        <v>40195.943055555559</v>
      </c>
      <c r="D1291" s="9" t="s">
        <v>335</v>
      </c>
      <c r="E1291" t="str">
        <f t="shared" si="26"/>
        <v>'c65f149'</v>
      </c>
      <c r="F1291" s="9" t="s">
        <v>335</v>
      </c>
      <c r="G1291" s="4">
        <v>17</v>
      </c>
      <c r="L1291" s="58" t="s">
        <v>3551</v>
      </c>
    </row>
    <row r="1292" spans="1:12">
      <c r="A1292">
        <v>2</v>
      </c>
      <c r="B1292" s="9" t="s">
        <v>335</v>
      </c>
      <c r="C1292" s="50">
        <v>40197.446527777778</v>
      </c>
      <c r="D1292" s="9" t="s">
        <v>335</v>
      </c>
      <c r="E1292" t="str">
        <f t="shared" si="26"/>
        <v>'25b9084'</v>
      </c>
      <c r="F1292" s="9" t="s">
        <v>335</v>
      </c>
      <c r="G1292" s="4">
        <v>18</v>
      </c>
      <c r="L1292" s="58" t="s">
        <v>3107</v>
      </c>
    </row>
    <row r="1293" spans="1:12">
      <c r="A1293">
        <v>2</v>
      </c>
      <c r="B1293" s="9" t="s">
        <v>335</v>
      </c>
      <c r="C1293" s="50">
        <v>40197.446527777778</v>
      </c>
      <c r="D1293" s="9" t="s">
        <v>335</v>
      </c>
      <c r="E1293" t="str">
        <f t="shared" si="26"/>
        <v>'af23673'</v>
      </c>
      <c r="F1293" s="9" t="s">
        <v>335</v>
      </c>
      <c r="G1293" s="4">
        <v>19</v>
      </c>
      <c r="L1293" s="58" t="s">
        <v>3108</v>
      </c>
    </row>
    <row r="1294" spans="1:12">
      <c r="A1294">
        <v>2</v>
      </c>
      <c r="B1294" s="9" t="s">
        <v>335</v>
      </c>
      <c r="C1294" s="50">
        <v>40197.811111111114</v>
      </c>
      <c r="D1294" s="9" t="s">
        <v>335</v>
      </c>
      <c r="E1294" t="str">
        <f t="shared" si="26"/>
        <v>'e153bcf'</v>
      </c>
      <c r="F1294" s="9" t="s">
        <v>335</v>
      </c>
      <c r="G1294" s="4">
        <v>20</v>
      </c>
      <c r="L1294" s="58" t="s">
        <v>2814</v>
      </c>
    </row>
    <row r="1295" spans="1:12">
      <c r="A1295">
        <v>2</v>
      </c>
      <c r="B1295" s="9" t="s">
        <v>335</v>
      </c>
      <c r="C1295" s="50">
        <v>40199.5</v>
      </c>
      <c r="D1295" s="9" t="s">
        <v>335</v>
      </c>
      <c r="E1295" t="str">
        <f t="shared" si="26"/>
        <v>'09037a9'</v>
      </c>
      <c r="F1295" s="9" t="s">
        <v>335</v>
      </c>
      <c r="G1295" s="4">
        <v>21</v>
      </c>
      <c r="L1295" s="58" t="s">
        <v>3034</v>
      </c>
    </row>
    <row r="1296" spans="1:12">
      <c r="A1296">
        <v>2</v>
      </c>
      <c r="B1296" s="9" t="s">
        <v>335</v>
      </c>
      <c r="C1296" s="50">
        <v>40199.976388888892</v>
      </c>
      <c r="D1296" s="9" t="s">
        <v>335</v>
      </c>
      <c r="E1296" t="str">
        <f t="shared" si="26"/>
        <v>'7ad319a'</v>
      </c>
      <c r="F1296" s="9" t="s">
        <v>335</v>
      </c>
      <c r="G1296" s="4">
        <v>22</v>
      </c>
      <c r="L1296" s="58" t="s">
        <v>3642</v>
      </c>
    </row>
    <row r="1297" spans="1:12">
      <c r="A1297">
        <v>2</v>
      </c>
      <c r="B1297" s="9" t="s">
        <v>335</v>
      </c>
      <c r="C1297" s="50">
        <v>40199.978472222225</v>
      </c>
      <c r="D1297" s="9" t="s">
        <v>335</v>
      </c>
      <c r="E1297" t="str">
        <f t="shared" si="26"/>
        <v>'6e74d62'</v>
      </c>
      <c r="F1297" s="9" t="s">
        <v>335</v>
      </c>
      <c r="G1297" s="4">
        <v>23</v>
      </c>
      <c r="L1297" s="58" t="s">
        <v>3389</v>
      </c>
    </row>
    <row r="1298" spans="1:12">
      <c r="A1298">
        <v>2</v>
      </c>
      <c r="B1298" s="9" t="s">
        <v>335</v>
      </c>
      <c r="C1298" s="50">
        <v>40200.461111111108</v>
      </c>
      <c r="D1298" s="9" t="s">
        <v>335</v>
      </c>
      <c r="E1298" t="str">
        <f t="shared" si="26"/>
        <v>'9957276'</v>
      </c>
      <c r="F1298" s="9" t="s">
        <v>335</v>
      </c>
      <c r="G1298" s="4">
        <v>24</v>
      </c>
      <c r="L1298" s="58" t="s">
        <v>2929</v>
      </c>
    </row>
    <row r="1299" spans="1:12">
      <c r="A1299">
        <v>2</v>
      </c>
      <c r="B1299" s="9" t="s">
        <v>335</v>
      </c>
      <c r="C1299" s="50">
        <v>40200.652083333334</v>
      </c>
      <c r="D1299" s="9" t="s">
        <v>335</v>
      </c>
      <c r="E1299" t="str">
        <f t="shared" si="26"/>
        <v>'4fd6333'</v>
      </c>
      <c r="F1299" s="9" t="s">
        <v>335</v>
      </c>
      <c r="G1299" s="4">
        <v>25</v>
      </c>
      <c r="L1299" s="58" t="s">
        <v>3226</v>
      </c>
    </row>
    <row r="1300" spans="1:12">
      <c r="A1300">
        <v>2</v>
      </c>
      <c r="B1300" s="9" t="s">
        <v>335</v>
      </c>
      <c r="C1300" s="50">
        <v>40205.76666666667</v>
      </c>
      <c r="D1300" s="9" t="s">
        <v>335</v>
      </c>
      <c r="E1300" t="str">
        <f t="shared" si="26"/>
        <v>'2867c09'</v>
      </c>
      <c r="F1300" s="9" t="s">
        <v>335</v>
      </c>
      <c r="G1300" s="4">
        <v>26</v>
      </c>
      <c r="L1300" s="58" t="s">
        <v>2744</v>
      </c>
    </row>
    <row r="1301" spans="1:12">
      <c r="A1301">
        <v>2</v>
      </c>
      <c r="B1301" s="9" t="s">
        <v>335</v>
      </c>
      <c r="C1301" s="50">
        <v>40205.80972222222</v>
      </c>
      <c r="D1301" s="9" t="s">
        <v>335</v>
      </c>
      <c r="E1301" t="str">
        <f t="shared" si="26"/>
        <v>'43f8921'</v>
      </c>
      <c r="F1301" s="9" t="s">
        <v>335</v>
      </c>
      <c r="G1301" s="4">
        <v>27</v>
      </c>
      <c r="L1301" s="58" t="s">
        <v>3435</v>
      </c>
    </row>
    <row r="1302" spans="1:12">
      <c r="A1302">
        <v>2</v>
      </c>
      <c r="B1302" s="9" t="s">
        <v>335</v>
      </c>
      <c r="C1302" s="50">
        <v>40208.435416666667</v>
      </c>
      <c r="D1302" s="9" t="s">
        <v>335</v>
      </c>
      <c r="E1302" t="str">
        <f t="shared" si="26"/>
        <v>'9dce097'</v>
      </c>
      <c r="F1302" s="9" t="s">
        <v>335</v>
      </c>
      <c r="G1302" s="4">
        <v>28</v>
      </c>
      <c r="L1302" s="58" t="s">
        <v>3639</v>
      </c>
    </row>
    <row r="1303" spans="1:12">
      <c r="A1303">
        <v>2</v>
      </c>
      <c r="B1303" s="9" t="s">
        <v>335</v>
      </c>
      <c r="C1303" s="50">
        <v>40210.051388888889</v>
      </c>
      <c r="D1303" s="9" t="s">
        <v>335</v>
      </c>
      <c r="E1303" t="str">
        <f t="shared" si="26"/>
        <v>'c8ee06d'</v>
      </c>
      <c r="F1303" s="9" t="s">
        <v>335</v>
      </c>
      <c r="G1303" s="4">
        <v>29</v>
      </c>
      <c r="L1303" s="58" t="s">
        <v>3318</v>
      </c>
    </row>
    <row r="1304" spans="1:12">
      <c r="A1304">
        <v>2</v>
      </c>
      <c r="B1304" s="9" t="s">
        <v>335</v>
      </c>
      <c r="C1304" s="50">
        <v>40210.053472222222</v>
      </c>
      <c r="D1304" s="9" t="s">
        <v>335</v>
      </c>
      <c r="E1304" t="str">
        <f t="shared" si="26"/>
        <v>'d5ad745'</v>
      </c>
      <c r="F1304" s="9" t="s">
        <v>335</v>
      </c>
      <c r="G1304" s="4">
        <v>30</v>
      </c>
      <c r="L1304" s="58" t="s">
        <v>3079</v>
      </c>
    </row>
    <row r="1305" spans="1:12">
      <c r="A1305">
        <v>2</v>
      </c>
      <c r="B1305" s="9" t="s">
        <v>335</v>
      </c>
      <c r="C1305" s="50">
        <v>40210.428472222222</v>
      </c>
      <c r="D1305" s="9" t="s">
        <v>335</v>
      </c>
      <c r="E1305" t="str">
        <f t="shared" si="26"/>
        <v>'68feb27'</v>
      </c>
      <c r="F1305" s="9" t="s">
        <v>335</v>
      </c>
      <c r="G1305" s="4">
        <v>31</v>
      </c>
      <c r="L1305" s="58" t="s">
        <v>3476</v>
      </c>
    </row>
    <row r="1306" spans="1:12">
      <c r="A1306">
        <v>2</v>
      </c>
      <c r="B1306" s="9" t="s">
        <v>335</v>
      </c>
      <c r="C1306" s="50">
        <v>40210.621527777781</v>
      </c>
      <c r="D1306" s="9" t="s">
        <v>335</v>
      </c>
      <c r="E1306" t="str">
        <f t="shared" si="26"/>
        <v>'75922bc'</v>
      </c>
      <c r="F1306" s="9" t="s">
        <v>335</v>
      </c>
      <c r="G1306" s="4">
        <v>32</v>
      </c>
      <c r="L1306" s="58" t="s">
        <v>3341</v>
      </c>
    </row>
    <row r="1307" spans="1:12">
      <c r="A1307">
        <v>2</v>
      </c>
      <c r="B1307" s="9" t="s">
        <v>335</v>
      </c>
      <c r="C1307" s="50">
        <v>40211.519444444442</v>
      </c>
      <c r="D1307" s="9" t="s">
        <v>335</v>
      </c>
      <c r="E1307" t="str">
        <f t="shared" si="26"/>
        <v>'5bf107a'</v>
      </c>
      <c r="F1307" s="9" t="s">
        <v>335</v>
      </c>
      <c r="G1307" s="4">
        <v>33</v>
      </c>
      <c r="L1307" s="58" t="s">
        <v>3202</v>
      </c>
    </row>
    <row r="1308" spans="1:12">
      <c r="A1308">
        <v>2</v>
      </c>
      <c r="B1308" s="9" t="s">
        <v>335</v>
      </c>
      <c r="C1308" s="50">
        <v>40214.55972222222</v>
      </c>
      <c r="D1308" s="9" t="s">
        <v>335</v>
      </c>
      <c r="E1308" t="str">
        <f t="shared" si="26"/>
        <v>'df8f8b9'</v>
      </c>
      <c r="F1308" s="9" t="s">
        <v>335</v>
      </c>
      <c r="G1308" s="4">
        <v>34</v>
      </c>
      <c r="L1308" s="58" t="s">
        <v>3503</v>
      </c>
    </row>
    <row r="1309" spans="1:12">
      <c r="A1309">
        <v>2</v>
      </c>
      <c r="B1309" s="9" t="s">
        <v>335</v>
      </c>
      <c r="C1309" s="50">
        <v>40217.643750000003</v>
      </c>
      <c r="D1309" s="9" t="s">
        <v>335</v>
      </c>
      <c r="E1309" t="str">
        <f t="shared" si="26"/>
        <v>'549f4e2'</v>
      </c>
      <c r="F1309" s="9" t="s">
        <v>335</v>
      </c>
      <c r="G1309" s="4">
        <v>35</v>
      </c>
      <c r="L1309" s="58" t="s">
        <v>3279</v>
      </c>
    </row>
    <row r="1310" spans="1:12">
      <c r="A1310">
        <v>2</v>
      </c>
      <c r="B1310" s="9" t="s">
        <v>335</v>
      </c>
      <c r="C1310" s="50">
        <v>40217.756944444445</v>
      </c>
      <c r="D1310" s="9" t="s">
        <v>335</v>
      </c>
      <c r="E1310" t="str">
        <f t="shared" si="26"/>
        <v>'c9af7b2'</v>
      </c>
      <c r="F1310" s="9" t="s">
        <v>335</v>
      </c>
      <c r="G1310" s="4">
        <v>36</v>
      </c>
      <c r="L1310" s="58" t="s">
        <v>3076</v>
      </c>
    </row>
    <row r="1311" spans="1:12">
      <c r="A1311">
        <v>2</v>
      </c>
      <c r="B1311" s="9" t="s">
        <v>335</v>
      </c>
      <c r="C1311" s="50">
        <v>40217.793055555558</v>
      </c>
      <c r="D1311" s="9" t="s">
        <v>335</v>
      </c>
      <c r="E1311" t="str">
        <f t="shared" si="26"/>
        <v>'1f1d05f'</v>
      </c>
      <c r="F1311" s="9" t="s">
        <v>335</v>
      </c>
      <c r="G1311" s="4">
        <v>37</v>
      </c>
      <c r="L1311" s="58" t="s">
        <v>3196</v>
      </c>
    </row>
    <row r="1312" spans="1:12">
      <c r="A1312">
        <v>2</v>
      </c>
      <c r="B1312" s="9" t="s">
        <v>335</v>
      </c>
      <c r="C1312" s="50">
        <v>40219.627083333333</v>
      </c>
      <c r="D1312" s="9" t="s">
        <v>335</v>
      </c>
      <c r="E1312" t="str">
        <f t="shared" si="26"/>
        <v>'6817957'</v>
      </c>
      <c r="F1312" s="9" t="s">
        <v>335</v>
      </c>
      <c r="G1312" s="4">
        <v>38</v>
      </c>
      <c r="L1312" s="58" t="s">
        <v>3662</v>
      </c>
    </row>
    <row r="1313" spans="1:12">
      <c r="A1313">
        <v>2</v>
      </c>
      <c r="B1313" s="9" t="s">
        <v>335</v>
      </c>
      <c r="C1313" s="50">
        <v>40224.030555555553</v>
      </c>
      <c r="D1313" s="9" t="s">
        <v>335</v>
      </c>
      <c r="E1313" t="str">
        <f t="shared" si="26"/>
        <v>'5755cdf'</v>
      </c>
      <c r="F1313" s="9" t="s">
        <v>335</v>
      </c>
      <c r="G1313" s="4">
        <v>39</v>
      </c>
      <c r="L1313" s="58" t="s">
        <v>3048</v>
      </c>
    </row>
    <row r="1314" spans="1:12">
      <c r="A1314">
        <v>2</v>
      </c>
      <c r="B1314" s="9" t="s">
        <v>335</v>
      </c>
      <c r="C1314" s="50">
        <v>40224.48541666667</v>
      </c>
      <c r="D1314" s="9" t="s">
        <v>335</v>
      </c>
      <c r="E1314" t="str">
        <f t="shared" si="26"/>
        <v>'7355a99'</v>
      </c>
      <c r="F1314" s="9" t="s">
        <v>335</v>
      </c>
      <c r="G1314" s="4">
        <v>40</v>
      </c>
      <c r="L1314" s="58" t="s">
        <v>2945</v>
      </c>
    </row>
    <row r="1315" spans="1:12">
      <c r="A1315">
        <v>2</v>
      </c>
      <c r="B1315" s="9" t="s">
        <v>335</v>
      </c>
      <c r="C1315" s="50">
        <v>40226.634027777778</v>
      </c>
      <c r="D1315" s="9" t="s">
        <v>335</v>
      </c>
      <c r="E1315" t="str">
        <f t="shared" si="26"/>
        <v>'6ff946e'</v>
      </c>
      <c r="F1315" s="9" t="s">
        <v>335</v>
      </c>
      <c r="G1315" s="4">
        <v>41</v>
      </c>
      <c r="L1315" s="58" t="s">
        <v>3489</v>
      </c>
    </row>
    <row r="1316" spans="1:12">
      <c r="A1316">
        <v>2</v>
      </c>
      <c r="B1316" s="9" t="s">
        <v>335</v>
      </c>
      <c r="C1316" s="50">
        <v>40226.814583333333</v>
      </c>
      <c r="D1316" s="9" t="s">
        <v>335</v>
      </c>
      <c r="E1316" t="str">
        <f t="shared" si="26"/>
        <v>'89cadb4'</v>
      </c>
      <c r="F1316" s="9" t="s">
        <v>335</v>
      </c>
      <c r="G1316" s="4">
        <v>42</v>
      </c>
      <c r="L1316" s="58" t="s">
        <v>3321</v>
      </c>
    </row>
    <row r="1317" spans="1:12">
      <c r="A1317">
        <v>2</v>
      </c>
      <c r="B1317" s="9" t="s">
        <v>335</v>
      </c>
      <c r="C1317" s="50">
        <v>40245.568749999999</v>
      </c>
      <c r="D1317" s="9" t="s">
        <v>335</v>
      </c>
      <c r="E1317" t="str">
        <f t="shared" si="26"/>
        <v>'aa93540'</v>
      </c>
      <c r="F1317" s="9" t="s">
        <v>335</v>
      </c>
      <c r="G1317" s="4">
        <v>43</v>
      </c>
      <c r="L1317" s="58" t="s">
        <v>3645</v>
      </c>
    </row>
    <row r="1318" spans="1:12">
      <c r="A1318">
        <v>2</v>
      </c>
      <c r="B1318" s="9" t="s">
        <v>335</v>
      </c>
      <c r="C1318" s="50">
        <v>40245.569444444445</v>
      </c>
      <c r="D1318" s="9" t="s">
        <v>335</v>
      </c>
      <c r="E1318" t="str">
        <f t="shared" si="26"/>
        <v>'68bfff1'</v>
      </c>
      <c r="F1318" s="9" t="s">
        <v>335</v>
      </c>
      <c r="G1318" s="4">
        <v>44</v>
      </c>
      <c r="L1318" s="58" t="s">
        <v>2904</v>
      </c>
    </row>
    <row r="1319" spans="1:12">
      <c r="A1319">
        <v>2</v>
      </c>
      <c r="B1319" s="9" t="s">
        <v>335</v>
      </c>
      <c r="C1319" s="50">
        <v>40245.569444444445</v>
      </c>
      <c r="D1319" s="9" t="s">
        <v>335</v>
      </c>
      <c r="E1319" t="str">
        <f t="shared" si="26"/>
        <v>'b9b3001'</v>
      </c>
      <c r="F1319" s="9" t="s">
        <v>335</v>
      </c>
      <c r="G1319" s="4">
        <v>45</v>
      </c>
      <c r="L1319" s="58" t="s">
        <v>2628</v>
      </c>
    </row>
    <row r="1320" spans="1:12">
      <c r="A1320">
        <v>2</v>
      </c>
      <c r="B1320" s="9" t="s">
        <v>335</v>
      </c>
      <c r="C1320" s="50">
        <v>40249.849305555559</v>
      </c>
      <c r="D1320" s="9" t="s">
        <v>335</v>
      </c>
      <c r="E1320" t="str">
        <f t="shared" si="26"/>
        <v>'98fc368'</v>
      </c>
      <c r="F1320" s="9" t="s">
        <v>335</v>
      </c>
      <c r="G1320" s="4">
        <v>46</v>
      </c>
      <c r="L1320" s="58" t="s">
        <v>3063</v>
      </c>
    </row>
    <row r="1321" spans="1:12">
      <c r="A1321">
        <v>2</v>
      </c>
      <c r="B1321" s="9" t="s">
        <v>335</v>
      </c>
      <c r="C1321" s="50">
        <v>40252.753472222219</v>
      </c>
      <c r="D1321" s="9" t="s">
        <v>335</v>
      </c>
      <c r="E1321" t="str">
        <f t="shared" si="26"/>
        <v>'b4811d1'</v>
      </c>
      <c r="F1321" s="9" t="s">
        <v>335</v>
      </c>
      <c r="G1321" s="4">
        <v>47</v>
      </c>
      <c r="L1321" s="58" t="s">
        <v>2901</v>
      </c>
    </row>
    <row r="1322" spans="1:12">
      <c r="A1322">
        <v>2</v>
      </c>
      <c r="B1322" s="9" t="s">
        <v>335</v>
      </c>
      <c r="C1322" s="50">
        <v>40253.412499999999</v>
      </c>
      <c r="D1322" s="9" t="s">
        <v>335</v>
      </c>
      <c r="E1322" t="str">
        <f t="shared" si="26"/>
        <v>'dedf249'</v>
      </c>
      <c r="F1322" s="9" t="s">
        <v>335</v>
      </c>
      <c r="G1322" s="4">
        <v>48</v>
      </c>
      <c r="L1322" s="58" t="s">
        <v>2782</v>
      </c>
    </row>
    <row r="1323" spans="1:12">
      <c r="A1323">
        <v>2</v>
      </c>
      <c r="B1323" s="9" t="s">
        <v>335</v>
      </c>
      <c r="C1323" s="50">
        <v>40280.786805555559</v>
      </c>
      <c r="D1323" s="9" t="s">
        <v>335</v>
      </c>
      <c r="E1323" t="str">
        <f t="shared" si="26"/>
        <v>'56c9355'</v>
      </c>
      <c r="F1323" s="9" t="s">
        <v>335</v>
      </c>
      <c r="G1323" s="4">
        <v>49</v>
      </c>
      <c r="L1323" s="58" t="s">
        <v>3494</v>
      </c>
    </row>
    <row r="1324" spans="1:12">
      <c r="A1324">
        <v>2</v>
      </c>
      <c r="B1324" s="9" t="s">
        <v>335</v>
      </c>
      <c r="C1324" s="50">
        <v>40281.743055555555</v>
      </c>
      <c r="D1324" s="9" t="s">
        <v>335</v>
      </c>
      <c r="E1324" t="str">
        <f t="shared" ref="E1324:E1387" si="27">CONCATENATE("'",L1324,"'")</f>
        <v>'dca5dc3'</v>
      </c>
      <c r="F1324" s="9" t="s">
        <v>335</v>
      </c>
      <c r="G1324" s="4">
        <v>50</v>
      </c>
      <c r="L1324" s="58" t="s">
        <v>2662</v>
      </c>
    </row>
    <row r="1325" spans="1:12">
      <c r="A1325">
        <v>2</v>
      </c>
      <c r="B1325" s="9" t="s">
        <v>335</v>
      </c>
      <c r="C1325" s="50">
        <v>40288.670138888891</v>
      </c>
      <c r="D1325" s="9" t="s">
        <v>335</v>
      </c>
      <c r="E1325" t="str">
        <f t="shared" si="27"/>
        <v>'d31b3d4'</v>
      </c>
      <c r="F1325" s="9" t="s">
        <v>335</v>
      </c>
      <c r="G1325" s="4">
        <v>51</v>
      </c>
      <c r="L1325" s="58" t="s">
        <v>2791</v>
      </c>
    </row>
    <row r="1326" spans="1:12">
      <c r="A1326">
        <v>2</v>
      </c>
      <c r="B1326" s="9" t="s">
        <v>335</v>
      </c>
      <c r="C1326" s="50">
        <v>40316.560416666667</v>
      </c>
      <c r="D1326" s="9" t="s">
        <v>335</v>
      </c>
      <c r="E1326" t="str">
        <f t="shared" si="27"/>
        <v>'83b58d7'</v>
      </c>
      <c r="F1326" s="9" t="s">
        <v>335</v>
      </c>
      <c r="G1326" s="4">
        <v>52</v>
      </c>
      <c r="L1326" s="58" t="s">
        <v>3535</v>
      </c>
    </row>
    <row r="1327" spans="1:12">
      <c r="A1327">
        <v>2</v>
      </c>
      <c r="B1327" s="9" t="s">
        <v>335</v>
      </c>
      <c r="C1327" s="50">
        <v>40322.532638888886</v>
      </c>
      <c r="D1327" s="9" t="s">
        <v>335</v>
      </c>
      <c r="E1327" t="str">
        <f t="shared" si="27"/>
        <v>'26ae5b9'</v>
      </c>
      <c r="F1327" s="9" t="s">
        <v>335</v>
      </c>
      <c r="G1327" s="4">
        <v>53</v>
      </c>
      <c r="L1327" s="58" t="s">
        <v>3659</v>
      </c>
    </row>
    <row r="1328" spans="1:12">
      <c r="A1328">
        <v>2</v>
      </c>
      <c r="B1328" s="9" t="s">
        <v>335</v>
      </c>
      <c r="C1328" s="50">
        <v>40323.879166666666</v>
      </c>
      <c r="D1328" s="9" t="s">
        <v>335</v>
      </c>
      <c r="E1328" t="str">
        <f t="shared" si="27"/>
        <v>'aeb05f5'</v>
      </c>
      <c r="F1328" s="9" t="s">
        <v>335</v>
      </c>
      <c r="G1328" s="4">
        <v>54</v>
      </c>
      <c r="L1328" s="58" t="s">
        <v>2927</v>
      </c>
    </row>
    <row r="1329" spans="1:12">
      <c r="A1329">
        <v>2</v>
      </c>
      <c r="B1329" s="9" t="s">
        <v>335</v>
      </c>
      <c r="C1329" s="50">
        <v>40345.738888888889</v>
      </c>
      <c r="D1329" s="9" t="s">
        <v>335</v>
      </c>
      <c r="E1329" t="str">
        <f t="shared" si="27"/>
        <v>'3798609'</v>
      </c>
      <c r="F1329" s="9" t="s">
        <v>335</v>
      </c>
      <c r="G1329" s="4">
        <v>55</v>
      </c>
      <c r="L1329" s="58" t="s">
        <v>3275</v>
      </c>
    </row>
    <row r="1330" spans="1:12">
      <c r="A1330">
        <v>2</v>
      </c>
      <c r="B1330" s="9" t="s">
        <v>335</v>
      </c>
      <c r="C1330" s="50">
        <v>40354.893055555556</v>
      </c>
      <c r="D1330" s="9" t="s">
        <v>335</v>
      </c>
      <c r="E1330" t="str">
        <f t="shared" si="27"/>
        <v>'f37b6e2'</v>
      </c>
      <c r="F1330" s="9" t="s">
        <v>335</v>
      </c>
      <c r="G1330" s="4">
        <v>56</v>
      </c>
      <c r="L1330" s="58" t="s">
        <v>3023</v>
      </c>
    </row>
    <row r="1331" spans="1:12">
      <c r="A1331">
        <v>3</v>
      </c>
      <c r="B1331" s="9" t="s">
        <v>335</v>
      </c>
      <c r="C1331" s="50">
        <v>40218.991666666669</v>
      </c>
      <c r="D1331" s="9" t="s">
        <v>335</v>
      </c>
      <c r="E1331" t="str">
        <f t="shared" si="27"/>
        <v>'f019092'</v>
      </c>
      <c r="F1331" s="9" t="s">
        <v>335</v>
      </c>
      <c r="G1331" s="4">
        <v>1</v>
      </c>
      <c r="L1331" s="58" t="s">
        <v>2821</v>
      </c>
    </row>
    <row r="1332" spans="1:12">
      <c r="A1332">
        <v>4</v>
      </c>
      <c r="B1332" s="9" t="s">
        <v>335</v>
      </c>
      <c r="C1332" s="50">
        <v>40183.393055555556</v>
      </c>
      <c r="D1332" s="9" t="s">
        <v>335</v>
      </c>
      <c r="E1332" t="str">
        <f t="shared" si="27"/>
        <v>'d9c194c'</v>
      </c>
      <c r="F1332" s="9" t="s">
        <v>335</v>
      </c>
      <c r="G1332" s="4">
        <v>1</v>
      </c>
      <c r="L1332" s="58" t="s">
        <v>3631</v>
      </c>
    </row>
    <row r="1333" spans="1:12">
      <c r="A1333">
        <v>4</v>
      </c>
      <c r="B1333" s="9" t="s">
        <v>335</v>
      </c>
      <c r="C1333" s="50">
        <v>40191.99722222222</v>
      </c>
      <c r="D1333" s="9" t="s">
        <v>335</v>
      </c>
      <c r="E1333" t="str">
        <f t="shared" si="27"/>
        <v>'33d85e2'</v>
      </c>
      <c r="F1333" s="9" t="s">
        <v>335</v>
      </c>
      <c r="G1333" s="4">
        <v>2</v>
      </c>
      <c r="L1333" s="58" t="s">
        <v>2949</v>
      </c>
    </row>
    <row r="1334" spans="1:12">
      <c r="A1334">
        <v>4</v>
      </c>
      <c r="B1334" s="9" t="s">
        <v>335</v>
      </c>
      <c r="C1334" s="50">
        <v>40192.00277777778</v>
      </c>
      <c r="D1334" s="9" t="s">
        <v>335</v>
      </c>
      <c r="E1334" t="str">
        <f t="shared" si="27"/>
        <v>'454597d'</v>
      </c>
      <c r="F1334" s="9" t="s">
        <v>335</v>
      </c>
      <c r="G1334" s="4">
        <v>3</v>
      </c>
      <c r="L1334" s="58" t="s">
        <v>3422</v>
      </c>
    </row>
    <row r="1335" spans="1:12">
      <c r="A1335">
        <v>4</v>
      </c>
      <c r="B1335" s="9" t="s">
        <v>335</v>
      </c>
      <c r="C1335" s="50">
        <v>40195.931944444441</v>
      </c>
      <c r="D1335" s="9" t="s">
        <v>335</v>
      </c>
      <c r="E1335" t="str">
        <f t="shared" si="27"/>
        <v>'a20872a'</v>
      </c>
      <c r="F1335" s="9" t="s">
        <v>335</v>
      </c>
      <c r="G1335" s="4">
        <v>4</v>
      </c>
      <c r="L1335" s="58" t="s">
        <v>3194</v>
      </c>
    </row>
    <row r="1336" spans="1:12">
      <c r="A1336">
        <v>4</v>
      </c>
      <c r="B1336" s="9" t="s">
        <v>335</v>
      </c>
      <c r="C1336" s="50">
        <v>40199.94027777778</v>
      </c>
      <c r="D1336" s="9" t="s">
        <v>335</v>
      </c>
      <c r="E1336" t="str">
        <f t="shared" si="27"/>
        <v>'b047812'</v>
      </c>
      <c r="F1336" s="9" t="s">
        <v>335</v>
      </c>
      <c r="G1336" s="4">
        <v>5</v>
      </c>
      <c r="L1336" s="58" t="s">
        <v>3641</v>
      </c>
    </row>
    <row r="1337" spans="1:12">
      <c r="A1337">
        <v>5</v>
      </c>
      <c r="B1337" s="9" t="s">
        <v>335</v>
      </c>
      <c r="C1337" s="50">
        <v>40322.84097222222</v>
      </c>
      <c r="D1337" s="9" t="s">
        <v>335</v>
      </c>
      <c r="E1337" t="str">
        <f t="shared" si="27"/>
        <v>'10b8628'</v>
      </c>
      <c r="F1337" s="9" t="s">
        <v>335</v>
      </c>
      <c r="G1337" s="4">
        <v>1</v>
      </c>
      <c r="L1337" s="58" t="s">
        <v>2926</v>
      </c>
    </row>
    <row r="1338" spans="1:12">
      <c r="A1338">
        <v>6</v>
      </c>
      <c r="B1338" s="9" t="s">
        <v>335</v>
      </c>
      <c r="C1338" s="50">
        <v>40183.422222222223</v>
      </c>
      <c r="D1338" s="9" t="s">
        <v>335</v>
      </c>
      <c r="E1338" t="str">
        <f t="shared" si="27"/>
        <v>'1b0196d'</v>
      </c>
      <c r="F1338" s="9" t="s">
        <v>335</v>
      </c>
      <c r="G1338" s="4">
        <v>1</v>
      </c>
      <c r="L1338" s="58" t="s">
        <v>3632</v>
      </c>
    </row>
    <row r="1339" spans="1:12">
      <c r="A1339">
        <v>6</v>
      </c>
      <c r="B1339" s="9" t="s">
        <v>335</v>
      </c>
      <c r="C1339" s="50">
        <v>40183.456944444442</v>
      </c>
      <c r="D1339" s="9" t="s">
        <v>335</v>
      </c>
      <c r="E1339" t="str">
        <f t="shared" si="27"/>
        <v>'2c25d84'</v>
      </c>
      <c r="F1339" s="9" t="s">
        <v>335</v>
      </c>
      <c r="G1339" s="4">
        <v>2</v>
      </c>
      <c r="L1339" s="58" t="s">
        <v>3132</v>
      </c>
    </row>
    <row r="1340" spans="1:12">
      <c r="A1340">
        <v>6</v>
      </c>
      <c r="B1340" s="9" t="s">
        <v>335</v>
      </c>
      <c r="C1340" s="50">
        <v>40183.51458333333</v>
      </c>
      <c r="D1340" s="9" t="s">
        <v>335</v>
      </c>
      <c r="E1340" t="str">
        <f t="shared" si="27"/>
        <v>'059ac3b'</v>
      </c>
      <c r="F1340" s="9" t="s">
        <v>335</v>
      </c>
      <c r="G1340" s="4">
        <v>3</v>
      </c>
      <c r="L1340" s="58" t="s">
        <v>3375</v>
      </c>
    </row>
    <row r="1341" spans="1:12">
      <c r="A1341">
        <v>6</v>
      </c>
      <c r="B1341" s="9" t="s">
        <v>335</v>
      </c>
      <c r="C1341" s="50">
        <v>40183.524305555555</v>
      </c>
      <c r="D1341" s="9" t="s">
        <v>335</v>
      </c>
      <c r="E1341" t="str">
        <f t="shared" si="27"/>
        <v>'7de5070'</v>
      </c>
      <c r="F1341" s="9" t="s">
        <v>335</v>
      </c>
      <c r="G1341" s="4">
        <v>4</v>
      </c>
      <c r="L1341" s="58" t="s">
        <v>3468</v>
      </c>
    </row>
    <row r="1342" spans="1:12">
      <c r="A1342">
        <v>6</v>
      </c>
      <c r="B1342" s="9" t="s">
        <v>335</v>
      </c>
      <c r="C1342" s="50">
        <v>40183.574305555558</v>
      </c>
      <c r="D1342" s="9" t="s">
        <v>335</v>
      </c>
      <c r="E1342" t="str">
        <f t="shared" si="27"/>
        <v>'2a21f07'</v>
      </c>
      <c r="F1342" s="9" t="s">
        <v>335</v>
      </c>
      <c r="G1342" s="4">
        <v>5</v>
      </c>
      <c r="L1342" s="58" t="s">
        <v>3336</v>
      </c>
    </row>
    <row r="1343" spans="1:12">
      <c r="A1343">
        <v>6</v>
      </c>
      <c r="B1343" s="9" t="s">
        <v>335</v>
      </c>
      <c r="C1343" s="50">
        <v>40183.59375</v>
      </c>
      <c r="D1343" s="9" t="s">
        <v>335</v>
      </c>
      <c r="E1343" t="str">
        <f t="shared" si="27"/>
        <v>'e3c266c'</v>
      </c>
      <c r="F1343" s="9" t="s">
        <v>335</v>
      </c>
      <c r="G1343" s="4">
        <v>6</v>
      </c>
      <c r="L1343" s="58" t="s">
        <v>3183</v>
      </c>
    </row>
    <row r="1344" spans="1:12">
      <c r="A1344">
        <v>6</v>
      </c>
      <c r="B1344" s="9" t="s">
        <v>335</v>
      </c>
      <c r="C1344" s="50">
        <v>40183.604166666664</v>
      </c>
      <c r="D1344" s="9" t="s">
        <v>335</v>
      </c>
      <c r="E1344" t="str">
        <f t="shared" si="27"/>
        <v>'a0002a2'</v>
      </c>
      <c r="F1344" s="9" t="s">
        <v>335</v>
      </c>
      <c r="G1344" s="4">
        <v>7</v>
      </c>
      <c r="L1344" s="58" t="s">
        <v>2842</v>
      </c>
    </row>
    <row r="1345" spans="1:12">
      <c r="A1345">
        <v>6</v>
      </c>
      <c r="B1345" s="9" t="s">
        <v>335</v>
      </c>
      <c r="C1345" s="50">
        <v>40183.637499999997</v>
      </c>
      <c r="D1345" s="9" t="s">
        <v>335</v>
      </c>
      <c r="E1345" t="str">
        <f t="shared" si="27"/>
        <v>'9febb9f'</v>
      </c>
      <c r="F1345" s="9" t="s">
        <v>335</v>
      </c>
      <c r="G1345" s="4">
        <v>8</v>
      </c>
      <c r="L1345" s="58" t="s">
        <v>3419</v>
      </c>
    </row>
    <row r="1346" spans="1:12">
      <c r="A1346">
        <v>6</v>
      </c>
      <c r="B1346" s="9" t="s">
        <v>335</v>
      </c>
      <c r="C1346" s="50">
        <v>40183.664583333331</v>
      </c>
      <c r="D1346" s="9" t="s">
        <v>335</v>
      </c>
      <c r="E1346" t="str">
        <f t="shared" si="27"/>
        <v>'aaa5ff5'</v>
      </c>
      <c r="F1346" s="9" t="s">
        <v>335</v>
      </c>
      <c r="G1346" s="4">
        <v>9</v>
      </c>
      <c r="L1346" s="58" t="s">
        <v>3582</v>
      </c>
    </row>
    <row r="1347" spans="1:12">
      <c r="A1347">
        <v>6</v>
      </c>
      <c r="B1347" s="9" t="s">
        <v>335</v>
      </c>
      <c r="C1347" s="50">
        <v>40183.773611111108</v>
      </c>
      <c r="D1347" s="9" t="s">
        <v>335</v>
      </c>
      <c r="E1347" t="str">
        <f t="shared" si="27"/>
        <v>'16934de'</v>
      </c>
      <c r="F1347" s="9" t="s">
        <v>335</v>
      </c>
      <c r="G1347" s="4">
        <v>10</v>
      </c>
      <c r="L1347" s="58" t="s">
        <v>2935</v>
      </c>
    </row>
    <row r="1348" spans="1:12">
      <c r="A1348">
        <v>6</v>
      </c>
      <c r="B1348" s="9" t="s">
        <v>335</v>
      </c>
      <c r="C1348" s="50">
        <v>40184.459027777775</v>
      </c>
      <c r="D1348" s="9" t="s">
        <v>335</v>
      </c>
      <c r="E1348" t="str">
        <f t="shared" si="27"/>
        <v>'7b6eee6'</v>
      </c>
      <c r="F1348" s="9" t="s">
        <v>335</v>
      </c>
      <c r="G1348" s="4">
        <v>11</v>
      </c>
      <c r="L1348" s="58" t="s">
        <v>3223</v>
      </c>
    </row>
    <row r="1349" spans="1:12">
      <c r="A1349">
        <v>6</v>
      </c>
      <c r="B1349" s="9" t="s">
        <v>335</v>
      </c>
      <c r="C1349" s="50">
        <v>40184.681944444441</v>
      </c>
      <c r="D1349" s="9" t="s">
        <v>335</v>
      </c>
      <c r="E1349" t="str">
        <f t="shared" si="27"/>
        <v>'9c35a4a'</v>
      </c>
      <c r="F1349" s="9" t="s">
        <v>335</v>
      </c>
      <c r="G1349" s="4">
        <v>12</v>
      </c>
      <c r="L1349" s="58" t="s">
        <v>2706</v>
      </c>
    </row>
    <row r="1350" spans="1:12">
      <c r="A1350">
        <v>6</v>
      </c>
      <c r="B1350" s="9" t="s">
        <v>335</v>
      </c>
      <c r="C1350" s="50">
        <v>40185.65</v>
      </c>
      <c r="D1350" s="9" t="s">
        <v>335</v>
      </c>
      <c r="E1350" t="str">
        <f t="shared" si="27"/>
        <v>'f77be6f'</v>
      </c>
      <c r="F1350" s="9" t="s">
        <v>335</v>
      </c>
      <c r="G1350" s="4">
        <v>13</v>
      </c>
      <c r="L1350" s="58" t="s">
        <v>2917</v>
      </c>
    </row>
    <row r="1351" spans="1:12">
      <c r="A1351">
        <v>6</v>
      </c>
      <c r="B1351" s="9" t="s">
        <v>335</v>
      </c>
      <c r="C1351" s="50">
        <v>40185.662499999999</v>
      </c>
      <c r="D1351" s="9" t="s">
        <v>335</v>
      </c>
      <c r="E1351" t="str">
        <f t="shared" si="27"/>
        <v>'6c8e5e0'</v>
      </c>
      <c r="F1351" s="9" t="s">
        <v>335</v>
      </c>
      <c r="G1351" s="4">
        <v>14</v>
      </c>
      <c r="L1351" s="58" t="s">
        <v>2623</v>
      </c>
    </row>
    <row r="1352" spans="1:12">
      <c r="A1352">
        <v>6</v>
      </c>
      <c r="B1352" s="9" t="s">
        <v>335</v>
      </c>
      <c r="C1352" s="50">
        <v>40186.433333333334</v>
      </c>
      <c r="D1352" s="9" t="s">
        <v>335</v>
      </c>
      <c r="E1352" t="str">
        <f t="shared" si="27"/>
        <v>'b76b3f6'</v>
      </c>
      <c r="F1352" s="9" t="s">
        <v>335</v>
      </c>
      <c r="G1352" s="4">
        <v>15</v>
      </c>
      <c r="L1352" s="58" t="s">
        <v>3471</v>
      </c>
    </row>
    <row r="1353" spans="1:12">
      <c r="A1353">
        <v>6</v>
      </c>
      <c r="B1353" s="9" t="s">
        <v>335</v>
      </c>
      <c r="C1353" s="50">
        <v>40186.452777777777</v>
      </c>
      <c r="D1353" s="9" t="s">
        <v>335</v>
      </c>
      <c r="E1353" t="str">
        <f t="shared" si="27"/>
        <v>'88bd659'</v>
      </c>
      <c r="F1353" s="9" t="s">
        <v>335</v>
      </c>
      <c r="G1353" s="4">
        <v>16</v>
      </c>
      <c r="L1353" s="58" t="s">
        <v>2684</v>
      </c>
    </row>
    <row r="1354" spans="1:12">
      <c r="A1354">
        <v>6</v>
      </c>
      <c r="B1354" s="9" t="s">
        <v>335</v>
      </c>
      <c r="C1354" s="50">
        <v>40186.452777777777</v>
      </c>
      <c r="D1354" s="9" t="s">
        <v>335</v>
      </c>
      <c r="E1354" t="str">
        <f t="shared" si="27"/>
        <v>'bdc4b8e'</v>
      </c>
      <c r="F1354" s="9" t="s">
        <v>335</v>
      </c>
      <c r="G1354" s="4">
        <v>17</v>
      </c>
      <c r="L1354" s="58" t="s">
        <v>3094</v>
      </c>
    </row>
    <row r="1355" spans="1:12">
      <c r="A1355">
        <v>6</v>
      </c>
      <c r="B1355" s="9" t="s">
        <v>335</v>
      </c>
      <c r="C1355" s="50">
        <v>40186.713888888888</v>
      </c>
      <c r="D1355" s="9" t="s">
        <v>335</v>
      </c>
      <c r="E1355" t="str">
        <f t="shared" si="27"/>
        <v>'e44cf61'</v>
      </c>
      <c r="F1355" s="9" t="s">
        <v>335</v>
      </c>
      <c r="G1355" s="4">
        <v>18</v>
      </c>
      <c r="L1355" s="58" t="s">
        <v>3474</v>
      </c>
    </row>
    <row r="1356" spans="1:12">
      <c r="A1356">
        <v>6</v>
      </c>
      <c r="B1356" s="9" t="s">
        <v>335</v>
      </c>
      <c r="C1356" s="50">
        <v>40189.713888888888</v>
      </c>
      <c r="D1356" s="9" t="s">
        <v>335</v>
      </c>
      <c r="E1356" t="str">
        <f t="shared" si="27"/>
        <v>'7f26355'</v>
      </c>
      <c r="F1356" s="9" t="s">
        <v>335</v>
      </c>
      <c r="G1356" s="4">
        <v>19</v>
      </c>
      <c r="L1356" s="58" t="s">
        <v>2569</v>
      </c>
    </row>
    <row r="1357" spans="1:12">
      <c r="A1357">
        <v>6</v>
      </c>
      <c r="B1357" s="9" t="s">
        <v>335</v>
      </c>
      <c r="C1357" s="50">
        <v>40189.714583333334</v>
      </c>
      <c r="D1357" s="9" t="s">
        <v>335</v>
      </c>
      <c r="E1357" t="str">
        <f t="shared" si="27"/>
        <v>'4460aa6'</v>
      </c>
      <c r="F1357" s="9" t="s">
        <v>335</v>
      </c>
      <c r="G1357" s="4">
        <v>20</v>
      </c>
      <c r="L1357" s="58" t="s">
        <v>2625</v>
      </c>
    </row>
    <row r="1358" spans="1:12">
      <c r="A1358">
        <v>6</v>
      </c>
      <c r="B1358" s="9" t="s">
        <v>335</v>
      </c>
      <c r="C1358" s="50">
        <v>40191.65902777778</v>
      </c>
      <c r="D1358" s="9" t="s">
        <v>335</v>
      </c>
      <c r="E1358" t="str">
        <f t="shared" si="27"/>
        <v>'c3e93f8'</v>
      </c>
      <c r="F1358" s="9" t="s">
        <v>335</v>
      </c>
      <c r="G1358" s="4">
        <v>21</v>
      </c>
      <c r="L1358" s="58" t="s">
        <v>2948</v>
      </c>
    </row>
    <row r="1359" spans="1:12">
      <c r="A1359">
        <v>6</v>
      </c>
      <c r="B1359" s="9" t="s">
        <v>335</v>
      </c>
      <c r="C1359" s="50">
        <v>40197.443055555559</v>
      </c>
      <c r="D1359" s="9" t="s">
        <v>335</v>
      </c>
      <c r="E1359" t="str">
        <f t="shared" si="27"/>
        <v>'b321496'</v>
      </c>
      <c r="F1359" s="9" t="s">
        <v>335</v>
      </c>
      <c r="G1359" s="4">
        <v>22</v>
      </c>
      <c r="L1359" s="58" t="s">
        <v>3552</v>
      </c>
    </row>
    <row r="1360" spans="1:12">
      <c r="A1360">
        <v>6</v>
      </c>
      <c r="B1360" s="9" t="s">
        <v>335</v>
      </c>
      <c r="C1360" s="50">
        <v>40199.505555555559</v>
      </c>
      <c r="D1360" s="9" t="s">
        <v>335</v>
      </c>
      <c r="E1360" t="str">
        <f t="shared" si="27"/>
        <v>'d3d7581'</v>
      </c>
      <c r="F1360" s="9" t="s">
        <v>335</v>
      </c>
      <c r="G1360" s="4">
        <v>23</v>
      </c>
      <c r="L1360" s="58" t="s">
        <v>3035</v>
      </c>
    </row>
    <row r="1361" spans="1:12">
      <c r="A1361">
        <v>6</v>
      </c>
      <c r="B1361" s="9" t="s">
        <v>335</v>
      </c>
      <c r="C1361" s="50">
        <v>40200.459722222222</v>
      </c>
      <c r="D1361" s="9" t="s">
        <v>335</v>
      </c>
      <c r="E1361" t="str">
        <f t="shared" si="27"/>
        <v>'fb347bf'</v>
      </c>
      <c r="F1361" s="9" t="s">
        <v>335</v>
      </c>
      <c r="G1361" s="4">
        <v>24</v>
      </c>
      <c r="L1361" s="58" t="s">
        <v>3390</v>
      </c>
    </row>
    <row r="1362" spans="1:12">
      <c r="A1362">
        <v>6</v>
      </c>
      <c r="B1362" s="9" t="s">
        <v>335</v>
      </c>
      <c r="C1362" s="50">
        <v>40200.466666666667</v>
      </c>
      <c r="D1362" s="9" t="s">
        <v>335</v>
      </c>
      <c r="E1362" t="str">
        <f t="shared" si="27"/>
        <v>'c86482c'</v>
      </c>
      <c r="F1362" s="9" t="s">
        <v>335</v>
      </c>
      <c r="G1362" s="4">
        <v>25</v>
      </c>
      <c r="L1362" s="58" t="s">
        <v>2930</v>
      </c>
    </row>
    <row r="1363" spans="1:12">
      <c r="A1363">
        <v>7</v>
      </c>
      <c r="B1363" s="9" t="s">
        <v>335</v>
      </c>
      <c r="C1363" s="50">
        <v>40192.353472222225</v>
      </c>
      <c r="D1363" s="9" t="s">
        <v>335</v>
      </c>
      <c r="E1363" t="str">
        <f t="shared" si="27"/>
        <v>'f3d9cd8'</v>
      </c>
      <c r="F1363" s="9" t="s">
        <v>335</v>
      </c>
      <c r="G1363" s="4">
        <v>1</v>
      </c>
      <c r="L1363" s="58" t="s">
        <v>3225</v>
      </c>
    </row>
    <row r="1364" spans="1:12">
      <c r="A1364">
        <v>7</v>
      </c>
      <c r="B1364" s="9" t="s">
        <v>335</v>
      </c>
      <c r="C1364" s="50">
        <v>40245.615972222222</v>
      </c>
      <c r="D1364" s="9" t="s">
        <v>335</v>
      </c>
      <c r="E1364" t="str">
        <f t="shared" si="27"/>
        <v>'33b5e93'</v>
      </c>
      <c r="F1364" s="9" t="s">
        <v>335</v>
      </c>
      <c r="G1364" s="4">
        <v>2</v>
      </c>
      <c r="L1364" s="58" t="s">
        <v>2629</v>
      </c>
    </row>
    <row r="1365" spans="1:12">
      <c r="A1365">
        <v>8</v>
      </c>
      <c r="B1365" s="9" t="s">
        <v>335</v>
      </c>
      <c r="C1365" s="50">
        <v>40256.65625</v>
      </c>
      <c r="D1365" s="9" t="s">
        <v>335</v>
      </c>
      <c r="E1365" t="str">
        <f t="shared" si="27"/>
        <v>'5fa0086'</v>
      </c>
      <c r="F1365" s="9" t="s">
        <v>335</v>
      </c>
      <c r="G1365" s="4">
        <v>1</v>
      </c>
      <c r="L1365" s="58" t="s">
        <v>2995</v>
      </c>
    </row>
    <row r="1366" spans="1:12">
      <c r="A1366">
        <v>9</v>
      </c>
      <c r="B1366" s="9" t="s">
        <v>335</v>
      </c>
      <c r="C1366" s="50">
        <v>40256.65625</v>
      </c>
      <c r="D1366" s="9" t="s">
        <v>335</v>
      </c>
      <c r="E1366" t="str">
        <f t="shared" si="27"/>
        <v>'368f2c4'</v>
      </c>
      <c r="F1366" s="9" t="s">
        <v>335</v>
      </c>
      <c r="G1366" s="4">
        <v>1</v>
      </c>
      <c r="L1366" s="58" t="s">
        <v>2994</v>
      </c>
    </row>
    <row r="1367" spans="1:12">
      <c r="A1367">
        <v>10</v>
      </c>
      <c r="B1367" s="9" t="s">
        <v>335</v>
      </c>
      <c r="C1367" s="50">
        <v>40211.873611111114</v>
      </c>
      <c r="D1367" s="9" t="s">
        <v>335</v>
      </c>
      <c r="E1367" t="str">
        <f t="shared" si="27"/>
        <v>'3ad9a5a'</v>
      </c>
      <c r="F1367" s="9" t="s">
        <v>335</v>
      </c>
      <c r="G1367" s="4">
        <v>1</v>
      </c>
      <c r="L1367" s="58" t="s">
        <v>2898</v>
      </c>
    </row>
    <row r="1368" spans="1:12">
      <c r="A1368">
        <v>10</v>
      </c>
      <c r="B1368" s="9" t="s">
        <v>335</v>
      </c>
      <c r="C1368" s="50">
        <v>40212.32916666667</v>
      </c>
      <c r="D1368" s="9" t="s">
        <v>335</v>
      </c>
      <c r="E1368" t="str">
        <f t="shared" si="27"/>
        <v>'0f9eda7'</v>
      </c>
      <c r="F1368" s="9" t="s">
        <v>335</v>
      </c>
      <c r="G1368" s="4">
        <v>2</v>
      </c>
      <c r="L1368" s="58" t="s">
        <v>3481</v>
      </c>
    </row>
    <row r="1369" spans="1:12">
      <c r="A1369">
        <v>10</v>
      </c>
      <c r="B1369" s="9" t="s">
        <v>335</v>
      </c>
      <c r="C1369" s="50">
        <v>40212.400000000001</v>
      </c>
      <c r="D1369" s="9" t="s">
        <v>335</v>
      </c>
      <c r="E1369" t="str">
        <f t="shared" si="27"/>
        <v>'0dfb70b'</v>
      </c>
      <c r="F1369" s="9" t="s">
        <v>335</v>
      </c>
      <c r="G1369" s="4">
        <v>3</v>
      </c>
      <c r="L1369" s="58" t="s">
        <v>3484</v>
      </c>
    </row>
    <row r="1370" spans="1:12">
      <c r="A1370">
        <v>10</v>
      </c>
      <c r="B1370" s="9" t="s">
        <v>335</v>
      </c>
      <c r="C1370" s="50">
        <v>40212.824305555558</v>
      </c>
      <c r="D1370" s="9" t="s">
        <v>335</v>
      </c>
      <c r="E1370" t="str">
        <f t="shared" si="27"/>
        <v>'b0407ab'</v>
      </c>
      <c r="F1370" s="9" t="s">
        <v>335</v>
      </c>
      <c r="G1370" s="4">
        <v>4</v>
      </c>
      <c r="L1370" s="58" t="s">
        <v>3046</v>
      </c>
    </row>
    <row r="1371" spans="1:12">
      <c r="A1371">
        <v>11</v>
      </c>
      <c r="B1371" s="9" t="s">
        <v>335</v>
      </c>
      <c r="C1371" s="50">
        <v>40207.818749999999</v>
      </c>
      <c r="D1371" s="9" t="s">
        <v>335</v>
      </c>
      <c r="E1371" t="str">
        <f t="shared" si="27"/>
        <v>'fa8abc4'</v>
      </c>
      <c r="F1371" s="9" t="s">
        <v>335</v>
      </c>
      <c r="G1371" s="4">
        <v>1</v>
      </c>
      <c r="L1371" s="58" t="s">
        <v>3098</v>
      </c>
    </row>
    <row r="1372" spans="1:12">
      <c r="A1372">
        <v>11</v>
      </c>
      <c r="B1372" s="9" t="s">
        <v>335</v>
      </c>
      <c r="C1372" s="50">
        <v>40207.819444444445</v>
      </c>
      <c r="D1372" s="9" t="s">
        <v>335</v>
      </c>
      <c r="E1372" t="str">
        <f t="shared" si="27"/>
        <v>'807f833'</v>
      </c>
      <c r="F1372" s="9" t="s">
        <v>335</v>
      </c>
      <c r="G1372" s="4">
        <v>2</v>
      </c>
      <c r="L1372" s="58" t="s">
        <v>2897</v>
      </c>
    </row>
    <row r="1373" spans="1:12">
      <c r="A1373">
        <v>11</v>
      </c>
      <c r="B1373" s="9" t="s">
        <v>335</v>
      </c>
      <c r="C1373" s="50">
        <v>40210.376388888886</v>
      </c>
      <c r="D1373" s="9" t="s">
        <v>335</v>
      </c>
      <c r="E1373" t="str">
        <f t="shared" si="27"/>
        <v>'6f6276c'</v>
      </c>
      <c r="F1373" s="9" t="s">
        <v>335</v>
      </c>
      <c r="G1373" s="4">
        <v>3</v>
      </c>
      <c r="L1373" s="58" t="s">
        <v>3319</v>
      </c>
    </row>
    <row r="1374" spans="1:12">
      <c r="A1374">
        <v>11</v>
      </c>
      <c r="B1374" s="9" t="s">
        <v>335</v>
      </c>
      <c r="C1374" s="50">
        <v>40211.259722222225</v>
      </c>
      <c r="D1374" s="9" t="s">
        <v>335</v>
      </c>
      <c r="E1374" t="str">
        <f t="shared" si="27"/>
        <v>'2b0efa0'</v>
      </c>
      <c r="F1374" s="9" t="s">
        <v>335</v>
      </c>
      <c r="G1374" s="4">
        <v>4</v>
      </c>
      <c r="L1374" s="58" t="s">
        <v>3342</v>
      </c>
    </row>
    <row r="1375" spans="1:12">
      <c r="A1375">
        <v>11</v>
      </c>
      <c r="B1375" s="9" t="s">
        <v>335</v>
      </c>
      <c r="C1375" s="50">
        <v>40211.873611111114</v>
      </c>
      <c r="D1375" s="9" t="s">
        <v>335</v>
      </c>
      <c r="E1375" t="str">
        <f t="shared" si="27"/>
        <v>'8974ed6'</v>
      </c>
      <c r="F1375" s="9" t="s">
        <v>335</v>
      </c>
      <c r="G1375" s="4">
        <v>5</v>
      </c>
      <c r="L1375" s="58" t="s">
        <v>3045</v>
      </c>
    </row>
    <row r="1376" spans="1:12">
      <c r="A1376">
        <v>11</v>
      </c>
      <c r="B1376" s="9" t="s">
        <v>335</v>
      </c>
      <c r="C1376" s="50">
        <v>40212.302083333336</v>
      </c>
      <c r="D1376" s="9" t="s">
        <v>335</v>
      </c>
      <c r="E1376" t="str">
        <f t="shared" si="27"/>
        <v>'4ade916'</v>
      </c>
      <c r="F1376" s="9" t="s">
        <v>335</v>
      </c>
      <c r="G1376" s="4">
        <v>6</v>
      </c>
      <c r="L1376" s="58" t="s">
        <v>3480</v>
      </c>
    </row>
    <row r="1377" spans="1:12">
      <c r="A1377">
        <v>11</v>
      </c>
      <c r="B1377" s="9" t="s">
        <v>335</v>
      </c>
      <c r="C1377" s="50">
        <v>40212.362500000003</v>
      </c>
      <c r="D1377" s="9" t="s">
        <v>335</v>
      </c>
      <c r="E1377" t="str">
        <f t="shared" si="27"/>
        <v>'3b6de90'</v>
      </c>
      <c r="F1377" s="9" t="s">
        <v>335</v>
      </c>
      <c r="G1377" s="4">
        <v>7</v>
      </c>
      <c r="L1377" s="58" t="s">
        <v>3483</v>
      </c>
    </row>
    <row r="1378" spans="1:12">
      <c r="A1378">
        <v>11</v>
      </c>
      <c r="B1378" s="9" t="s">
        <v>335</v>
      </c>
      <c r="C1378" s="50">
        <v>40212.400000000001</v>
      </c>
      <c r="D1378" s="9" t="s">
        <v>335</v>
      </c>
      <c r="E1378" t="str">
        <f t="shared" si="27"/>
        <v>'0dfb70b'</v>
      </c>
      <c r="F1378" s="9" t="s">
        <v>335</v>
      </c>
      <c r="G1378" s="4">
        <v>8</v>
      </c>
      <c r="L1378" s="58" t="s">
        <v>3484</v>
      </c>
    </row>
    <row r="1379" spans="1:12">
      <c r="A1379">
        <v>11</v>
      </c>
      <c r="B1379" s="9" t="s">
        <v>335</v>
      </c>
      <c r="C1379" s="50">
        <v>40216.820138888892</v>
      </c>
      <c r="D1379" s="9" t="s">
        <v>335</v>
      </c>
      <c r="E1379" t="str">
        <f t="shared" si="27"/>
        <v>'b6b7765'</v>
      </c>
      <c r="F1379" s="9" t="s">
        <v>335</v>
      </c>
      <c r="G1379" s="4">
        <v>9</v>
      </c>
      <c r="L1379" s="58" t="s">
        <v>3278</v>
      </c>
    </row>
    <row r="1380" spans="1:12">
      <c r="A1380">
        <v>11</v>
      </c>
      <c r="B1380" s="9" t="s">
        <v>335</v>
      </c>
      <c r="C1380" s="50">
        <v>40243.373611111114</v>
      </c>
      <c r="D1380" s="9" t="s">
        <v>335</v>
      </c>
      <c r="E1380" t="str">
        <f t="shared" si="27"/>
        <v>'e7c10f3'</v>
      </c>
      <c r="F1380" s="9" t="s">
        <v>335</v>
      </c>
      <c r="G1380" s="4">
        <v>10</v>
      </c>
      <c r="L1380" s="58" t="s">
        <v>3187</v>
      </c>
    </row>
    <row r="1381" spans="1:12">
      <c r="A1381">
        <v>11</v>
      </c>
      <c r="B1381" s="9" t="s">
        <v>335</v>
      </c>
      <c r="C1381" s="50">
        <v>40243.48333333333</v>
      </c>
      <c r="D1381" s="9" t="s">
        <v>335</v>
      </c>
      <c r="E1381" t="str">
        <f t="shared" si="27"/>
        <v>'41e1c17'</v>
      </c>
      <c r="F1381" s="9" t="s">
        <v>335</v>
      </c>
      <c r="G1381" s="4">
        <v>11</v>
      </c>
      <c r="L1381" s="58" t="s">
        <v>2903</v>
      </c>
    </row>
    <row r="1382" spans="1:12">
      <c r="A1382">
        <v>11</v>
      </c>
      <c r="B1382" s="9" t="s">
        <v>335</v>
      </c>
      <c r="C1382" s="50">
        <v>40244.393055555556</v>
      </c>
      <c r="D1382" s="9" t="s">
        <v>335</v>
      </c>
      <c r="E1382" t="str">
        <f t="shared" si="27"/>
        <v>'9db25db'</v>
      </c>
      <c r="F1382" s="9" t="s">
        <v>335</v>
      </c>
      <c r="G1382" s="4">
        <v>12</v>
      </c>
      <c r="L1382" s="58" t="s">
        <v>3644</v>
      </c>
    </row>
    <row r="1383" spans="1:12">
      <c r="A1383">
        <v>12</v>
      </c>
      <c r="B1383" s="9" t="s">
        <v>335</v>
      </c>
      <c r="C1383" s="50">
        <v>40185.92083333333</v>
      </c>
      <c r="D1383" s="9" t="s">
        <v>335</v>
      </c>
      <c r="E1383" t="str">
        <f t="shared" si="27"/>
        <v>'d045710'</v>
      </c>
      <c r="F1383" s="9" t="s">
        <v>335</v>
      </c>
      <c r="G1383" s="4">
        <v>1</v>
      </c>
      <c r="L1383" s="58" t="s">
        <v>3470</v>
      </c>
    </row>
    <row r="1384" spans="1:12">
      <c r="A1384">
        <v>12</v>
      </c>
      <c r="B1384" s="9" t="s">
        <v>335</v>
      </c>
      <c r="C1384" s="50">
        <v>40194.652777777781</v>
      </c>
      <c r="D1384" s="9" t="s">
        <v>335</v>
      </c>
      <c r="E1384" t="str">
        <f t="shared" si="27"/>
        <v>'f28781d'</v>
      </c>
      <c r="F1384" s="9" t="s">
        <v>335</v>
      </c>
      <c r="G1384" s="4">
        <v>2</v>
      </c>
      <c r="L1384" s="58" t="s">
        <v>3123</v>
      </c>
    </row>
    <row r="1385" spans="1:12">
      <c r="A1385">
        <v>12</v>
      </c>
      <c r="B1385" s="9" t="s">
        <v>335</v>
      </c>
      <c r="C1385" s="50">
        <v>40205.401388888888</v>
      </c>
      <c r="D1385" s="9" t="s">
        <v>335</v>
      </c>
      <c r="E1385" t="str">
        <f t="shared" si="27"/>
        <v>'3b5c3c2'</v>
      </c>
      <c r="F1385" s="9" t="s">
        <v>335</v>
      </c>
      <c r="G1385" s="4">
        <v>3</v>
      </c>
      <c r="L1385" s="58" t="s">
        <v>2743</v>
      </c>
    </row>
    <row r="1386" spans="1:12">
      <c r="A1386">
        <v>12</v>
      </c>
      <c r="B1386" s="9" t="s">
        <v>335</v>
      </c>
      <c r="C1386" s="50">
        <v>40206.845138888886</v>
      </c>
      <c r="D1386" s="9" t="s">
        <v>335</v>
      </c>
      <c r="E1386" t="str">
        <f t="shared" si="27"/>
        <v>'bffb397'</v>
      </c>
      <c r="F1386" s="9" t="s">
        <v>335</v>
      </c>
      <c r="G1386" s="4">
        <v>4</v>
      </c>
      <c r="L1386" s="58" t="s">
        <v>3436</v>
      </c>
    </row>
    <row r="1387" spans="1:12">
      <c r="A1387">
        <v>12</v>
      </c>
      <c r="B1387" s="9" t="s">
        <v>335</v>
      </c>
      <c r="C1387" s="50">
        <v>40206.845833333333</v>
      </c>
      <c r="D1387" s="9" t="s">
        <v>335</v>
      </c>
      <c r="E1387" t="str">
        <f t="shared" si="27"/>
        <v>'e05eaaf'</v>
      </c>
      <c r="F1387" s="9" t="s">
        <v>335</v>
      </c>
      <c r="G1387" s="4">
        <v>5</v>
      </c>
      <c r="L1387" s="58" t="s">
        <v>3097</v>
      </c>
    </row>
    <row r="1388" spans="1:12">
      <c r="A1388">
        <v>12</v>
      </c>
      <c r="B1388" s="9" t="s">
        <v>335</v>
      </c>
      <c r="C1388" s="50">
        <v>40340.939583333333</v>
      </c>
      <c r="D1388" s="9" t="s">
        <v>335</v>
      </c>
      <c r="E1388" t="str">
        <f t="shared" ref="E1388:E1428" si="28">CONCATENATE("'",L1388,"'")</f>
        <v>'07493fd'</v>
      </c>
      <c r="F1388" s="9" t="s">
        <v>335</v>
      </c>
      <c r="G1388" s="4">
        <v>6</v>
      </c>
      <c r="L1388" s="58" t="s">
        <v>2861</v>
      </c>
    </row>
    <row r="1389" spans="1:12">
      <c r="A1389">
        <v>13</v>
      </c>
      <c r="B1389" s="9" t="s">
        <v>335</v>
      </c>
      <c r="C1389" s="50">
        <v>40277.727083333331</v>
      </c>
      <c r="D1389" s="9" t="s">
        <v>335</v>
      </c>
      <c r="E1389" t="str">
        <f t="shared" si="28"/>
        <v>'43f3d47'</v>
      </c>
      <c r="F1389" s="9" t="s">
        <v>335</v>
      </c>
      <c r="G1389" s="4">
        <v>1</v>
      </c>
      <c r="L1389" s="58" t="s">
        <v>3493</v>
      </c>
    </row>
    <row r="1390" spans="1:12">
      <c r="A1390">
        <v>14</v>
      </c>
      <c r="B1390" s="9" t="s">
        <v>335</v>
      </c>
      <c r="C1390" s="50">
        <v>40221.620138888888</v>
      </c>
      <c r="D1390" s="9" t="s">
        <v>335</v>
      </c>
      <c r="E1390" t="str">
        <f t="shared" si="28"/>
        <v>'d5ea5a5'</v>
      </c>
      <c r="F1390" s="9" t="s">
        <v>335</v>
      </c>
      <c r="G1390" s="4">
        <v>1</v>
      </c>
      <c r="L1390" s="58" t="s">
        <v>2864</v>
      </c>
    </row>
    <row r="1391" spans="1:12">
      <c r="A1391">
        <v>14</v>
      </c>
      <c r="B1391" s="9" t="s">
        <v>335</v>
      </c>
      <c r="C1391" s="50">
        <v>40224.488194444442</v>
      </c>
      <c r="D1391" s="9" t="s">
        <v>335</v>
      </c>
      <c r="E1391" t="str">
        <f t="shared" si="28"/>
        <v>'9365e16'</v>
      </c>
      <c r="F1391" s="9" t="s">
        <v>335</v>
      </c>
      <c r="G1391" s="4">
        <v>2</v>
      </c>
      <c r="L1391" s="58" t="s">
        <v>3670</v>
      </c>
    </row>
    <row r="1392" spans="1:12">
      <c r="A1392">
        <v>14</v>
      </c>
      <c r="B1392" s="9" t="s">
        <v>335</v>
      </c>
      <c r="C1392" s="50">
        <v>40237.821527777778</v>
      </c>
      <c r="D1392" s="9" t="s">
        <v>335</v>
      </c>
      <c r="E1392" t="str">
        <f t="shared" si="28"/>
        <v>'6af5d2f'</v>
      </c>
      <c r="F1392" s="9" t="s">
        <v>335</v>
      </c>
      <c r="G1392" s="4">
        <v>3</v>
      </c>
      <c r="L1392" s="58" t="s">
        <v>3522</v>
      </c>
    </row>
    <row r="1393" spans="1:12">
      <c r="A1393">
        <v>14</v>
      </c>
      <c r="B1393" s="9" t="s">
        <v>335</v>
      </c>
      <c r="C1393" s="50">
        <v>40282.401388888888</v>
      </c>
      <c r="D1393" s="9" t="s">
        <v>335</v>
      </c>
      <c r="E1393" t="str">
        <f t="shared" si="28"/>
        <v>'a1c9685'</v>
      </c>
      <c r="F1393" s="9" t="s">
        <v>335</v>
      </c>
      <c r="G1393" s="4">
        <v>4</v>
      </c>
      <c r="L1393" s="58" t="s">
        <v>2741</v>
      </c>
    </row>
    <row r="1394" spans="1:12">
      <c r="A1394">
        <v>14</v>
      </c>
      <c r="B1394" s="9" t="s">
        <v>335</v>
      </c>
      <c r="C1394" s="50">
        <v>40305.588194444441</v>
      </c>
      <c r="D1394" s="9" t="s">
        <v>335</v>
      </c>
      <c r="E1394" t="str">
        <f t="shared" si="28"/>
        <v>'6c05f10'</v>
      </c>
      <c r="F1394" s="9" t="s">
        <v>335</v>
      </c>
      <c r="G1394" s="4">
        <v>5</v>
      </c>
      <c r="L1394" s="58" t="s">
        <v>2920</v>
      </c>
    </row>
    <row r="1395" spans="1:12">
      <c r="A1395">
        <v>15</v>
      </c>
      <c r="B1395" s="9" t="s">
        <v>335</v>
      </c>
      <c r="C1395" s="50">
        <v>40179.454861111109</v>
      </c>
      <c r="D1395" s="9" t="s">
        <v>335</v>
      </c>
      <c r="E1395" t="str">
        <f t="shared" si="28"/>
        <v>'954e0d4'</v>
      </c>
      <c r="F1395" s="9" t="s">
        <v>335</v>
      </c>
      <c r="G1395" s="4">
        <v>1</v>
      </c>
      <c r="L1395" s="58" t="s">
        <v>3467</v>
      </c>
    </row>
    <row r="1396" spans="1:12">
      <c r="A1396">
        <v>15</v>
      </c>
      <c r="B1396" s="9" t="s">
        <v>335</v>
      </c>
      <c r="C1396" s="50">
        <v>40183.640277777777</v>
      </c>
      <c r="D1396" s="9" t="s">
        <v>335</v>
      </c>
      <c r="E1396" t="str">
        <f t="shared" si="28"/>
        <v>'7763aab'</v>
      </c>
      <c r="F1396" s="9" t="s">
        <v>335</v>
      </c>
      <c r="G1396" s="4">
        <v>2</v>
      </c>
      <c r="L1396" s="58" t="s">
        <v>2916</v>
      </c>
    </row>
    <row r="1397" spans="1:12">
      <c r="A1397">
        <v>15</v>
      </c>
      <c r="B1397" s="9" t="s">
        <v>335</v>
      </c>
      <c r="C1397" s="50">
        <v>40186.492361111108</v>
      </c>
      <c r="D1397" s="9" t="s">
        <v>335</v>
      </c>
      <c r="E1397" t="str">
        <f t="shared" si="28"/>
        <v>'5e8b86d'</v>
      </c>
      <c r="F1397" s="9" t="s">
        <v>335</v>
      </c>
      <c r="G1397" s="4">
        <v>3</v>
      </c>
      <c r="L1397" s="58" t="s">
        <v>3095</v>
      </c>
    </row>
    <row r="1398" spans="1:12">
      <c r="A1398">
        <v>15</v>
      </c>
      <c r="B1398" s="9" t="s">
        <v>335</v>
      </c>
      <c r="C1398" s="50">
        <v>40186.5</v>
      </c>
      <c r="D1398" s="9" t="s">
        <v>335</v>
      </c>
      <c r="E1398" t="str">
        <f t="shared" si="28"/>
        <v>'36575a5'</v>
      </c>
      <c r="F1398" s="9" t="s">
        <v>335</v>
      </c>
      <c r="G1398" s="4">
        <v>4</v>
      </c>
      <c r="L1398" s="58" t="s">
        <v>3473</v>
      </c>
    </row>
    <row r="1399" spans="1:12">
      <c r="A1399">
        <v>15</v>
      </c>
      <c r="B1399" s="9" t="s">
        <v>335</v>
      </c>
      <c r="C1399" s="50">
        <v>40192.436111111114</v>
      </c>
      <c r="D1399" s="9" t="s">
        <v>335</v>
      </c>
      <c r="E1399" t="str">
        <f t="shared" si="28"/>
        <v>'abb8947'</v>
      </c>
      <c r="F1399" s="9" t="s">
        <v>335</v>
      </c>
      <c r="G1399" s="4">
        <v>5</v>
      </c>
      <c r="L1399" s="58" t="s">
        <v>3122</v>
      </c>
    </row>
    <row r="1400" spans="1:12">
      <c r="A1400">
        <v>15</v>
      </c>
      <c r="B1400" s="9" t="s">
        <v>335</v>
      </c>
      <c r="C1400" s="50">
        <v>40196.527777777781</v>
      </c>
      <c r="D1400" s="9" t="s">
        <v>335</v>
      </c>
      <c r="E1400" t="str">
        <f t="shared" si="28"/>
        <v>'d366f14'</v>
      </c>
      <c r="F1400" s="9" t="s">
        <v>335</v>
      </c>
      <c r="G1400" s="4">
        <v>6</v>
      </c>
      <c r="L1400" s="58" t="s">
        <v>3284</v>
      </c>
    </row>
    <row r="1401" spans="1:12">
      <c r="A1401">
        <v>15</v>
      </c>
      <c r="B1401" s="9" t="s">
        <v>335</v>
      </c>
      <c r="C1401" s="50">
        <v>40218.115277777775</v>
      </c>
      <c r="D1401" s="9" t="s">
        <v>335</v>
      </c>
      <c r="E1401" t="str">
        <f t="shared" si="28"/>
        <v>'fb647da'</v>
      </c>
      <c r="F1401" s="9" t="s">
        <v>335</v>
      </c>
      <c r="G1401" s="4">
        <v>7</v>
      </c>
      <c r="L1401" s="58" t="s">
        <v>3077</v>
      </c>
    </row>
    <row r="1402" spans="1:12">
      <c r="A1402">
        <v>15</v>
      </c>
      <c r="B1402" s="9" t="s">
        <v>335</v>
      </c>
      <c r="C1402" s="50">
        <v>40218.500694444447</v>
      </c>
      <c r="D1402" s="9" t="s">
        <v>335</v>
      </c>
      <c r="E1402" t="str">
        <f t="shared" si="28"/>
        <v>'54c90fa'</v>
      </c>
      <c r="F1402" s="9" t="s">
        <v>335</v>
      </c>
      <c r="G1402" s="4">
        <v>8</v>
      </c>
      <c r="L1402" s="58" t="s">
        <v>3197</v>
      </c>
    </row>
    <row r="1403" spans="1:12">
      <c r="A1403">
        <v>15</v>
      </c>
      <c r="B1403" s="9" t="s">
        <v>335</v>
      </c>
      <c r="C1403" s="50">
        <v>40218.515972222223</v>
      </c>
      <c r="D1403" s="9" t="s">
        <v>335</v>
      </c>
      <c r="E1403" t="str">
        <f t="shared" si="28"/>
        <v>'daa286e'</v>
      </c>
      <c r="F1403" s="9" t="s">
        <v>335</v>
      </c>
      <c r="G1403" s="4">
        <v>9</v>
      </c>
      <c r="L1403" s="58" t="s">
        <v>2766</v>
      </c>
    </row>
    <row r="1404" spans="1:12">
      <c r="A1404">
        <v>15</v>
      </c>
      <c r="B1404" s="9" t="s">
        <v>335</v>
      </c>
      <c r="C1404" s="50">
        <v>40221.597222222219</v>
      </c>
      <c r="D1404" s="9" t="s">
        <v>335</v>
      </c>
      <c r="E1404" t="str">
        <f t="shared" si="28"/>
        <v>'c2edaaa'</v>
      </c>
      <c r="F1404" s="9" t="s">
        <v>335</v>
      </c>
      <c r="G1404" s="4">
        <v>10</v>
      </c>
      <c r="L1404" s="58" t="s">
        <v>2863</v>
      </c>
    </row>
    <row r="1405" spans="1:12">
      <c r="A1405">
        <v>15</v>
      </c>
      <c r="B1405" s="9" t="s">
        <v>335</v>
      </c>
      <c r="C1405" s="50">
        <v>40224.417361111111</v>
      </c>
      <c r="D1405" s="9" t="s">
        <v>335</v>
      </c>
      <c r="E1405" t="str">
        <f t="shared" si="28"/>
        <v>'0516af2'</v>
      </c>
      <c r="F1405" s="9" t="s">
        <v>335</v>
      </c>
      <c r="G1405" s="4">
        <v>11</v>
      </c>
      <c r="L1405" s="58" t="s">
        <v>3049</v>
      </c>
    </row>
    <row r="1406" spans="1:12">
      <c r="A1406">
        <v>15</v>
      </c>
      <c r="B1406" s="9" t="s">
        <v>335</v>
      </c>
      <c r="C1406" s="50">
        <v>40224.417361111111</v>
      </c>
      <c r="D1406" s="9" t="s">
        <v>335</v>
      </c>
      <c r="E1406" t="str">
        <f t="shared" si="28"/>
        <v>'4b99e67'</v>
      </c>
      <c r="F1406" s="9" t="s">
        <v>335</v>
      </c>
      <c r="G1406" s="4">
        <v>12</v>
      </c>
      <c r="L1406" s="58" t="s">
        <v>3236</v>
      </c>
    </row>
    <row r="1407" spans="1:12">
      <c r="A1407">
        <v>15</v>
      </c>
      <c r="B1407" s="9" t="s">
        <v>335</v>
      </c>
      <c r="C1407" s="50">
        <v>40237.802083333336</v>
      </c>
      <c r="D1407" s="9" t="s">
        <v>335</v>
      </c>
      <c r="E1407" t="str">
        <f t="shared" si="28"/>
        <v>'2c7ae45'</v>
      </c>
      <c r="F1407" s="9" t="s">
        <v>335</v>
      </c>
      <c r="G1407" s="4">
        <v>13</v>
      </c>
      <c r="L1407" s="58" t="s">
        <v>3521</v>
      </c>
    </row>
    <row r="1408" spans="1:12">
      <c r="A1408">
        <v>15</v>
      </c>
      <c r="B1408" s="9" t="s">
        <v>335</v>
      </c>
      <c r="C1408" s="50">
        <v>40237.870138888888</v>
      </c>
      <c r="D1408" s="9" t="s">
        <v>335</v>
      </c>
      <c r="E1408" t="str">
        <f t="shared" si="28"/>
        <v>'e219ac6'</v>
      </c>
      <c r="F1408" s="9" t="s">
        <v>335</v>
      </c>
      <c r="G1408" s="4">
        <v>14</v>
      </c>
      <c r="L1408" s="58" t="s">
        <v>2822</v>
      </c>
    </row>
    <row r="1409" spans="1:12">
      <c r="A1409">
        <v>15</v>
      </c>
      <c r="B1409" s="9" t="s">
        <v>335</v>
      </c>
      <c r="C1409" s="50">
        <v>40252.729861111111</v>
      </c>
      <c r="D1409" s="9" t="s">
        <v>335</v>
      </c>
      <c r="E1409" t="str">
        <f t="shared" si="28"/>
        <v>'7285b7e'</v>
      </c>
      <c r="F1409" s="9" t="s">
        <v>335</v>
      </c>
      <c r="G1409" s="4">
        <v>15</v>
      </c>
      <c r="L1409" s="58" t="s">
        <v>2900</v>
      </c>
    </row>
    <row r="1410" spans="1:12">
      <c r="A1410">
        <v>15</v>
      </c>
      <c r="B1410" s="9" t="s">
        <v>335</v>
      </c>
      <c r="C1410" s="50">
        <v>40253.456250000003</v>
      </c>
      <c r="D1410" s="9" t="s">
        <v>335</v>
      </c>
      <c r="E1410" t="str">
        <f t="shared" si="28"/>
        <v>'fc1e97e'</v>
      </c>
      <c r="F1410" s="9" t="s">
        <v>335</v>
      </c>
      <c r="G1410" s="4">
        <v>16</v>
      </c>
      <c r="L1410" s="58" t="s">
        <v>2783</v>
      </c>
    </row>
    <row r="1411" spans="1:12">
      <c r="A1411">
        <v>15</v>
      </c>
      <c r="B1411" s="9" t="s">
        <v>335</v>
      </c>
      <c r="C1411" s="50">
        <v>40276.734722222223</v>
      </c>
      <c r="D1411" s="9" t="s">
        <v>335</v>
      </c>
      <c r="E1411" t="str">
        <f t="shared" si="28"/>
        <v>'7c01105'</v>
      </c>
      <c r="F1411" s="9" t="s">
        <v>335</v>
      </c>
      <c r="G1411" s="4">
        <v>17</v>
      </c>
      <c r="L1411" s="58" t="s">
        <v>2740</v>
      </c>
    </row>
    <row r="1412" spans="1:12">
      <c r="A1412">
        <v>15</v>
      </c>
      <c r="B1412" s="9" t="s">
        <v>335</v>
      </c>
      <c r="C1412" s="50">
        <v>40282.393055555556</v>
      </c>
      <c r="D1412" s="9" t="s">
        <v>335</v>
      </c>
      <c r="E1412" t="str">
        <f t="shared" si="28"/>
        <v>'0d53b82'</v>
      </c>
      <c r="F1412" s="9" t="s">
        <v>335</v>
      </c>
      <c r="G1412" s="4">
        <v>18</v>
      </c>
      <c r="L1412" s="58" t="s">
        <v>2663</v>
      </c>
    </row>
    <row r="1413" spans="1:12">
      <c r="A1413">
        <v>15</v>
      </c>
      <c r="B1413" s="9" t="s">
        <v>335</v>
      </c>
      <c r="C1413" s="50">
        <v>40290.477777777778</v>
      </c>
      <c r="D1413" s="9" t="s">
        <v>335</v>
      </c>
      <c r="E1413" t="str">
        <f t="shared" si="28"/>
        <v>'b0f6d65'</v>
      </c>
      <c r="F1413" s="9" t="s">
        <v>335</v>
      </c>
      <c r="G1413" s="4">
        <v>19</v>
      </c>
      <c r="L1413" s="58" t="s">
        <v>2652</v>
      </c>
    </row>
    <row r="1414" spans="1:12">
      <c r="A1414">
        <v>15</v>
      </c>
      <c r="B1414" s="9" t="s">
        <v>335</v>
      </c>
      <c r="C1414" s="50">
        <v>40301.755555555559</v>
      </c>
      <c r="D1414" s="9" t="s">
        <v>335</v>
      </c>
      <c r="E1414" t="str">
        <f t="shared" si="28"/>
        <v>'c0aef39'</v>
      </c>
      <c r="F1414" s="9" t="s">
        <v>335</v>
      </c>
      <c r="G1414" s="4">
        <v>20</v>
      </c>
      <c r="L1414" s="58" t="s">
        <v>3214</v>
      </c>
    </row>
    <row r="1415" spans="1:12">
      <c r="A1415">
        <v>15</v>
      </c>
      <c r="B1415" s="9" t="s">
        <v>335</v>
      </c>
      <c r="C1415" s="50">
        <v>40305.457638888889</v>
      </c>
      <c r="D1415" s="9" t="s">
        <v>335</v>
      </c>
      <c r="E1415" t="str">
        <f t="shared" si="28"/>
        <v>'497c4cb'</v>
      </c>
      <c r="F1415" s="9" t="s">
        <v>335</v>
      </c>
      <c r="G1415" s="4">
        <v>21</v>
      </c>
      <c r="L1415" s="58" t="s">
        <v>2919</v>
      </c>
    </row>
    <row r="1416" spans="1:12">
      <c r="A1416">
        <v>15</v>
      </c>
      <c r="B1416" s="9" t="s">
        <v>335</v>
      </c>
      <c r="C1416" s="50">
        <v>40308.313888888886</v>
      </c>
      <c r="D1416" s="9" t="s">
        <v>335</v>
      </c>
      <c r="E1416" t="str">
        <f t="shared" si="28"/>
        <v>'a3d7142'</v>
      </c>
      <c r="F1416" s="9" t="s">
        <v>335</v>
      </c>
      <c r="G1416" s="4">
        <v>22</v>
      </c>
      <c r="L1416" s="58" t="s">
        <v>3605</v>
      </c>
    </row>
    <row r="1417" spans="1:12">
      <c r="A1417">
        <v>16</v>
      </c>
      <c r="B1417" s="9" t="s">
        <v>335</v>
      </c>
      <c r="C1417" s="50">
        <v>40185.377083333333</v>
      </c>
      <c r="D1417" s="9" t="s">
        <v>335</v>
      </c>
      <c r="E1417" t="str">
        <f t="shared" si="28"/>
        <v>'7d06687'</v>
      </c>
      <c r="F1417" s="9" t="s">
        <v>335</v>
      </c>
      <c r="G1417" s="4">
        <v>1</v>
      </c>
      <c r="L1417" s="58" t="s">
        <v>2622</v>
      </c>
    </row>
    <row r="1418" spans="1:12">
      <c r="A1418">
        <v>17</v>
      </c>
      <c r="B1418" s="9" t="s">
        <v>335</v>
      </c>
      <c r="C1418" s="50">
        <v>40340.670138888891</v>
      </c>
      <c r="D1418" s="9" t="s">
        <v>335</v>
      </c>
      <c r="E1418" t="str">
        <f t="shared" si="28"/>
        <v>'d74a474'</v>
      </c>
      <c r="F1418" s="9" t="s">
        <v>335</v>
      </c>
      <c r="G1418" s="4">
        <v>1</v>
      </c>
      <c r="L1418" s="58" t="s">
        <v>2660</v>
      </c>
    </row>
    <row r="1419" spans="1:12">
      <c r="A1419">
        <v>18</v>
      </c>
      <c r="B1419" s="9" t="s">
        <v>335</v>
      </c>
      <c r="C1419" s="50">
        <v>40288.430555555555</v>
      </c>
      <c r="D1419" s="9" t="s">
        <v>335</v>
      </c>
      <c r="E1419" t="str">
        <f t="shared" si="28"/>
        <v>'92b1a1b'</v>
      </c>
      <c r="F1419" s="9" t="s">
        <v>335</v>
      </c>
      <c r="G1419" s="4">
        <v>1</v>
      </c>
      <c r="L1419" s="58" t="s">
        <v>2651</v>
      </c>
    </row>
    <row r="1420" spans="1:12">
      <c r="A1420">
        <v>18</v>
      </c>
      <c r="B1420" s="9" t="s">
        <v>335</v>
      </c>
      <c r="C1420" s="50">
        <v>40291.015972222223</v>
      </c>
      <c r="D1420" s="9" t="s">
        <v>335</v>
      </c>
      <c r="E1420" t="str">
        <f t="shared" si="28"/>
        <v>'fc05a68'</v>
      </c>
      <c r="F1420" s="9" t="s">
        <v>335</v>
      </c>
      <c r="G1420" s="4">
        <v>2</v>
      </c>
      <c r="L1420" s="58" t="s">
        <v>2792</v>
      </c>
    </row>
    <row r="1421" spans="1:12">
      <c r="A1421">
        <v>18</v>
      </c>
      <c r="B1421" s="9" t="s">
        <v>335</v>
      </c>
      <c r="C1421" s="50">
        <v>40295.461805555555</v>
      </c>
      <c r="D1421" s="9" t="s">
        <v>335</v>
      </c>
      <c r="E1421" t="str">
        <f t="shared" si="28"/>
        <v>'955176c'</v>
      </c>
      <c r="F1421" s="9" t="s">
        <v>335</v>
      </c>
      <c r="G1421" s="4">
        <v>3</v>
      </c>
      <c r="L1421" s="58" t="s">
        <v>3213</v>
      </c>
    </row>
    <row r="1422" spans="1:12">
      <c r="A1422">
        <v>18</v>
      </c>
      <c r="B1422" s="9" t="s">
        <v>335</v>
      </c>
      <c r="C1422" s="50">
        <v>40318.893750000003</v>
      </c>
      <c r="D1422" s="9" t="s">
        <v>335</v>
      </c>
      <c r="E1422" t="str">
        <f t="shared" si="28"/>
        <v>'a53341a'</v>
      </c>
      <c r="F1422" s="9" t="s">
        <v>335</v>
      </c>
      <c r="G1422" s="4">
        <v>4</v>
      </c>
      <c r="L1422" s="58" t="s">
        <v>3536</v>
      </c>
    </row>
    <row r="1423" spans="1:12">
      <c r="A1423">
        <v>18</v>
      </c>
      <c r="B1423" s="9" t="s">
        <v>335</v>
      </c>
      <c r="C1423" s="50">
        <v>40340.494444444441</v>
      </c>
      <c r="D1423" s="9" t="s">
        <v>335</v>
      </c>
      <c r="E1423" t="str">
        <f t="shared" si="28"/>
        <v>'0b2ef08'</v>
      </c>
      <c r="F1423" s="9" t="s">
        <v>335</v>
      </c>
      <c r="G1423" s="4">
        <v>5</v>
      </c>
      <c r="L1423" s="58" t="s">
        <v>2659</v>
      </c>
    </row>
    <row r="1424" spans="1:12">
      <c r="A1424">
        <v>18</v>
      </c>
      <c r="B1424" s="9" t="s">
        <v>335</v>
      </c>
      <c r="C1424" s="50">
        <v>40340.724999999999</v>
      </c>
      <c r="D1424" s="9" t="s">
        <v>335</v>
      </c>
      <c r="E1424" t="str">
        <f t="shared" si="28"/>
        <v>'494d49b'</v>
      </c>
      <c r="F1424" s="9" t="s">
        <v>335</v>
      </c>
      <c r="G1424" s="4">
        <v>6</v>
      </c>
      <c r="L1424" s="58" t="s">
        <v>2860</v>
      </c>
    </row>
    <row r="1425" spans="1:12">
      <c r="A1425">
        <v>18</v>
      </c>
      <c r="B1425" s="9" t="s">
        <v>335</v>
      </c>
      <c r="C1425" s="50">
        <v>40353.539583333331</v>
      </c>
      <c r="D1425" s="9" t="s">
        <v>335</v>
      </c>
      <c r="E1425" t="str">
        <f t="shared" si="28"/>
        <v>'bd11b46'</v>
      </c>
      <c r="F1425" s="9" t="s">
        <v>335</v>
      </c>
      <c r="G1425" s="4">
        <v>7</v>
      </c>
      <c r="L1425" s="58" t="s">
        <v>3022</v>
      </c>
    </row>
    <row r="1426" spans="1:12">
      <c r="A1426">
        <v>19</v>
      </c>
      <c r="B1426" s="9" t="s">
        <v>335</v>
      </c>
      <c r="C1426" s="50">
        <v>40240.936111111114</v>
      </c>
      <c r="D1426" s="9" t="s">
        <v>335</v>
      </c>
      <c r="E1426" t="str">
        <f t="shared" si="28"/>
        <v>'d0745ee'</v>
      </c>
      <c r="F1426" s="9" t="s">
        <v>335</v>
      </c>
      <c r="G1426" s="4">
        <v>1</v>
      </c>
      <c r="L1426" s="58" t="s">
        <v>3186</v>
      </c>
    </row>
    <row r="1427" spans="1:12">
      <c r="A1427">
        <v>20</v>
      </c>
      <c r="B1427" s="9" t="s">
        <v>335</v>
      </c>
      <c r="C1427" s="50">
        <v>40211.502083333333</v>
      </c>
      <c r="D1427" s="9" t="s">
        <v>335</v>
      </c>
      <c r="E1427" t="str">
        <f t="shared" si="28"/>
        <v>'8033cf0'</v>
      </c>
      <c r="F1427" s="9" t="s">
        <v>335</v>
      </c>
      <c r="G1427" s="4">
        <v>1</v>
      </c>
      <c r="L1427" s="58" t="s">
        <v>3637</v>
      </c>
    </row>
    <row r="1428" spans="1:12">
      <c r="A1428">
        <v>20</v>
      </c>
      <c r="B1428" s="9" t="s">
        <v>335</v>
      </c>
      <c r="C1428" s="50">
        <v>40214.477777777778</v>
      </c>
      <c r="D1428" s="9" t="s">
        <v>335</v>
      </c>
      <c r="E1428" t="str">
        <f t="shared" si="28"/>
        <v>'ae6df5e'</v>
      </c>
      <c r="F1428" s="9" t="s">
        <v>335</v>
      </c>
      <c r="G1428" s="4">
        <v>2</v>
      </c>
      <c r="L1428" s="58" t="s">
        <v>3172</v>
      </c>
    </row>
  </sheetData>
  <conditionalFormatting sqref="L13 L44 L120 L153 L203">
    <cfRule type="duplicateValues" dxfId="46" priority="15"/>
  </conditionalFormatting>
  <conditionalFormatting sqref="L2:L12">
    <cfRule type="duplicateValues" dxfId="45" priority="14"/>
  </conditionalFormatting>
  <conditionalFormatting sqref="C31:C43">
    <cfRule type="cellIs" dxfId="44" priority="9" operator="between">
      <formula>$X$10</formula>
      <formula>$Y$10</formula>
    </cfRule>
    <cfRule type="cellIs" dxfId="43" priority="10" operator="between">
      <formula>$X$9</formula>
      <formula>$Y$9</formula>
    </cfRule>
    <cfRule type="cellIs" dxfId="42" priority="11" operator="between">
      <formula>$X$6</formula>
      <formula>$Y$6</formula>
    </cfRule>
    <cfRule type="cellIs" dxfId="41" priority="12" operator="between">
      <formula>$X$5</formula>
      <formula>$Y$5</formula>
    </cfRule>
  </conditionalFormatting>
  <conditionalFormatting sqref="C14:C27 C29:C43 L14:L43">
    <cfRule type="duplicateValues" dxfId="40" priority="266"/>
  </conditionalFormatting>
  <conditionalFormatting sqref="C1077:C1101">
    <cfRule type="cellIs" dxfId="39" priority="7" operator="between">
      <formula>$W$607</formula>
      <formula>$X$607</formula>
    </cfRule>
    <cfRule type="cellIs" dxfId="38" priority="8" operator="between">
      <formula>$W$606</formula>
      <formula>$X$606</formula>
    </cfRule>
  </conditionalFormatting>
  <conditionalFormatting sqref="C1052:C1101">
    <cfRule type="duplicateValues" dxfId="37" priority="6"/>
  </conditionalFormatting>
  <conditionalFormatting sqref="L1052:L1101">
    <cfRule type="duplicateValues" dxfId="36" priority="5"/>
  </conditionalFormatting>
  <conditionalFormatting sqref="C1145:C1179">
    <cfRule type="cellIs" dxfId="35" priority="2" operator="between">
      <formula>$W$605</formula>
      <formula>$X$605</formula>
    </cfRule>
    <cfRule type="cellIs" dxfId="34" priority="3" operator="between">
      <formula>$W$604</formula>
      <formula>$X$604</formula>
    </cfRule>
  </conditionalFormatting>
  <conditionalFormatting sqref="C1103:C1179">
    <cfRule type="duplicateValues" dxfId="33" priority="4"/>
  </conditionalFormatting>
  <conditionalFormatting sqref="L1103:L1179">
    <cfRule type="duplicateValues" dxfId="32" priority="1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C1:X396"/>
  <sheetViews>
    <sheetView topLeftCell="A27" zoomScale="80" zoomScaleNormal="80" zoomScalePageLayoutView="80" workbookViewId="0">
      <selection activeCell="M59" sqref="M59"/>
    </sheetView>
  </sheetViews>
  <sheetFormatPr baseColWidth="10" defaultColWidth="11" defaultRowHeight="15" x14ac:dyDescent="0"/>
  <cols>
    <col min="3" max="3" width="16.1640625" bestFit="1" customWidth="1"/>
    <col min="5" max="5" width="7.5" customWidth="1"/>
    <col min="6" max="6" width="11" style="12"/>
    <col min="7" max="7" width="18.1640625" style="4" bestFit="1" customWidth="1"/>
    <col min="8" max="8" width="8.6640625" style="4" customWidth="1"/>
    <col min="9" max="9" width="18.5" style="9" bestFit="1" customWidth="1"/>
    <col min="10" max="10" width="11" style="8"/>
    <col min="11" max="11" width="8.5" style="4" bestFit="1" customWidth="1"/>
    <col min="12" max="12" width="4.5" style="4" customWidth="1"/>
    <col min="13" max="13" width="13.33203125" style="4" customWidth="1"/>
    <col min="14" max="14" width="18.1640625" bestFit="1" customWidth="1"/>
    <col min="19" max="19" width="16.5" style="2" customWidth="1"/>
    <col min="20" max="20" width="17.5" bestFit="1" customWidth="1"/>
    <col min="21" max="22" width="5.6640625" customWidth="1"/>
    <col min="23" max="23" width="16.1640625" bestFit="1" customWidth="1"/>
  </cols>
  <sheetData>
    <row r="1" spans="3:21" s="18" customFormat="1" ht="20">
      <c r="G1" s="19" t="s">
        <v>329</v>
      </c>
      <c r="H1" s="19" t="s">
        <v>334</v>
      </c>
      <c r="I1" s="20" t="s">
        <v>333</v>
      </c>
      <c r="J1" s="21" t="s">
        <v>332</v>
      </c>
      <c r="K1" s="19" t="s">
        <v>331</v>
      </c>
      <c r="L1" s="19" t="s">
        <v>1867</v>
      </c>
      <c r="M1" s="19" t="s">
        <v>1863</v>
      </c>
      <c r="N1" s="18" t="s">
        <v>329</v>
      </c>
      <c r="O1" s="18" t="s">
        <v>330</v>
      </c>
      <c r="S1" s="22"/>
    </row>
    <row r="2" spans="3:21">
      <c r="C2" s="3"/>
      <c r="F2" s="12">
        <v>22</v>
      </c>
      <c r="G2" s="8" t="s">
        <v>2058</v>
      </c>
      <c r="H2" s="7">
        <f t="shared" ref="H2:H33" si="0">LOOKUP(G2,$N$2:$N$23,$O$2:$O$23)</f>
        <v>1</v>
      </c>
      <c r="I2" s="3">
        <v>40137.790671296294</v>
      </c>
      <c r="J2" s="8" t="s">
        <v>2057</v>
      </c>
      <c r="K2" s="4">
        <f t="shared" ref="K2:K33" si="1">IF(Q2&gt;Q1,1,K1+1)</f>
        <v>1</v>
      </c>
      <c r="L2" s="4">
        <v>3</v>
      </c>
      <c r="M2" s="4">
        <v>1</v>
      </c>
      <c r="N2" s="8" t="s">
        <v>2058</v>
      </c>
      <c r="O2">
        <v>1</v>
      </c>
      <c r="Q2">
        <v>1</v>
      </c>
      <c r="S2" s="8"/>
      <c r="T2" s="10"/>
    </row>
    <row r="3" spans="3:21">
      <c r="C3" s="3"/>
      <c r="F3" s="12">
        <v>40</v>
      </c>
      <c r="G3" s="8" t="s">
        <v>2058</v>
      </c>
      <c r="H3" s="7">
        <f t="shared" si="0"/>
        <v>1</v>
      </c>
      <c r="I3" s="3">
        <v>40184.763321759259</v>
      </c>
      <c r="J3" s="8" t="s">
        <v>2539</v>
      </c>
      <c r="K3" s="4">
        <f t="shared" si="1"/>
        <v>2</v>
      </c>
      <c r="L3" s="4">
        <v>3</v>
      </c>
      <c r="M3" s="4">
        <v>2</v>
      </c>
      <c r="N3" t="s">
        <v>2178</v>
      </c>
      <c r="O3">
        <v>2</v>
      </c>
      <c r="Q3">
        <v>1</v>
      </c>
      <c r="S3" s="8"/>
      <c r="T3" s="10"/>
    </row>
    <row r="4" spans="3:21">
      <c r="C4" s="3"/>
      <c r="F4" s="12">
        <v>44</v>
      </c>
      <c r="G4" s="8" t="s">
        <v>2058</v>
      </c>
      <c r="H4" s="7">
        <f t="shared" si="0"/>
        <v>1</v>
      </c>
      <c r="I4" s="3">
        <v>40206.886493055557</v>
      </c>
      <c r="J4" s="8" t="s">
        <v>2529</v>
      </c>
      <c r="K4" s="4">
        <f t="shared" si="1"/>
        <v>3</v>
      </c>
      <c r="L4" s="4">
        <v>2</v>
      </c>
      <c r="M4" s="4">
        <v>3</v>
      </c>
      <c r="N4" t="s">
        <v>2307</v>
      </c>
      <c r="O4">
        <v>3</v>
      </c>
      <c r="Q4">
        <v>1</v>
      </c>
      <c r="S4" s="8"/>
      <c r="T4" s="10"/>
    </row>
    <row r="5" spans="3:21">
      <c r="C5" s="3"/>
      <c r="F5" s="12">
        <v>46</v>
      </c>
      <c r="G5" s="8" t="s">
        <v>2058</v>
      </c>
      <c r="H5" s="7">
        <f t="shared" si="0"/>
        <v>1</v>
      </c>
      <c r="I5" s="3">
        <v>40212.767893518518</v>
      </c>
      <c r="J5" s="8" t="s">
        <v>2283</v>
      </c>
      <c r="K5" s="4">
        <f t="shared" si="1"/>
        <v>4</v>
      </c>
      <c r="L5" s="4">
        <v>2</v>
      </c>
      <c r="M5" s="4">
        <v>4</v>
      </c>
      <c r="N5" s="8" t="s">
        <v>2100</v>
      </c>
      <c r="O5">
        <v>4</v>
      </c>
      <c r="Q5">
        <v>1</v>
      </c>
      <c r="S5" s="8"/>
      <c r="T5" s="10"/>
    </row>
    <row r="6" spans="3:21">
      <c r="C6" s="3"/>
      <c r="F6" s="12">
        <v>29</v>
      </c>
      <c r="G6" t="s">
        <v>2178</v>
      </c>
      <c r="H6" s="7">
        <f t="shared" si="0"/>
        <v>2</v>
      </c>
      <c r="I6" s="3">
        <v>40155.483958333331</v>
      </c>
      <c r="J6" s="8" t="s">
        <v>2179</v>
      </c>
      <c r="K6" s="4">
        <f t="shared" si="1"/>
        <v>1</v>
      </c>
      <c r="L6" s="4">
        <v>2</v>
      </c>
      <c r="M6" s="4">
        <v>1</v>
      </c>
      <c r="N6" s="8" t="s">
        <v>2073</v>
      </c>
      <c r="O6">
        <v>5</v>
      </c>
      <c r="Q6">
        <v>2</v>
      </c>
      <c r="S6" s="8"/>
      <c r="T6" s="10"/>
    </row>
    <row r="7" spans="3:21">
      <c r="C7" s="3"/>
      <c r="F7" s="12">
        <v>27</v>
      </c>
      <c r="G7" t="s">
        <v>2307</v>
      </c>
      <c r="H7" s="7">
        <f t="shared" si="0"/>
        <v>3</v>
      </c>
      <c r="I7" s="3">
        <v>40114.713946759257</v>
      </c>
      <c r="J7" s="8" t="s">
        <v>2369</v>
      </c>
      <c r="K7" s="4">
        <f t="shared" si="1"/>
        <v>1</v>
      </c>
      <c r="L7" s="4">
        <v>2</v>
      </c>
      <c r="M7" s="4">
        <v>1</v>
      </c>
      <c r="N7" t="s">
        <v>2008</v>
      </c>
      <c r="O7">
        <v>6</v>
      </c>
      <c r="Q7">
        <v>3</v>
      </c>
      <c r="S7" s="8"/>
      <c r="T7" s="10"/>
    </row>
    <row r="8" spans="3:21">
      <c r="C8" s="3"/>
      <c r="F8" s="12">
        <v>42</v>
      </c>
      <c r="G8" s="8" t="s">
        <v>2100</v>
      </c>
      <c r="H8" s="7">
        <f t="shared" si="0"/>
        <v>4</v>
      </c>
      <c r="I8" s="3">
        <v>40203.452233796299</v>
      </c>
      <c r="J8" s="8" t="s">
        <v>2099</v>
      </c>
      <c r="K8" s="4">
        <f t="shared" si="1"/>
        <v>1</v>
      </c>
      <c r="L8" s="4">
        <v>4</v>
      </c>
      <c r="M8" s="4">
        <v>1</v>
      </c>
      <c r="N8" t="s">
        <v>2048</v>
      </c>
      <c r="O8">
        <v>7</v>
      </c>
      <c r="Q8">
        <v>4</v>
      </c>
      <c r="S8" s="8"/>
      <c r="T8" s="10"/>
    </row>
    <row r="9" spans="3:21">
      <c r="C9" s="3"/>
      <c r="F9" s="12">
        <v>8</v>
      </c>
      <c r="G9" s="8" t="s">
        <v>2073</v>
      </c>
      <c r="H9" s="7">
        <f t="shared" si="0"/>
        <v>5</v>
      </c>
      <c r="I9" s="3">
        <v>40105.900185185186</v>
      </c>
      <c r="J9" s="8" t="s">
        <v>2148</v>
      </c>
      <c r="K9" s="4">
        <f t="shared" si="1"/>
        <v>1</v>
      </c>
      <c r="L9" s="4">
        <v>2</v>
      </c>
      <c r="M9" s="4">
        <v>1</v>
      </c>
      <c r="N9" s="8" t="s">
        <v>2181</v>
      </c>
      <c r="O9">
        <v>8</v>
      </c>
      <c r="Q9">
        <v>5</v>
      </c>
      <c r="S9" s="8"/>
      <c r="T9" s="10"/>
    </row>
    <row r="10" spans="3:21">
      <c r="C10" s="3"/>
      <c r="D10" s="1"/>
      <c r="F10" s="12">
        <v>10</v>
      </c>
      <c r="G10" s="8" t="s">
        <v>2073</v>
      </c>
      <c r="H10" s="7">
        <f t="shared" si="0"/>
        <v>5</v>
      </c>
      <c r="I10" s="3">
        <v>40123.587141203701</v>
      </c>
      <c r="J10" s="8" t="s">
        <v>2125</v>
      </c>
      <c r="K10" s="4">
        <f t="shared" si="1"/>
        <v>2</v>
      </c>
      <c r="L10" s="4">
        <v>2</v>
      </c>
      <c r="M10" s="4">
        <v>2</v>
      </c>
      <c r="N10" s="8" t="s">
        <v>2102</v>
      </c>
      <c r="O10">
        <v>9</v>
      </c>
      <c r="Q10">
        <v>5</v>
      </c>
      <c r="S10" s="8"/>
      <c r="T10" s="10"/>
    </row>
    <row r="11" spans="3:21">
      <c r="C11" s="3"/>
      <c r="F11" s="12">
        <v>47</v>
      </c>
      <c r="G11" t="s">
        <v>2073</v>
      </c>
      <c r="H11" s="7">
        <f t="shared" si="0"/>
        <v>5</v>
      </c>
      <c r="I11" s="3">
        <v>40215.631481481483</v>
      </c>
      <c r="J11" s="8" t="s">
        <v>2183</v>
      </c>
      <c r="K11" s="4">
        <f t="shared" si="1"/>
        <v>3</v>
      </c>
      <c r="L11" s="4">
        <v>3</v>
      </c>
      <c r="M11" s="4">
        <v>3</v>
      </c>
      <c r="N11" t="s">
        <v>2063</v>
      </c>
      <c r="O11">
        <v>10</v>
      </c>
      <c r="Q11">
        <v>5</v>
      </c>
      <c r="S11" s="8"/>
      <c r="T11" t="s">
        <v>1872</v>
      </c>
    </row>
    <row r="12" spans="3:21">
      <c r="C12" s="3"/>
      <c r="F12" s="12">
        <v>49</v>
      </c>
      <c r="G12" t="s">
        <v>2008</v>
      </c>
      <c r="H12" s="7">
        <f t="shared" si="0"/>
        <v>6</v>
      </c>
      <c r="I12" s="3">
        <v>40217.880509259259</v>
      </c>
      <c r="J12" s="8" t="s">
        <v>2195</v>
      </c>
      <c r="K12" s="4">
        <f t="shared" si="1"/>
        <v>1</v>
      </c>
      <c r="L12" s="4">
        <v>2</v>
      </c>
      <c r="M12" s="4">
        <v>1</v>
      </c>
      <c r="N12" t="s">
        <v>2123</v>
      </c>
      <c r="O12">
        <v>11</v>
      </c>
      <c r="Q12">
        <v>6</v>
      </c>
      <c r="S12" s="8"/>
      <c r="T12" t="s">
        <v>1870</v>
      </c>
      <c r="U12" t="s">
        <v>1869</v>
      </c>
    </row>
    <row r="13" spans="3:21">
      <c r="C13" s="3"/>
      <c r="F13" s="12">
        <v>13</v>
      </c>
      <c r="G13" t="s">
        <v>2048</v>
      </c>
      <c r="H13" s="7">
        <f t="shared" si="0"/>
        <v>7</v>
      </c>
      <c r="I13" s="3">
        <v>40124.870578703703</v>
      </c>
      <c r="J13" s="8" t="s">
        <v>2049</v>
      </c>
      <c r="K13" s="4">
        <f t="shared" si="1"/>
        <v>1</v>
      </c>
      <c r="L13" s="4">
        <v>2</v>
      </c>
      <c r="M13" s="4">
        <v>1</v>
      </c>
      <c r="N13" t="s">
        <v>2140</v>
      </c>
      <c r="O13">
        <v>12</v>
      </c>
      <c r="Q13">
        <v>7</v>
      </c>
      <c r="S13" s="8"/>
      <c r="T13" s="26" t="s">
        <v>294</v>
      </c>
      <c r="U13" s="4">
        <v>2</v>
      </c>
    </row>
    <row r="14" spans="3:21">
      <c r="C14" s="3"/>
      <c r="D14" s="1"/>
      <c r="F14" s="12">
        <v>30</v>
      </c>
      <c r="G14" s="8" t="s">
        <v>2181</v>
      </c>
      <c r="H14" s="7">
        <f t="shared" si="0"/>
        <v>8</v>
      </c>
      <c r="I14" s="3">
        <v>40155.52983796296</v>
      </c>
      <c r="J14" s="8" t="s">
        <v>2180</v>
      </c>
      <c r="K14" s="4">
        <f t="shared" si="1"/>
        <v>1</v>
      </c>
      <c r="L14" s="4">
        <v>3</v>
      </c>
      <c r="M14" s="4">
        <v>1</v>
      </c>
      <c r="N14" t="s">
        <v>2010</v>
      </c>
      <c r="O14">
        <v>13</v>
      </c>
      <c r="Q14">
        <v>8</v>
      </c>
      <c r="S14" s="8"/>
      <c r="T14" s="26" t="s">
        <v>336</v>
      </c>
      <c r="U14" s="4">
        <v>6</v>
      </c>
    </row>
    <row r="15" spans="3:21">
      <c r="C15" s="3"/>
      <c r="F15" s="12">
        <v>20</v>
      </c>
      <c r="G15" s="8" t="s">
        <v>2102</v>
      </c>
      <c r="H15" s="7">
        <f t="shared" si="0"/>
        <v>9</v>
      </c>
      <c r="I15" s="3">
        <v>40136.72115740741</v>
      </c>
      <c r="J15" s="8" t="s">
        <v>2328</v>
      </c>
      <c r="K15" s="4">
        <f t="shared" si="1"/>
        <v>1</v>
      </c>
      <c r="L15" s="4">
        <v>3</v>
      </c>
      <c r="M15" s="4">
        <v>1</v>
      </c>
      <c r="N15" s="8" t="s">
        <v>2236</v>
      </c>
      <c r="O15">
        <v>14</v>
      </c>
      <c r="Q15">
        <v>9</v>
      </c>
      <c r="S15" s="8"/>
      <c r="T15" s="26" t="s">
        <v>288</v>
      </c>
      <c r="U15" s="4">
        <v>11</v>
      </c>
    </row>
    <row r="16" spans="3:21">
      <c r="C16" s="3"/>
      <c r="F16" s="12">
        <v>39</v>
      </c>
      <c r="G16" t="s">
        <v>2102</v>
      </c>
      <c r="H16" s="7">
        <f t="shared" si="0"/>
        <v>9</v>
      </c>
      <c r="I16" s="3">
        <v>40184.368981481479</v>
      </c>
      <c r="J16" s="8" t="s">
        <v>2538</v>
      </c>
      <c r="K16" s="4">
        <f t="shared" si="1"/>
        <v>2</v>
      </c>
      <c r="L16" s="4">
        <v>13</v>
      </c>
      <c r="M16" s="4">
        <v>2</v>
      </c>
      <c r="N16" s="8" t="s">
        <v>1964</v>
      </c>
      <c r="O16">
        <v>15</v>
      </c>
      <c r="Q16">
        <v>9</v>
      </c>
      <c r="S16" s="8"/>
      <c r="T16" s="26" t="s">
        <v>300</v>
      </c>
      <c r="U16" s="4">
        <v>1</v>
      </c>
    </row>
    <row r="17" spans="3:24">
      <c r="C17" s="3"/>
      <c r="F17" s="12">
        <v>1</v>
      </c>
      <c r="G17" t="s">
        <v>2063</v>
      </c>
      <c r="H17" s="7">
        <f t="shared" si="0"/>
        <v>10</v>
      </c>
      <c r="I17" s="3">
        <v>40091.627696759257</v>
      </c>
      <c r="J17" s="8" t="s">
        <v>2497</v>
      </c>
      <c r="K17" s="4">
        <f t="shared" si="1"/>
        <v>1</v>
      </c>
      <c r="L17" s="4">
        <v>2</v>
      </c>
      <c r="M17" s="4">
        <v>1</v>
      </c>
      <c r="N17" s="8" t="s">
        <v>2558</v>
      </c>
      <c r="O17">
        <v>16</v>
      </c>
      <c r="Q17">
        <v>10</v>
      </c>
      <c r="S17" s="8"/>
      <c r="T17" s="26" t="s">
        <v>289</v>
      </c>
      <c r="U17" s="4">
        <v>2</v>
      </c>
    </row>
    <row r="18" spans="3:24">
      <c r="C18" s="3"/>
      <c r="F18" s="12">
        <v>7</v>
      </c>
      <c r="G18" t="s">
        <v>2063</v>
      </c>
      <c r="H18" s="7">
        <f t="shared" si="0"/>
        <v>10</v>
      </c>
      <c r="I18" s="3">
        <v>40105.892118055555</v>
      </c>
      <c r="J18" s="8" t="s">
        <v>2147</v>
      </c>
      <c r="K18" s="4">
        <f t="shared" si="1"/>
        <v>2</v>
      </c>
      <c r="L18" s="4">
        <v>2</v>
      </c>
      <c r="M18" s="4">
        <v>2</v>
      </c>
      <c r="N18" t="s">
        <v>1967</v>
      </c>
      <c r="O18">
        <v>17</v>
      </c>
      <c r="Q18">
        <v>10</v>
      </c>
      <c r="S18" s="8"/>
      <c r="T18" s="26" t="s">
        <v>1581</v>
      </c>
      <c r="U18" s="4">
        <v>1</v>
      </c>
    </row>
    <row r="19" spans="3:24">
      <c r="C19" s="3"/>
      <c r="D19" s="1"/>
      <c r="F19" s="12">
        <v>32</v>
      </c>
      <c r="G19" s="8" t="s">
        <v>2063</v>
      </c>
      <c r="H19" s="7">
        <f t="shared" si="0"/>
        <v>10</v>
      </c>
      <c r="I19" s="3">
        <v>40157.555868055555</v>
      </c>
      <c r="J19" s="8" t="s">
        <v>2331</v>
      </c>
      <c r="K19" s="4">
        <f t="shared" si="1"/>
        <v>3</v>
      </c>
      <c r="L19" s="4">
        <v>2</v>
      </c>
      <c r="M19" s="4">
        <v>3</v>
      </c>
      <c r="N19" s="8" t="s">
        <v>2231</v>
      </c>
      <c r="O19">
        <v>18</v>
      </c>
      <c r="Q19">
        <v>10</v>
      </c>
      <c r="S19" s="8"/>
      <c r="T19" s="26" t="s">
        <v>299</v>
      </c>
      <c r="U19" s="4">
        <v>6</v>
      </c>
      <c r="W19" s="12">
        <f>U21/8</f>
        <v>3.75</v>
      </c>
      <c r="X19" t="s">
        <v>1865</v>
      </c>
    </row>
    <row r="20" spans="3:24">
      <c r="C20" s="3"/>
      <c r="F20" s="12">
        <v>34</v>
      </c>
      <c r="G20" s="8" t="s">
        <v>2063</v>
      </c>
      <c r="H20" s="7">
        <f t="shared" si="0"/>
        <v>10</v>
      </c>
      <c r="I20" s="3">
        <v>40167.701562499999</v>
      </c>
      <c r="J20" s="8" t="s">
        <v>2549</v>
      </c>
      <c r="K20" s="4">
        <f t="shared" si="1"/>
        <v>4</v>
      </c>
      <c r="L20" s="4">
        <v>2</v>
      </c>
      <c r="M20" s="4">
        <v>4</v>
      </c>
      <c r="N20" t="s">
        <v>1987</v>
      </c>
      <c r="O20">
        <v>19</v>
      </c>
      <c r="Q20">
        <v>10</v>
      </c>
      <c r="S20" s="8"/>
      <c r="T20" s="26" t="s">
        <v>438</v>
      </c>
      <c r="U20" s="4">
        <v>1</v>
      </c>
    </row>
    <row r="21" spans="3:24">
      <c r="C21" s="3"/>
      <c r="F21" s="12">
        <v>35</v>
      </c>
      <c r="G21" t="s">
        <v>2063</v>
      </c>
      <c r="H21" s="7">
        <f t="shared" si="0"/>
        <v>10</v>
      </c>
      <c r="I21" s="3">
        <v>40167.722719907404</v>
      </c>
      <c r="J21" s="8" t="s">
        <v>2064</v>
      </c>
      <c r="K21" s="4">
        <f t="shared" si="1"/>
        <v>5</v>
      </c>
      <c r="L21" s="4">
        <v>2</v>
      </c>
      <c r="M21" s="4">
        <v>5</v>
      </c>
      <c r="N21" s="8" t="s">
        <v>2371</v>
      </c>
      <c r="O21">
        <v>20</v>
      </c>
      <c r="Q21">
        <v>10</v>
      </c>
      <c r="S21" s="8"/>
      <c r="T21" s="26" t="s">
        <v>1871</v>
      </c>
      <c r="U21" s="4">
        <v>30</v>
      </c>
    </row>
    <row r="22" spans="3:24">
      <c r="C22" s="3"/>
      <c r="F22" s="12">
        <v>37</v>
      </c>
      <c r="G22" t="s">
        <v>2063</v>
      </c>
      <c r="H22" s="7">
        <f t="shared" si="0"/>
        <v>10</v>
      </c>
      <c r="I22" s="3">
        <v>40167.735266203701</v>
      </c>
      <c r="J22" s="8" t="s">
        <v>2343</v>
      </c>
      <c r="K22" s="4">
        <f t="shared" si="1"/>
        <v>6</v>
      </c>
      <c r="L22" s="4">
        <v>2</v>
      </c>
      <c r="M22" s="4">
        <v>6</v>
      </c>
      <c r="N22" s="8" t="s">
        <v>1984</v>
      </c>
      <c r="O22">
        <v>21</v>
      </c>
      <c r="Q22">
        <v>10</v>
      </c>
      <c r="S22" s="8"/>
    </row>
    <row r="23" spans="3:24">
      <c r="C23" s="3"/>
      <c r="F23" s="12">
        <v>41</v>
      </c>
      <c r="G23" t="s">
        <v>2063</v>
      </c>
      <c r="H23" s="7">
        <f t="shared" si="0"/>
        <v>10</v>
      </c>
      <c r="I23" s="3">
        <v>40203.204340277778</v>
      </c>
      <c r="J23" s="8" t="s">
        <v>2098</v>
      </c>
      <c r="K23" s="4">
        <f t="shared" si="1"/>
        <v>7</v>
      </c>
      <c r="L23" s="4">
        <v>6</v>
      </c>
      <c r="M23" s="4">
        <v>7</v>
      </c>
      <c r="N23" t="s">
        <v>2450</v>
      </c>
      <c r="O23">
        <v>22</v>
      </c>
      <c r="Q23">
        <v>10</v>
      </c>
      <c r="S23" s="8"/>
    </row>
    <row r="24" spans="3:24">
      <c r="C24" s="3"/>
      <c r="F24" s="12">
        <v>45</v>
      </c>
      <c r="G24" t="s">
        <v>2063</v>
      </c>
      <c r="H24" s="7">
        <f t="shared" si="0"/>
        <v>10</v>
      </c>
      <c r="I24" s="3">
        <v>40212.404953703706</v>
      </c>
      <c r="J24" s="8" t="s">
        <v>2282</v>
      </c>
      <c r="K24" s="4">
        <f t="shared" si="1"/>
        <v>8</v>
      </c>
      <c r="L24" s="4">
        <v>5</v>
      </c>
      <c r="M24" s="4">
        <v>8</v>
      </c>
      <c r="Q24">
        <v>10</v>
      </c>
      <c r="S24" s="8"/>
    </row>
    <row r="25" spans="3:24">
      <c r="C25" s="3"/>
      <c r="F25" s="12">
        <v>50</v>
      </c>
      <c r="G25" s="8" t="s">
        <v>2063</v>
      </c>
      <c r="H25" s="7">
        <f t="shared" si="0"/>
        <v>10</v>
      </c>
      <c r="I25" s="3">
        <v>40218.313379629632</v>
      </c>
      <c r="J25" s="8" t="s">
        <v>2196</v>
      </c>
      <c r="K25" s="4">
        <f t="shared" si="1"/>
        <v>9</v>
      </c>
      <c r="L25" s="4">
        <v>2</v>
      </c>
      <c r="M25" s="4">
        <v>9</v>
      </c>
      <c r="Q25">
        <v>10</v>
      </c>
      <c r="S25" s="8"/>
      <c r="T25" s="10"/>
    </row>
    <row r="26" spans="3:24">
      <c r="C26" s="3"/>
      <c r="F26" s="12">
        <v>9</v>
      </c>
      <c r="G26" t="s">
        <v>2123</v>
      </c>
      <c r="H26" s="7">
        <f t="shared" si="0"/>
        <v>11</v>
      </c>
      <c r="I26" s="3">
        <v>39832.517118055555</v>
      </c>
      <c r="J26" s="8" t="s">
        <v>2124</v>
      </c>
      <c r="K26" s="4">
        <f t="shared" si="1"/>
        <v>1</v>
      </c>
      <c r="L26" s="4">
        <v>4</v>
      </c>
      <c r="M26" s="4">
        <v>1</v>
      </c>
      <c r="Q26">
        <v>11</v>
      </c>
      <c r="S26" s="8"/>
      <c r="T26" s="10"/>
    </row>
    <row r="27" spans="3:24">
      <c r="C27" s="3"/>
      <c r="F27" s="12">
        <v>25</v>
      </c>
      <c r="G27" t="s">
        <v>2140</v>
      </c>
      <c r="H27" s="7">
        <f t="shared" si="0"/>
        <v>12</v>
      </c>
      <c r="I27" s="3">
        <v>40145.503171296295</v>
      </c>
      <c r="J27" s="8" t="s">
        <v>2154</v>
      </c>
      <c r="K27" s="4">
        <f t="shared" si="1"/>
        <v>1</v>
      </c>
      <c r="L27" s="4">
        <v>2</v>
      </c>
      <c r="M27" s="4">
        <v>1</v>
      </c>
      <c r="Q27">
        <v>12</v>
      </c>
      <c r="S27" s="8"/>
      <c r="T27" s="10"/>
    </row>
    <row r="28" spans="3:24">
      <c r="C28" s="3"/>
      <c r="F28" s="12">
        <v>31</v>
      </c>
      <c r="G28" t="s">
        <v>2140</v>
      </c>
      <c r="H28" s="7">
        <f t="shared" si="0"/>
        <v>12</v>
      </c>
      <c r="I28" s="3">
        <v>40152.931689814817</v>
      </c>
      <c r="J28" s="8" t="s">
        <v>2330</v>
      </c>
      <c r="K28" s="4">
        <f t="shared" si="1"/>
        <v>2</v>
      </c>
      <c r="L28" s="4">
        <v>16</v>
      </c>
      <c r="M28" s="4">
        <v>2</v>
      </c>
      <c r="Q28">
        <v>12</v>
      </c>
      <c r="S28" s="8"/>
      <c r="T28" s="10"/>
    </row>
    <row r="29" spans="3:24">
      <c r="C29" s="3"/>
      <c r="F29" s="12">
        <v>33</v>
      </c>
      <c r="G29" t="s">
        <v>2140</v>
      </c>
      <c r="H29" s="7">
        <f t="shared" si="0"/>
        <v>12</v>
      </c>
      <c r="I29" s="3">
        <v>40167.600844907407</v>
      </c>
      <c r="J29" s="8" t="s">
        <v>2261</v>
      </c>
      <c r="K29" s="4">
        <f t="shared" si="1"/>
        <v>3</v>
      </c>
      <c r="L29" s="4">
        <v>4</v>
      </c>
      <c r="M29" s="4">
        <v>3</v>
      </c>
      <c r="Q29">
        <v>12</v>
      </c>
      <c r="S29" s="8"/>
      <c r="T29" s="10"/>
    </row>
    <row r="30" spans="3:24">
      <c r="C30" s="3"/>
      <c r="F30" s="12">
        <v>38</v>
      </c>
      <c r="G30" s="8" t="s">
        <v>2140</v>
      </c>
      <c r="H30" s="7">
        <f t="shared" si="0"/>
        <v>12</v>
      </c>
      <c r="I30" s="3">
        <v>40167.981898148151</v>
      </c>
      <c r="J30" s="8" t="s">
        <v>2344</v>
      </c>
      <c r="K30" s="4">
        <f t="shared" si="1"/>
        <v>4</v>
      </c>
      <c r="L30" s="4">
        <v>4</v>
      </c>
      <c r="M30" s="4">
        <v>4</v>
      </c>
      <c r="Q30">
        <v>12</v>
      </c>
      <c r="S30" s="8"/>
      <c r="T30" s="10"/>
    </row>
    <row r="31" spans="3:24">
      <c r="C31" s="3"/>
      <c r="F31" s="12">
        <v>43</v>
      </c>
      <c r="G31" t="s">
        <v>2140</v>
      </c>
      <c r="H31" s="7">
        <f t="shared" si="0"/>
        <v>12</v>
      </c>
      <c r="I31" s="3">
        <v>40206.389513888891</v>
      </c>
      <c r="J31" s="8" t="s">
        <v>2528</v>
      </c>
      <c r="K31" s="4">
        <f t="shared" si="1"/>
        <v>5</v>
      </c>
      <c r="L31" s="4">
        <v>2</v>
      </c>
      <c r="M31" s="4">
        <v>5</v>
      </c>
      <c r="Q31">
        <v>12</v>
      </c>
      <c r="S31" s="8"/>
      <c r="T31" s="10"/>
    </row>
    <row r="32" spans="3:24">
      <c r="C32" s="3"/>
      <c r="F32" s="12">
        <v>15</v>
      </c>
      <c r="G32" t="s">
        <v>2010</v>
      </c>
      <c r="H32" s="7">
        <f t="shared" si="0"/>
        <v>13</v>
      </c>
      <c r="I32" s="3">
        <v>40135.878472222219</v>
      </c>
      <c r="J32" s="8" t="s">
        <v>2473</v>
      </c>
      <c r="K32" s="4">
        <f t="shared" si="1"/>
        <v>1</v>
      </c>
      <c r="L32" s="16">
        <v>2</v>
      </c>
      <c r="M32" s="4">
        <v>1</v>
      </c>
      <c r="Q32">
        <v>13</v>
      </c>
      <c r="S32" s="8"/>
      <c r="T32" s="10"/>
    </row>
    <row r="33" spans="3:20">
      <c r="C33" s="3"/>
      <c r="F33" s="12">
        <v>18</v>
      </c>
      <c r="G33" s="8" t="s">
        <v>2010</v>
      </c>
      <c r="H33" s="7">
        <f t="shared" si="0"/>
        <v>13</v>
      </c>
      <c r="I33" s="3">
        <v>40136.719317129631</v>
      </c>
      <c r="J33" s="8" t="s">
        <v>2199</v>
      </c>
      <c r="K33" s="4">
        <f t="shared" si="1"/>
        <v>2</v>
      </c>
      <c r="L33" s="4">
        <v>2</v>
      </c>
      <c r="M33" s="4">
        <v>2</v>
      </c>
      <c r="Q33">
        <v>13</v>
      </c>
      <c r="S33" s="8"/>
      <c r="T33" s="10"/>
    </row>
    <row r="34" spans="3:20">
      <c r="C34" s="3"/>
      <c r="F34" s="12">
        <v>19</v>
      </c>
      <c r="G34" t="s">
        <v>2010</v>
      </c>
      <c r="H34" s="7">
        <f t="shared" ref="H34:H51" si="2">LOOKUP(G34,$N$2:$N$23,$O$2:$O$23)</f>
        <v>13</v>
      </c>
      <c r="I34" s="3">
        <v>40136.673506944448</v>
      </c>
      <c r="J34" s="8" t="s">
        <v>2327</v>
      </c>
      <c r="K34" s="4">
        <f t="shared" ref="K34:K51" si="3">IF(Q34&gt;Q33,1,K33+1)</f>
        <v>3</v>
      </c>
      <c r="L34" s="4">
        <v>2</v>
      </c>
      <c r="M34" s="4">
        <v>3</v>
      </c>
      <c r="Q34">
        <v>13</v>
      </c>
      <c r="S34" s="8"/>
      <c r="T34" s="10"/>
    </row>
    <row r="35" spans="3:20">
      <c r="C35" s="3"/>
      <c r="F35" s="12">
        <v>2</v>
      </c>
      <c r="G35" s="8" t="s">
        <v>2236</v>
      </c>
      <c r="H35" s="7">
        <f t="shared" si="2"/>
        <v>14</v>
      </c>
      <c r="I35" s="3">
        <v>40091.793969907405</v>
      </c>
      <c r="J35" s="8" t="s">
        <v>2498</v>
      </c>
      <c r="K35" s="4">
        <f t="shared" si="3"/>
        <v>1</v>
      </c>
      <c r="L35" s="4">
        <v>2</v>
      </c>
      <c r="M35" s="4">
        <v>1</v>
      </c>
      <c r="Q35">
        <v>14</v>
      </c>
      <c r="S35" s="8"/>
      <c r="T35" s="10"/>
    </row>
    <row r="36" spans="3:20">
      <c r="C36" s="3"/>
      <c r="F36" s="12">
        <v>6</v>
      </c>
      <c r="G36" s="8" t="s">
        <v>1964</v>
      </c>
      <c r="H36" s="7">
        <f t="shared" si="2"/>
        <v>15</v>
      </c>
      <c r="I36" s="3">
        <v>40101.633900462963</v>
      </c>
      <c r="J36" s="8" t="s">
        <v>2173</v>
      </c>
      <c r="K36" s="4">
        <f t="shared" si="3"/>
        <v>1</v>
      </c>
      <c r="L36" s="4">
        <v>6</v>
      </c>
      <c r="M36" s="4">
        <v>1</v>
      </c>
      <c r="Q36">
        <v>15</v>
      </c>
      <c r="S36" s="8"/>
      <c r="T36" s="10"/>
    </row>
    <row r="37" spans="3:20">
      <c r="C37" s="3"/>
      <c r="F37" s="12">
        <v>17</v>
      </c>
      <c r="G37" t="s">
        <v>1964</v>
      </c>
      <c r="H37" s="7">
        <f t="shared" si="2"/>
        <v>15</v>
      </c>
      <c r="I37" s="3">
        <v>40136.712430555555</v>
      </c>
      <c r="J37" s="8" t="s">
        <v>2198</v>
      </c>
      <c r="K37" s="4">
        <f t="shared" si="3"/>
        <v>2</v>
      </c>
      <c r="L37" s="4">
        <v>2</v>
      </c>
      <c r="M37" s="4">
        <v>2</v>
      </c>
      <c r="Q37">
        <v>15</v>
      </c>
      <c r="S37" s="8"/>
      <c r="T37" s="10"/>
    </row>
    <row r="38" spans="3:20">
      <c r="C38" s="3"/>
      <c r="F38" s="12">
        <v>21</v>
      </c>
      <c r="G38" t="s">
        <v>1964</v>
      </c>
      <c r="H38" s="7">
        <f t="shared" si="2"/>
        <v>15</v>
      </c>
      <c r="I38" s="3">
        <v>40137.571527777778</v>
      </c>
      <c r="J38" s="8" t="s">
        <v>2056</v>
      </c>
      <c r="K38" s="4">
        <f t="shared" si="3"/>
        <v>3</v>
      </c>
      <c r="L38" s="4">
        <v>2</v>
      </c>
      <c r="M38" s="4">
        <v>3</v>
      </c>
      <c r="Q38">
        <v>15</v>
      </c>
      <c r="S38" s="8"/>
      <c r="T38" s="10"/>
    </row>
    <row r="39" spans="3:20">
      <c r="C39" s="3"/>
      <c r="F39" s="12">
        <v>48</v>
      </c>
      <c r="G39" s="8" t="s">
        <v>1964</v>
      </c>
      <c r="H39" s="7">
        <f t="shared" si="2"/>
        <v>15</v>
      </c>
      <c r="I39" s="3">
        <v>40215.746898148151</v>
      </c>
      <c r="J39" s="8" t="s">
        <v>2184</v>
      </c>
      <c r="K39" s="4">
        <f t="shared" si="3"/>
        <v>4</v>
      </c>
      <c r="L39" s="4">
        <v>8</v>
      </c>
      <c r="M39" s="4">
        <v>4</v>
      </c>
      <c r="Q39">
        <v>15</v>
      </c>
      <c r="S39" s="8"/>
      <c r="T39" s="10"/>
    </row>
    <row r="40" spans="3:20">
      <c r="C40" s="3"/>
      <c r="F40" s="12">
        <v>4</v>
      </c>
      <c r="G40" s="8" t="s">
        <v>2558</v>
      </c>
      <c r="H40" s="7">
        <f t="shared" si="2"/>
        <v>16</v>
      </c>
      <c r="I40" s="3">
        <v>40094.633460648147</v>
      </c>
      <c r="J40" s="8" t="s">
        <v>2278</v>
      </c>
      <c r="K40" s="4">
        <f t="shared" si="3"/>
        <v>1</v>
      </c>
      <c r="L40" s="4">
        <v>2</v>
      </c>
      <c r="M40" s="4">
        <v>1</v>
      </c>
      <c r="Q40">
        <v>16</v>
      </c>
      <c r="S40" s="8"/>
      <c r="T40" s="10"/>
    </row>
    <row r="41" spans="3:20">
      <c r="C41" s="3"/>
      <c r="F41" s="12">
        <v>14</v>
      </c>
      <c r="G41" s="8" t="s">
        <v>2558</v>
      </c>
      <c r="H41" s="7">
        <f t="shared" si="2"/>
        <v>16</v>
      </c>
      <c r="I41" s="3">
        <v>40124.870578703703</v>
      </c>
      <c r="J41" s="8" t="s">
        <v>2050</v>
      </c>
      <c r="K41" s="4">
        <f t="shared" si="3"/>
        <v>2</v>
      </c>
      <c r="L41" s="4">
        <v>2</v>
      </c>
      <c r="M41" s="4">
        <v>2</v>
      </c>
      <c r="Q41">
        <v>16</v>
      </c>
      <c r="S41" s="8"/>
      <c r="T41" s="10"/>
    </row>
    <row r="42" spans="3:20">
      <c r="C42" s="3"/>
      <c r="F42" s="12">
        <v>3</v>
      </c>
      <c r="G42" t="s">
        <v>1967</v>
      </c>
      <c r="H42" s="7">
        <f t="shared" si="2"/>
        <v>17</v>
      </c>
      <c r="I42" s="3">
        <v>40094.622870370367</v>
      </c>
      <c r="J42" s="8" t="s">
        <v>2277</v>
      </c>
      <c r="K42" s="4">
        <f t="shared" si="3"/>
        <v>1</v>
      </c>
      <c r="L42" s="4">
        <v>2</v>
      </c>
      <c r="M42" s="4">
        <v>1</v>
      </c>
      <c r="Q42">
        <v>17</v>
      </c>
      <c r="S42" s="8"/>
      <c r="T42" s="10"/>
    </row>
    <row r="43" spans="3:20">
      <c r="C43" s="3"/>
      <c r="F43" s="12">
        <v>24</v>
      </c>
      <c r="G43" s="8" t="s">
        <v>1967</v>
      </c>
      <c r="H43" s="7">
        <f t="shared" si="2"/>
        <v>17</v>
      </c>
      <c r="I43" s="3">
        <v>40139.901284722226</v>
      </c>
      <c r="J43" s="8" t="s">
        <v>2455</v>
      </c>
      <c r="K43" s="4">
        <f t="shared" si="3"/>
        <v>2</v>
      </c>
      <c r="L43" s="4">
        <v>3</v>
      </c>
      <c r="M43" s="4">
        <v>2</v>
      </c>
      <c r="Q43">
        <v>17</v>
      </c>
      <c r="S43" s="8"/>
      <c r="T43" s="10"/>
    </row>
    <row r="44" spans="3:20">
      <c r="C44" s="3"/>
      <c r="F44" s="12">
        <v>36</v>
      </c>
      <c r="G44" s="8" t="s">
        <v>1967</v>
      </c>
      <c r="H44" s="7">
        <f t="shared" si="2"/>
        <v>17</v>
      </c>
      <c r="I44" s="3">
        <v>40167.970138888886</v>
      </c>
      <c r="J44" s="8" t="s">
        <v>2065</v>
      </c>
      <c r="K44" s="4">
        <f t="shared" si="3"/>
        <v>3</v>
      </c>
      <c r="L44" s="4">
        <v>10</v>
      </c>
      <c r="M44" s="4">
        <v>3</v>
      </c>
      <c r="Q44">
        <v>17</v>
      </c>
      <c r="S44" s="8"/>
      <c r="T44" s="10"/>
    </row>
    <row r="45" spans="3:20">
      <c r="C45" s="3"/>
      <c r="F45" s="12">
        <v>12</v>
      </c>
      <c r="G45" s="8" t="s">
        <v>2231</v>
      </c>
      <c r="H45" s="7">
        <f t="shared" si="2"/>
        <v>18</v>
      </c>
      <c r="I45" s="3">
        <v>40124.619259259256</v>
      </c>
      <c r="J45" s="8" t="s">
        <v>2452</v>
      </c>
      <c r="K45" s="4">
        <f t="shared" si="3"/>
        <v>1</v>
      </c>
      <c r="L45" s="4">
        <v>2</v>
      </c>
      <c r="M45" s="4">
        <v>1</v>
      </c>
      <c r="Q45">
        <v>18</v>
      </c>
      <c r="S45" s="8"/>
      <c r="T45" s="10"/>
    </row>
    <row r="46" spans="3:20">
      <c r="C46" s="3"/>
      <c r="F46" s="12">
        <v>5</v>
      </c>
      <c r="G46" t="s">
        <v>1987</v>
      </c>
      <c r="H46" s="7">
        <f t="shared" si="2"/>
        <v>19</v>
      </c>
      <c r="I46" s="3">
        <v>40101.383993055555</v>
      </c>
      <c r="J46" s="8" t="s">
        <v>2172</v>
      </c>
      <c r="K46" s="4">
        <f t="shared" si="3"/>
        <v>1</v>
      </c>
      <c r="L46" s="4">
        <v>4</v>
      </c>
      <c r="M46" s="4">
        <v>1</v>
      </c>
      <c r="Q46">
        <v>19</v>
      </c>
      <c r="S46" s="8"/>
      <c r="T46" s="10"/>
    </row>
    <row r="47" spans="3:20">
      <c r="C47" s="3"/>
      <c r="F47" s="12">
        <v>26</v>
      </c>
      <c r="G47" s="8" t="s">
        <v>1987</v>
      </c>
      <c r="H47" s="7">
        <f t="shared" si="2"/>
        <v>19</v>
      </c>
      <c r="I47" s="3">
        <v>40145.988321759258</v>
      </c>
      <c r="J47" s="8" t="s">
        <v>2155</v>
      </c>
      <c r="K47" s="4">
        <f t="shared" si="3"/>
        <v>2</v>
      </c>
      <c r="L47" s="4">
        <v>2</v>
      </c>
      <c r="M47" s="4">
        <v>2</v>
      </c>
      <c r="Q47">
        <v>19</v>
      </c>
      <c r="S47" s="8"/>
      <c r="T47" s="10"/>
    </row>
    <row r="48" spans="3:20">
      <c r="C48" s="3"/>
      <c r="F48" s="12">
        <v>28</v>
      </c>
      <c r="G48" s="8" t="s">
        <v>2371</v>
      </c>
      <c r="H48" s="7">
        <f t="shared" si="2"/>
        <v>20</v>
      </c>
      <c r="I48" s="3">
        <v>40153.947002314817</v>
      </c>
      <c r="J48" s="8" t="s">
        <v>2370</v>
      </c>
      <c r="K48" s="4">
        <f t="shared" si="3"/>
        <v>1</v>
      </c>
      <c r="L48" s="4">
        <v>2</v>
      </c>
      <c r="M48" s="4">
        <v>1</v>
      </c>
      <c r="Q48">
        <v>20</v>
      </c>
      <c r="S48" s="8"/>
      <c r="T48" s="10"/>
    </row>
    <row r="49" spans="3:20">
      <c r="C49" s="3"/>
      <c r="F49" s="12">
        <v>16</v>
      </c>
      <c r="G49" s="8" t="s">
        <v>1984</v>
      </c>
      <c r="H49" s="7">
        <f t="shared" si="2"/>
        <v>21</v>
      </c>
      <c r="I49" s="3">
        <v>40135.90625</v>
      </c>
      <c r="J49" s="8" t="s">
        <v>2474</v>
      </c>
      <c r="K49" s="4">
        <f t="shared" si="3"/>
        <v>1</v>
      </c>
      <c r="L49" s="4">
        <v>2</v>
      </c>
      <c r="M49" s="4">
        <v>1</v>
      </c>
      <c r="Q49">
        <v>21</v>
      </c>
      <c r="S49" s="8"/>
      <c r="T49" s="10"/>
    </row>
    <row r="50" spans="3:20">
      <c r="C50" s="3"/>
      <c r="F50" s="12">
        <v>23</v>
      </c>
      <c r="G50" t="s">
        <v>1984</v>
      </c>
      <c r="H50" s="7">
        <f t="shared" si="2"/>
        <v>21</v>
      </c>
      <c r="I50" s="3">
        <v>40138.921886574077</v>
      </c>
      <c r="J50" s="8" t="s">
        <v>2454</v>
      </c>
      <c r="K50" s="4">
        <f t="shared" si="3"/>
        <v>2</v>
      </c>
      <c r="L50" s="4">
        <v>2</v>
      </c>
      <c r="M50" s="4">
        <v>2</v>
      </c>
      <c r="Q50">
        <v>21</v>
      </c>
      <c r="S50" s="8"/>
      <c r="T50" s="10"/>
    </row>
    <row r="51" spans="3:20">
      <c r="C51" s="3"/>
      <c r="F51" s="12">
        <v>11</v>
      </c>
      <c r="G51" t="s">
        <v>2450</v>
      </c>
      <c r="H51" s="7">
        <f t="shared" si="2"/>
        <v>22</v>
      </c>
      <c r="I51" s="3">
        <v>40124.543437499997</v>
      </c>
      <c r="J51" s="8" t="s">
        <v>2451</v>
      </c>
      <c r="K51" s="4">
        <f t="shared" si="3"/>
        <v>1</v>
      </c>
      <c r="L51" s="4">
        <v>3</v>
      </c>
      <c r="M51" s="4">
        <v>1</v>
      </c>
      <c r="Q51">
        <v>22</v>
      </c>
      <c r="S51" s="8"/>
      <c r="T51" s="10"/>
    </row>
    <row r="52" spans="3:20">
      <c r="C52" s="3"/>
      <c r="G52" s="40"/>
      <c r="H52" s="43"/>
      <c r="I52" s="3"/>
      <c r="L52" s="4">
        <f>AVERAGE(L2:L51)</f>
        <v>3.34</v>
      </c>
      <c r="S52" s="8"/>
      <c r="T52" s="10"/>
    </row>
    <row r="53" spans="3:20">
      <c r="C53" s="3"/>
      <c r="G53" s="40"/>
      <c r="H53" s="43"/>
      <c r="I53" s="3"/>
      <c r="S53" s="8"/>
      <c r="T53" s="10"/>
    </row>
    <row r="54" spans="3:20">
      <c r="C54" s="3"/>
      <c r="G54" s="40"/>
      <c r="H54" s="43"/>
      <c r="I54" s="3"/>
      <c r="S54" s="8"/>
      <c r="T54" s="10"/>
    </row>
    <row r="55" spans="3:20">
      <c r="C55" s="3"/>
      <c r="G55" s="40"/>
      <c r="H55" s="43"/>
      <c r="I55" s="3"/>
      <c r="S55" s="8"/>
      <c r="T55" s="10"/>
    </row>
    <row r="56" spans="3:20">
      <c r="C56" s="3"/>
      <c r="D56" s="1"/>
      <c r="G56" s="40"/>
      <c r="H56" s="43"/>
      <c r="I56" s="3"/>
      <c r="J56" s="8" t="s">
        <v>3698</v>
      </c>
      <c r="K56" s="4">
        <f>50/22</f>
        <v>2.2727272727272729</v>
      </c>
      <c r="S56" s="8"/>
      <c r="T56" s="10"/>
    </row>
    <row r="57" spans="3:20">
      <c r="C57" s="3"/>
      <c r="G57" s="40"/>
      <c r="H57" s="43"/>
      <c r="I57" s="3"/>
      <c r="S57" s="8"/>
      <c r="T57" s="10"/>
    </row>
    <row r="58" spans="3:20">
      <c r="C58" s="3"/>
      <c r="G58" s="40"/>
      <c r="H58" s="43"/>
      <c r="I58" s="3"/>
      <c r="S58" s="8"/>
      <c r="T58" s="10"/>
    </row>
    <row r="59" spans="3:20">
      <c r="C59" s="3"/>
      <c r="G59" s="40"/>
      <c r="H59" s="43"/>
      <c r="I59" s="3"/>
      <c r="S59" s="8"/>
      <c r="T59" s="10"/>
    </row>
    <row r="60" spans="3:20">
      <c r="C60" s="3"/>
      <c r="G60" s="40"/>
      <c r="H60" s="43"/>
      <c r="I60" s="3"/>
      <c r="S60" s="8"/>
      <c r="T60" s="10"/>
    </row>
    <row r="61" spans="3:20">
      <c r="C61" s="3"/>
      <c r="G61" s="40"/>
      <c r="H61" s="43"/>
      <c r="I61" s="3"/>
      <c r="S61" s="8"/>
      <c r="T61" s="10"/>
    </row>
    <row r="62" spans="3:20">
      <c r="C62" s="3"/>
      <c r="G62" s="40"/>
      <c r="H62" s="43"/>
      <c r="I62" s="3"/>
      <c r="S62" s="8"/>
      <c r="T62" s="10"/>
    </row>
    <row r="63" spans="3:20">
      <c r="C63" s="3"/>
      <c r="G63" s="40"/>
      <c r="H63" s="43"/>
      <c r="I63" s="3"/>
      <c r="S63" s="8"/>
      <c r="T63" s="10"/>
    </row>
    <row r="64" spans="3:20">
      <c r="C64" s="3"/>
      <c r="G64" s="40"/>
      <c r="H64" s="43"/>
      <c r="I64" s="3"/>
      <c r="S64" s="8"/>
      <c r="T64" s="10"/>
    </row>
    <row r="65" spans="3:20">
      <c r="C65" s="3"/>
      <c r="G65" s="40"/>
      <c r="H65" s="43"/>
      <c r="I65" s="3"/>
      <c r="S65" s="8"/>
      <c r="T65" s="10"/>
    </row>
    <row r="66" spans="3:20">
      <c r="C66" s="3"/>
      <c r="G66" s="40"/>
      <c r="H66" s="43"/>
      <c r="I66" s="3"/>
      <c r="S66" s="8"/>
      <c r="T66" s="10"/>
    </row>
    <row r="67" spans="3:20">
      <c r="C67" s="3"/>
      <c r="G67" s="40"/>
      <c r="H67" s="43"/>
      <c r="I67" s="3"/>
      <c r="S67" s="8"/>
      <c r="T67" s="10"/>
    </row>
    <row r="68" spans="3:20">
      <c r="C68" s="3"/>
      <c r="G68" s="40"/>
      <c r="H68" s="43"/>
      <c r="I68" s="3"/>
      <c r="S68" s="8"/>
      <c r="T68" s="10"/>
    </row>
    <row r="69" spans="3:20">
      <c r="C69" s="3"/>
      <c r="G69" s="40"/>
      <c r="H69" s="43"/>
      <c r="I69" s="3"/>
      <c r="S69" s="8"/>
      <c r="T69" s="10"/>
    </row>
    <row r="70" spans="3:20">
      <c r="C70" s="3"/>
      <c r="G70" s="40"/>
      <c r="H70" s="43"/>
      <c r="I70" s="3"/>
      <c r="S70" s="8"/>
      <c r="T70" s="10"/>
    </row>
    <row r="71" spans="3:20">
      <c r="C71" s="3"/>
      <c r="G71" s="40"/>
      <c r="H71" s="43"/>
      <c r="I71" s="3"/>
      <c r="S71" s="8"/>
      <c r="T71" s="10"/>
    </row>
    <row r="72" spans="3:20">
      <c r="C72" s="3"/>
      <c r="G72" s="40"/>
      <c r="H72" s="43"/>
      <c r="I72" s="3"/>
      <c r="S72" s="8"/>
      <c r="T72" s="10"/>
    </row>
    <row r="73" spans="3:20">
      <c r="C73" s="3"/>
      <c r="G73" s="40"/>
      <c r="H73" s="43"/>
      <c r="I73" s="3"/>
      <c r="S73" s="8"/>
      <c r="T73" s="10"/>
    </row>
    <row r="74" spans="3:20">
      <c r="C74" s="3"/>
      <c r="G74" s="40"/>
      <c r="H74" s="43"/>
      <c r="I74" s="3"/>
      <c r="S74" s="8"/>
      <c r="T74" s="10"/>
    </row>
    <row r="75" spans="3:20">
      <c r="C75" s="3"/>
      <c r="G75" s="40"/>
      <c r="H75" s="43"/>
      <c r="I75" s="3"/>
      <c r="S75" s="8"/>
      <c r="T75" s="10"/>
    </row>
    <row r="76" spans="3:20">
      <c r="C76" s="3"/>
      <c r="G76" s="40"/>
      <c r="H76" s="43"/>
      <c r="I76" s="3"/>
      <c r="S76" s="8"/>
      <c r="T76" s="10"/>
    </row>
    <row r="77" spans="3:20">
      <c r="C77" s="3"/>
      <c r="G77" s="40"/>
      <c r="H77" s="43"/>
      <c r="I77" s="3"/>
      <c r="S77" s="8"/>
      <c r="T77" s="10"/>
    </row>
    <row r="78" spans="3:20">
      <c r="C78" s="3"/>
      <c r="G78" s="39"/>
      <c r="H78" s="43"/>
      <c r="I78" s="3"/>
      <c r="S78" s="8"/>
      <c r="T78" s="10"/>
    </row>
    <row r="79" spans="3:20">
      <c r="C79" s="3"/>
      <c r="G79" s="40"/>
      <c r="H79" s="43"/>
      <c r="I79" s="3"/>
      <c r="S79" s="8"/>
      <c r="T79" s="10"/>
    </row>
    <row r="80" spans="3:20">
      <c r="C80" s="3"/>
      <c r="G80" s="39"/>
      <c r="H80" s="43"/>
      <c r="I80" s="3"/>
      <c r="S80" s="8"/>
      <c r="T80" s="10"/>
    </row>
    <row r="81" spans="3:20">
      <c r="C81" s="3"/>
      <c r="G81" s="40"/>
      <c r="H81" s="43"/>
      <c r="I81" s="3"/>
      <c r="S81" s="8"/>
      <c r="T81" s="10"/>
    </row>
    <row r="82" spans="3:20">
      <c r="C82" s="3"/>
      <c r="D82" s="1"/>
      <c r="G82" s="39"/>
      <c r="H82" s="43"/>
      <c r="I82" s="3"/>
      <c r="S82" s="8"/>
      <c r="T82" s="10"/>
    </row>
    <row r="83" spans="3:20">
      <c r="C83" s="3"/>
      <c r="G83" s="40"/>
      <c r="H83" s="43"/>
      <c r="I83" s="3"/>
      <c r="S83" s="8"/>
      <c r="T83" s="10"/>
    </row>
    <row r="84" spans="3:20">
      <c r="C84" s="3"/>
      <c r="G84" s="39"/>
      <c r="H84" s="43"/>
      <c r="I84" s="3"/>
      <c r="S84" s="8"/>
      <c r="T84" s="10"/>
    </row>
    <row r="85" spans="3:20">
      <c r="C85" s="3"/>
      <c r="G85" s="39"/>
      <c r="H85" s="43"/>
      <c r="I85" s="3"/>
      <c r="S85" s="8"/>
      <c r="T85" s="10"/>
    </row>
    <row r="86" spans="3:20">
      <c r="C86" s="3"/>
      <c r="G86" s="40"/>
      <c r="H86" s="43"/>
      <c r="I86" s="3"/>
      <c r="S86" s="8"/>
    </row>
    <row r="87" spans="3:20">
      <c r="C87" s="3"/>
      <c r="G87" s="40"/>
      <c r="H87" s="43"/>
      <c r="I87" s="3"/>
      <c r="S87" s="8"/>
      <c r="T87" s="10"/>
    </row>
    <row r="88" spans="3:20">
      <c r="C88" s="3"/>
      <c r="G88" s="40"/>
      <c r="H88" s="43"/>
      <c r="I88" s="3"/>
      <c r="S88" s="8"/>
      <c r="T88" s="10"/>
    </row>
    <row r="89" spans="3:20">
      <c r="C89" s="3"/>
      <c r="G89" s="40"/>
      <c r="H89" s="43"/>
      <c r="I89" s="3"/>
      <c r="S89" s="8"/>
      <c r="T89" s="10"/>
    </row>
    <row r="90" spans="3:20">
      <c r="C90" s="3"/>
      <c r="G90" s="40"/>
      <c r="H90" s="43"/>
      <c r="I90" s="3"/>
      <c r="S90" s="8"/>
      <c r="T90" s="10"/>
    </row>
    <row r="91" spans="3:20">
      <c r="C91" s="3"/>
      <c r="G91" s="40"/>
      <c r="H91" s="43"/>
      <c r="I91" s="3"/>
      <c r="S91" s="8"/>
      <c r="T91" s="10"/>
    </row>
    <row r="92" spans="3:20">
      <c r="C92" s="3"/>
      <c r="G92" s="39"/>
      <c r="H92" s="43"/>
      <c r="I92" s="3"/>
      <c r="S92" s="8"/>
      <c r="T92" s="10"/>
    </row>
    <row r="93" spans="3:20">
      <c r="C93" s="3"/>
      <c r="G93" s="40"/>
      <c r="H93" s="43"/>
      <c r="I93" s="3"/>
      <c r="S93" s="8"/>
      <c r="T93" s="10"/>
    </row>
    <row r="94" spans="3:20">
      <c r="C94" s="3"/>
      <c r="G94" s="40"/>
      <c r="H94" s="43"/>
      <c r="I94" s="3"/>
      <c r="S94" s="8"/>
      <c r="T94" s="10"/>
    </row>
    <row r="95" spans="3:20">
      <c r="C95" s="3"/>
      <c r="G95" s="40"/>
      <c r="H95" s="43"/>
      <c r="I95" s="3"/>
      <c r="S95" s="8"/>
      <c r="T95" s="10"/>
    </row>
    <row r="96" spans="3:20">
      <c r="C96" s="3"/>
      <c r="G96" s="40"/>
      <c r="H96" s="43"/>
      <c r="I96" s="3"/>
      <c r="S96" s="8"/>
      <c r="T96" s="10"/>
    </row>
    <row r="97" spans="3:20">
      <c r="C97" s="3"/>
      <c r="G97" s="39"/>
      <c r="H97" s="43"/>
      <c r="I97" s="3"/>
      <c r="S97" s="8"/>
      <c r="T97" s="10"/>
    </row>
    <row r="98" spans="3:20">
      <c r="C98" s="3"/>
      <c r="G98" s="40"/>
      <c r="H98" s="43"/>
      <c r="I98" s="3"/>
      <c r="S98" s="8"/>
      <c r="T98" s="10"/>
    </row>
    <row r="99" spans="3:20">
      <c r="C99" s="3"/>
      <c r="G99" s="40"/>
      <c r="H99" s="43"/>
      <c r="I99" s="3"/>
      <c r="S99" s="8"/>
      <c r="T99" s="10"/>
    </row>
    <row r="100" spans="3:20">
      <c r="C100" s="3"/>
      <c r="G100" s="40"/>
      <c r="H100" s="43"/>
      <c r="I100" s="3"/>
      <c r="S100" s="8"/>
      <c r="T100" s="10"/>
    </row>
    <row r="101" spans="3:20">
      <c r="C101" s="3"/>
      <c r="G101" s="39"/>
      <c r="H101" s="43"/>
      <c r="I101" s="3"/>
      <c r="S101" s="8"/>
      <c r="T101" s="10"/>
    </row>
    <row r="102" spans="3:20">
      <c r="C102" s="3"/>
      <c r="G102" s="40"/>
      <c r="H102" s="43"/>
      <c r="I102" s="3"/>
      <c r="S102" s="8"/>
      <c r="T102" s="10"/>
    </row>
    <row r="103" spans="3:20">
      <c r="C103" s="3"/>
      <c r="G103" s="40"/>
      <c r="H103" s="43"/>
      <c r="I103" s="3"/>
      <c r="S103" s="8"/>
      <c r="T103" s="10"/>
    </row>
    <row r="104" spans="3:20">
      <c r="C104" s="3"/>
      <c r="G104" s="39"/>
      <c r="H104" s="43"/>
      <c r="I104" s="3"/>
      <c r="S104" s="8"/>
      <c r="T104" s="10"/>
    </row>
    <row r="105" spans="3:20">
      <c r="C105" s="3"/>
      <c r="G105" s="40"/>
      <c r="H105" s="43"/>
      <c r="I105" s="3"/>
      <c r="S105" s="8"/>
      <c r="T105" s="10"/>
    </row>
    <row r="106" spans="3:20">
      <c r="C106" s="3"/>
      <c r="G106" s="40"/>
      <c r="H106" s="43"/>
      <c r="I106" s="3"/>
      <c r="S106" s="8"/>
      <c r="T106" s="10"/>
    </row>
    <row r="107" spans="3:20">
      <c r="C107" s="3"/>
      <c r="G107" s="39"/>
      <c r="H107" s="43"/>
      <c r="I107" s="3"/>
      <c r="S107" s="8"/>
      <c r="T107" s="10"/>
    </row>
    <row r="108" spans="3:20">
      <c r="C108" s="3"/>
      <c r="G108" s="39"/>
      <c r="H108" s="43"/>
      <c r="I108" s="3"/>
      <c r="S108" s="8"/>
      <c r="T108" s="10"/>
    </row>
    <row r="109" spans="3:20">
      <c r="C109" s="3"/>
      <c r="G109" s="40"/>
      <c r="H109" s="43"/>
      <c r="I109" s="3"/>
      <c r="S109" s="8"/>
      <c r="T109" s="10"/>
    </row>
    <row r="110" spans="3:20">
      <c r="C110" s="3"/>
      <c r="G110" s="39"/>
      <c r="H110" s="43"/>
      <c r="I110" s="3"/>
      <c r="S110" s="8"/>
      <c r="T110" s="10"/>
    </row>
    <row r="111" spans="3:20">
      <c r="C111" s="3"/>
      <c r="G111" s="40"/>
      <c r="H111" s="43"/>
      <c r="I111" s="3"/>
      <c r="S111" s="8"/>
      <c r="T111" s="10"/>
    </row>
    <row r="112" spans="3:20">
      <c r="C112" s="3"/>
      <c r="G112" s="39"/>
      <c r="H112" s="43"/>
      <c r="I112" s="3"/>
      <c r="S112" s="8"/>
      <c r="T112" s="10"/>
    </row>
    <row r="113" spans="3:20">
      <c r="C113" s="3"/>
      <c r="G113" s="39"/>
      <c r="H113" s="43"/>
      <c r="I113" s="3"/>
      <c r="S113" s="8"/>
      <c r="T113" s="10"/>
    </row>
    <row r="114" spans="3:20">
      <c r="C114" s="3"/>
      <c r="G114" s="40"/>
      <c r="H114" s="43"/>
      <c r="I114" s="3"/>
      <c r="S114" s="8"/>
      <c r="T114" s="10"/>
    </row>
    <row r="115" spans="3:20">
      <c r="C115" s="3"/>
      <c r="G115" s="40"/>
      <c r="H115" s="43"/>
      <c r="I115" s="3"/>
      <c r="S115" s="8"/>
      <c r="T115" s="10"/>
    </row>
    <row r="116" spans="3:20">
      <c r="C116" s="3"/>
      <c r="G116" s="39"/>
      <c r="H116" s="43"/>
      <c r="I116" s="3"/>
      <c r="S116" s="8"/>
      <c r="T116" s="10"/>
    </row>
    <row r="117" spans="3:20">
      <c r="C117" s="3"/>
      <c r="G117" s="40"/>
      <c r="H117" s="43"/>
      <c r="I117" s="3"/>
      <c r="S117" s="8"/>
      <c r="T117" s="10"/>
    </row>
    <row r="118" spans="3:20">
      <c r="C118" s="3"/>
      <c r="G118" s="40"/>
      <c r="H118" s="43"/>
      <c r="I118" s="3"/>
      <c r="S118" s="8"/>
      <c r="T118" s="10"/>
    </row>
    <row r="119" spans="3:20">
      <c r="C119" s="3"/>
      <c r="G119" s="39"/>
      <c r="H119" s="43"/>
      <c r="I119" s="3"/>
      <c r="S119" s="8"/>
      <c r="T119" s="10"/>
    </row>
    <row r="120" spans="3:20">
      <c r="C120" s="3"/>
      <c r="G120" s="39"/>
      <c r="H120" s="43"/>
      <c r="I120" s="3"/>
      <c r="S120" s="8"/>
      <c r="T120" s="10"/>
    </row>
    <row r="121" spans="3:20">
      <c r="C121" s="3"/>
      <c r="G121" s="40"/>
      <c r="H121" s="43"/>
      <c r="I121" s="3"/>
      <c r="S121" s="8"/>
      <c r="T121" s="10"/>
    </row>
    <row r="122" spans="3:20">
      <c r="C122" s="3"/>
      <c r="G122" s="39"/>
      <c r="H122" s="43"/>
      <c r="I122" s="3"/>
      <c r="S122" s="8"/>
      <c r="T122" s="10"/>
    </row>
    <row r="123" spans="3:20">
      <c r="C123" s="3"/>
      <c r="G123" s="40"/>
      <c r="H123" s="43"/>
      <c r="I123" s="3"/>
      <c r="S123" s="8"/>
      <c r="T123" s="10"/>
    </row>
    <row r="124" spans="3:20">
      <c r="C124" s="3"/>
      <c r="G124" s="39"/>
      <c r="H124" s="43"/>
      <c r="I124" s="3"/>
      <c r="S124" s="8"/>
      <c r="T124" s="10"/>
    </row>
    <row r="125" spans="3:20">
      <c r="C125" s="3"/>
      <c r="G125" s="42"/>
      <c r="H125" s="43"/>
      <c r="I125" s="3"/>
      <c r="S125" s="8"/>
      <c r="T125" s="10"/>
    </row>
    <row r="126" spans="3:20">
      <c r="C126" s="3"/>
      <c r="G126" s="42"/>
      <c r="H126" s="43"/>
      <c r="I126" s="3"/>
      <c r="S126" s="8"/>
      <c r="T126" s="10"/>
    </row>
    <row r="127" spans="3:20">
      <c r="C127" s="3"/>
      <c r="G127" s="41"/>
      <c r="H127" s="43"/>
      <c r="I127" s="3"/>
      <c r="S127" s="8"/>
      <c r="T127" s="10"/>
    </row>
    <row r="128" spans="3:20">
      <c r="C128" s="3"/>
      <c r="G128" s="40"/>
      <c r="H128" s="43"/>
      <c r="I128" s="3"/>
      <c r="S128" s="8"/>
      <c r="T128" s="10"/>
    </row>
    <row r="129" spans="3:20">
      <c r="C129" s="3"/>
      <c r="G129" s="40"/>
      <c r="H129" s="43"/>
      <c r="I129" s="3"/>
      <c r="S129" s="8"/>
      <c r="T129" s="10"/>
    </row>
    <row r="130" spans="3:20">
      <c r="C130" s="3"/>
      <c r="G130" s="39"/>
      <c r="H130" s="43"/>
      <c r="I130" s="3"/>
      <c r="S130" s="8"/>
      <c r="T130" s="10"/>
    </row>
    <row r="131" spans="3:20">
      <c r="C131" s="3"/>
      <c r="G131" s="40"/>
      <c r="H131" s="43"/>
      <c r="I131" s="3"/>
      <c r="S131" s="8"/>
      <c r="T131" s="10"/>
    </row>
    <row r="132" spans="3:20">
      <c r="C132" s="3"/>
      <c r="G132" s="40"/>
      <c r="H132" s="43"/>
      <c r="I132" s="3"/>
      <c r="S132" s="8"/>
      <c r="T132" s="10"/>
    </row>
    <row r="133" spans="3:20">
      <c r="C133" s="3"/>
      <c r="G133" s="40"/>
      <c r="H133" s="43"/>
      <c r="I133" s="3"/>
      <c r="S133" s="8"/>
      <c r="T133" s="10"/>
    </row>
    <row r="134" spans="3:20">
      <c r="C134" s="3"/>
      <c r="G134" s="40"/>
      <c r="H134" s="43"/>
      <c r="I134" s="3"/>
      <c r="S134" s="8"/>
      <c r="T134" s="10"/>
    </row>
    <row r="135" spans="3:20">
      <c r="C135" s="3"/>
      <c r="G135" s="40"/>
      <c r="H135" s="43"/>
      <c r="I135" s="3"/>
      <c r="S135" s="8"/>
      <c r="T135" s="10"/>
    </row>
    <row r="136" spans="3:20">
      <c r="C136" s="3"/>
      <c r="G136" s="39"/>
      <c r="H136" s="43"/>
      <c r="I136" s="3"/>
      <c r="S136" s="8"/>
      <c r="T136" s="10"/>
    </row>
    <row r="137" spans="3:20">
      <c r="C137" s="3"/>
      <c r="G137" s="40"/>
      <c r="H137" s="43"/>
      <c r="I137" s="3"/>
      <c r="S137" s="8"/>
      <c r="T137" s="10"/>
    </row>
    <row r="138" spans="3:20">
      <c r="C138" s="3"/>
      <c r="G138" s="39"/>
      <c r="H138" s="43"/>
      <c r="I138" s="3"/>
      <c r="S138" s="8"/>
      <c r="T138" s="10"/>
    </row>
    <row r="139" spans="3:20">
      <c r="C139" s="3"/>
      <c r="G139" s="39"/>
      <c r="H139" s="43"/>
      <c r="I139" s="3"/>
      <c r="S139" s="8"/>
      <c r="T139" s="10"/>
    </row>
    <row r="140" spans="3:20">
      <c r="C140" s="3"/>
      <c r="G140" s="40"/>
      <c r="H140" s="43"/>
      <c r="I140" s="3"/>
      <c r="S140" s="8"/>
      <c r="T140" s="10"/>
    </row>
    <row r="141" spans="3:20">
      <c r="C141" s="3"/>
      <c r="G141" s="40"/>
      <c r="H141" s="43"/>
      <c r="I141" s="3"/>
      <c r="S141" s="8"/>
      <c r="T141" s="10"/>
    </row>
    <row r="142" spans="3:20">
      <c r="C142" s="3"/>
      <c r="G142" s="40"/>
      <c r="H142" s="43"/>
      <c r="I142" s="3"/>
      <c r="S142" s="8"/>
      <c r="T142" s="10"/>
    </row>
    <row r="143" spans="3:20">
      <c r="C143" s="3"/>
      <c r="G143" s="40"/>
      <c r="H143" s="43"/>
      <c r="I143" s="3"/>
      <c r="S143" s="8"/>
      <c r="T143" s="10"/>
    </row>
    <row r="144" spans="3:20">
      <c r="C144" s="3"/>
      <c r="D144" s="1"/>
      <c r="G144" s="40"/>
      <c r="H144" s="43"/>
      <c r="I144" s="3"/>
      <c r="S144" s="8"/>
      <c r="T144" s="10"/>
    </row>
    <row r="145" spans="3:20">
      <c r="C145" s="3"/>
      <c r="G145" s="40"/>
      <c r="H145" s="43"/>
      <c r="I145" s="3"/>
      <c r="S145" s="8"/>
      <c r="T145" s="10"/>
    </row>
    <row r="146" spans="3:20">
      <c r="C146" s="3"/>
      <c r="G146" s="40"/>
      <c r="H146" s="43"/>
      <c r="I146" s="3"/>
      <c r="S146" s="8"/>
      <c r="T146" s="10"/>
    </row>
    <row r="147" spans="3:20">
      <c r="C147" s="3"/>
      <c r="G147" s="40"/>
      <c r="H147" s="43"/>
      <c r="I147" s="3"/>
      <c r="S147" s="8"/>
      <c r="T147" s="10"/>
    </row>
    <row r="148" spans="3:20">
      <c r="C148" s="3"/>
      <c r="G148" s="39"/>
      <c r="H148" s="43"/>
      <c r="I148" s="3"/>
      <c r="S148" s="8"/>
      <c r="T148" s="10"/>
    </row>
    <row r="149" spans="3:20">
      <c r="C149" s="3"/>
      <c r="G149" s="40"/>
      <c r="H149" s="43"/>
      <c r="I149" s="3"/>
      <c r="S149" s="8"/>
      <c r="T149" s="10"/>
    </row>
    <row r="150" spans="3:20">
      <c r="C150" s="3"/>
      <c r="G150" s="39"/>
      <c r="H150" s="43"/>
      <c r="I150" s="3"/>
      <c r="S150" s="8"/>
      <c r="T150" s="10"/>
    </row>
    <row r="151" spans="3:20">
      <c r="C151" s="3"/>
      <c r="G151" s="40"/>
      <c r="H151" s="43"/>
      <c r="I151" s="3"/>
      <c r="S151" s="8"/>
      <c r="T151" s="10"/>
    </row>
    <row r="152" spans="3:20">
      <c r="C152" s="3"/>
      <c r="G152" s="39"/>
      <c r="H152" s="43"/>
      <c r="I152" s="3"/>
      <c r="S152" s="8"/>
      <c r="T152" s="10"/>
    </row>
    <row r="153" spans="3:20">
      <c r="C153" s="3"/>
      <c r="G153" s="39"/>
      <c r="H153" s="43"/>
      <c r="I153" s="3"/>
      <c r="S153" s="8"/>
      <c r="T153" s="10"/>
    </row>
    <row r="154" spans="3:20">
      <c r="C154" s="3"/>
      <c r="G154" s="40"/>
      <c r="H154" s="43"/>
      <c r="I154" s="3"/>
      <c r="S154" s="8"/>
      <c r="T154" s="10"/>
    </row>
    <row r="155" spans="3:20">
      <c r="C155" s="3"/>
      <c r="G155" s="40"/>
      <c r="H155" s="43"/>
      <c r="I155" s="3"/>
      <c r="S155" s="8"/>
      <c r="T155" s="10"/>
    </row>
    <row r="156" spans="3:20">
      <c r="C156" s="3"/>
      <c r="G156" s="39"/>
      <c r="H156" s="43"/>
      <c r="I156" s="3"/>
      <c r="S156" s="8"/>
      <c r="T156" s="10"/>
    </row>
    <row r="157" spans="3:20">
      <c r="C157" s="3"/>
      <c r="G157" s="39"/>
      <c r="H157" s="43"/>
      <c r="I157" s="3"/>
      <c r="S157" s="8"/>
      <c r="T157" s="10"/>
    </row>
    <row r="158" spans="3:20">
      <c r="C158" s="3"/>
      <c r="G158" s="39"/>
      <c r="H158" s="43"/>
      <c r="I158" s="3"/>
      <c r="S158" s="8"/>
      <c r="T158" s="10"/>
    </row>
    <row r="159" spans="3:20">
      <c r="C159" s="3"/>
      <c r="G159" s="40"/>
      <c r="H159" s="43"/>
      <c r="I159" s="3"/>
      <c r="S159" s="8"/>
      <c r="T159" s="10"/>
    </row>
    <row r="160" spans="3:20">
      <c r="C160" s="3"/>
      <c r="G160" s="39"/>
      <c r="H160" s="43"/>
      <c r="I160" s="3"/>
      <c r="S160" s="8"/>
      <c r="T160" s="10"/>
    </row>
    <row r="161" spans="3:20">
      <c r="C161" s="3"/>
      <c r="G161" s="40"/>
      <c r="H161" s="43"/>
      <c r="I161" s="3"/>
      <c r="S161" s="8"/>
      <c r="T161" s="10"/>
    </row>
    <row r="162" spans="3:20">
      <c r="C162" s="3"/>
      <c r="G162" s="40"/>
      <c r="H162" s="43"/>
      <c r="I162" s="3"/>
      <c r="S162" s="8"/>
      <c r="T162" s="10"/>
    </row>
    <row r="163" spans="3:20">
      <c r="C163" s="3"/>
      <c r="G163" s="39"/>
      <c r="H163" s="43"/>
      <c r="I163" s="3"/>
      <c r="S163" s="8"/>
      <c r="T163" s="10"/>
    </row>
    <row r="164" spans="3:20">
      <c r="C164" s="3"/>
      <c r="G164" s="39"/>
      <c r="H164" s="43"/>
      <c r="I164" s="3"/>
      <c r="S164" s="8"/>
      <c r="T164" s="10"/>
    </row>
    <row r="165" spans="3:20">
      <c r="C165" s="3"/>
      <c r="G165" s="41"/>
      <c r="H165" s="43"/>
      <c r="I165" s="3"/>
      <c r="S165" s="8"/>
      <c r="T165" s="10"/>
    </row>
    <row r="166" spans="3:20">
      <c r="C166" s="3"/>
      <c r="G166" s="39"/>
      <c r="H166" s="43"/>
      <c r="I166" s="3"/>
      <c r="S166" s="8"/>
      <c r="T166" s="10"/>
    </row>
    <row r="167" spans="3:20">
      <c r="C167" s="3"/>
      <c r="G167" s="39"/>
      <c r="H167" s="43"/>
      <c r="I167" s="3"/>
      <c r="S167" s="8"/>
      <c r="T167" s="10"/>
    </row>
    <row r="168" spans="3:20">
      <c r="C168" s="3"/>
      <c r="G168" s="41"/>
      <c r="H168" s="43"/>
      <c r="I168" s="3"/>
      <c r="S168" s="8"/>
      <c r="T168" s="10"/>
    </row>
    <row r="169" spans="3:20">
      <c r="C169" s="3"/>
      <c r="G169" s="40"/>
      <c r="H169" s="43"/>
      <c r="I169" s="3"/>
      <c r="S169" s="8"/>
      <c r="T169" s="10"/>
    </row>
    <row r="170" spans="3:20">
      <c r="C170" s="3"/>
      <c r="G170" s="40"/>
      <c r="H170" s="43"/>
      <c r="I170" s="3"/>
      <c r="S170" s="8"/>
      <c r="T170" s="10"/>
    </row>
    <row r="171" spans="3:20">
      <c r="C171" s="3"/>
      <c r="G171" s="40"/>
      <c r="H171" s="43"/>
      <c r="I171" s="3"/>
      <c r="S171" s="8"/>
      <c r="T171" s="10"/>
    </row>
    <row r="172" spans="3:20">
      <c r="C172" s="3"/>
      <c r="G172" s="39"/>
      <c r="H172" s="43"/>
      <c r="I172" s="3"/>
      <c r="S172" s="8"/>
      <c r="T172" s="10"/>
    </row>
    <row r="173" spans="3:20">
      <c r="C173" s="3"/>
      <c r="G173" s="39"/>
      <c r="H173" s="43"/>
      <c r="I173" s="3"/>
      <c r="S173" s="8"/>
      <c r="T173" s="10"/>
    </row>
    <row r="174" spans="3:20">
      <c r="C174" s="3"/>
      <c r="G174" s="40"/>
      <c r="H174" s="43"/>
      <c r="I174" s="3"/>
      <c r="S174" s="8"/>
      <c r="T174" s="10"/>
    </row>
    <row r="175" spans="3:20">
      <c r="C175" s="3"/>
      <c r="G175" s="39"/>
      <c r="H175" s="43"/>
      <c r="I175" s="3"/>
      <c r="S175" s="8"/>
      <c r="T175" s="10"/>
    </row>
    <row r="176" spans="3:20">
      <c r="C176" s="3"/>
      <c r="G176" s="39"/>
      <c r="H176" s="43"/>
      <c r="I176" s="3"/>
      <c r="S176" s="8"/>
      <c r="T176" s="10"/>
    </row>
    <row r="177" spans="3:20">
      <c r="C177" s="3"/>
      <c r="G177" s="40"/>
      <c r="H177" s="43"/>
      <c r="I177" s="3"/>
      <c r="S177" s="8"/>
      <c r="T177" s="10"/>
    </row>
    <row r="178" spans="3:20">
      <c r="C178" s="3"/>
      <c r="G178" s="40"/>
      <c r="H178" s="43"/>
      <c r="I178" s="3"/>
      <c r="S178" s="8"/>
      <c r="T178" s="10"/>
    </row>
    <row r="179" spans="3:20">
      <c r="C179" s="3"/>
      <c r="G179" s="40"/>
      <c r="H179" s="43"/>
      <c r="I179" s="3"/>
      <c r="S179" s="8"/>
      <c r="T179" s="10"/>
    </row>
    <row r="180" spans="3:20">
      <c r="C180" s="3"/>
      <c r="G180" s="40"/>
      <c r="H180" s="43"/>
      <c r="I180" s="3"/>
      <c r="S180" s="8"/>
      <c r="T180" s="10"/>
    </row>
    <row r="181" spans="3:20">
      <c r="C181" s="3"/>
      <c r="G181" s="39"/>
      <c r="H181" s="43"/>
      <c r="I181" s="3"/>
      <c r="S181" s="8"/>
      <c r="T181" s="10"/>
    </row>
    <row r="182" spans="3:20">
      <c r="C182" s="3"/>
      <c r="G182" s="39"/>
      <c r="H182" s="43"/>
      <c r="I182" s="3"/>
      <c r="S182" s="8"/>
      <c r="T182" s="10"/>
    </row>
    <row r="183" spans="3:20">
      <c r="C183" s="3"/>
      <c r="G183" s="39"/>
      <c r="H183" s="43"/>
      <c r="I183" s="3"/>
      <c r="S183" s="8"/>
      <c r="T183" s="10"/>
    </row>
    <row r="184" spans="3:20">
      <c r="C184" s="3"/>
      <c r="G184" s="40"/>
      <c r="H184" s="43"/>
      <c r="I184" s="3"/>
      <c r="S184" s="8"/>
      <c r="T184" s="10"/>
    </row>
    <row r="185" spans="3:20">
      <c r="C185" s="3"/>
      <c r="G185" s="40"/>
      <c r="H185" s="43"/>
      <c r="I185" s="3"/>
      <c r="S185" s="8"/>
      <c r="T185" s="10"/>
    </row>
    <row r="186" spans="3:20">
      <c r="C186" s="3"/>
      <c r="G186" s="40"/>
      <c r="H186" s="43"/>
      <c r="I186" s="3"/>
      <c r="S186" s="8"/>
      <c r="T186" s="10"/>
    </row>
    <row r="187" spans="3:20">
      <c r="C187" s="3"/>
      <c r="G187" s="40"/>
      <c r="H187" s="43"/>
      <c r="I187" s="3"/>
      <c r="S187" s="8"/>
      <c r="T187" s="10"/>
    </row>
    <row r="188" spans="3:20">
      <c r="C188" s="3"/>
      <c r="G188" s="39"/>
      <c r="H188" s="43"/>
      <c r="I188" s="3"/>
      <c r="S188" s="8"/>
      <c r="T188" s="10"/>
    </row>
    <row r="189" spans="3:20">
      <c r="C189" s="3"/>
      <c r="G189" s="39"/>
      <c r="H189" s="43"/>
      <c r="I189" s="3"/>
      <c r="S189" s="8"/>
      <c r="T189" s="10"/>
    </row>
    <row r="190" spans="3:20">
      <c r="C190" s="3"/>
      <c r="G190" s="42"/>
      <c r="H190" s="43"/>
      <c r="I190" s="3"/>
      <c r="S190" s="8"/>
      <c r="T190" s="10"/>
    </row>
    <row r="191" spans="3:20">
      <c r="C191" s="3"/>
      <c r="G191" s="44"/>
      <c r="H191" s="43"/>
      <c r="I191" s="3"/>
      <c r="S191" s="8"/>
      <c r="T191" s="10"/>
    </row>
    <row r="192" spans="3:20">
      <c r="C192" s="3"/>
      <c r="G192" s="44"/>
      <c r="H192" s="43"/>
      <c r="I192" s="3"/>
      <c r="S192" s="8"/>
      <c r="T192" s="10"/>
    </row>
    <row r="193" spans="3:20">
      <c r="C193" s="3"/>
      <c r="G193" s="44"/>
      <c r="H193" s="43"/>
      <c r="I193" s="3"/>
      <c r="S193" s="8"/>
      <c r="T193" s="10"/>
    </row>
    <row r="194" spans="3:20">
      <c r="C194" s="3"/>
      <c r="G194" s="8"/>
      <c r="H194" s="7"/>
      <c r="I194" s="3"/>
      <c r="S194" s="8"/>
      <c r="T194" s="10"/>
    </row>
    <row r="195" spans="3:20">
      <c r="C195" s="3"/>
      <c r="G195" s="8"/>
      <c r="H195" s="7"/>
      <c r="I195" s="3"/>
      <c r="S195" s="8"/>
      <c r="T195" s="10"/>
    </row>
    <row r="196" spans="3:20">
      <c r="C196" s="3"/>
      <c r="G196" s="8"/>
      <c r="H196" s="7"/>
      <c r="I196" s="3"/>
    </row>
    <row r="197" spans="3:20">
      <c r="C197" s="3"/>
      <c r="G197" s="8"/>
      <c r="H197" s="7"/>
      <c r="I197" s="3"/>
    </row>
    <row r="198" spans="3:20">
      <c r="C198" s="3"/>
      <c r="G198" s="8"/>
      <c r="H198" s="7"/>
      <c r="I198" s="3"/>
    </row>
    <row r="199" spans="3:20">
      <c r="C199" s="3"/>
      <c r="G199" s="8"/>
      <c r="H199" s="7"/>
      <c r="I199" s="3"/>
    </row>
    <row r="200" spans="3:20">
      <c r="C200" s="3"/>
      <c r="G200" s="8"/>
      <c r="H200" s="7"/>
      <c r="I200" s="3"/>
    </row>
    <row r="201" spans="3:20">
      <c r="C201" s="3"/>
      <c r="G201" s="8"/>
      <c r="H201" s="7"/>
      <c r="I201" s="3"/>
    </row>
    <row r="202" spans="3:20">
      <c r="G202" s="8"/>
      <c r="H202" s="7"/>
      <c r="I202" s="3"/>
    </row>
    <row r="203" spans="3:20">
      <c r="G203" s="8"/>
      <c r="H203" s="7"/>
      <c r="I203" s="3"/>
    </row>
    <row r="204" spans="3:20">
      <c r="G204" s="8"/>
      <c r="H204" s="7"/>
      <c r="I204" s="3"/>
    </row>
    <row r="205" spans="3:20">
      <c r="G205" s="8"/>
      <c r="H205" s="7"/>
      <c r="I205" s="3"/>
    </row>
    <row r="206" spans="3:20">
      <c r="G206" s="8"/>
      <c r="H206" s="7"/>
      <c r="I206" s="3"/>
    </row>
    <row r="207" spans="3:20">
      <c r="G207" s="8"/>
      <c r="H207" s="7"/>
      <c r="I207" s="3"/>
    </row>
    <row r="208" spans="3:20">
      <c r="G208" s="8"/>
      <c r="H208" s="7"/>
      <c r="I208" s="3"/>
    </row>
    <row r="209" spans="7:9">
      <c r="G209" s="8"/>
      <c r="H209" s="7"/>
      <c r="I209" s="3"/>
    </row>
    <row r="210" spans="7:9">
      <c r="G210" s="8"/>
      <c r="H210" s="7"/>
      <c r="I210" s="3"/>
    </row>
    <row r="211" spans="7:9">
      <c r="G211" s="8"/>
      <c r="H211" s="7"/>
      <c r="I211" s="3"/>
    </row>
    <row r="212" spans="7:9">
      <c r="G212" s="8"/>
      <c r="H212" s="7"/>
      <c r="I212" s="3"/>
    </row>
    <row r="213" spans="7:9">
      <c r="G213" s="8"/>
      <c r="H213" s="7"/>
      <c r="I213" s="3"/>
    </row>
    <row r="214" spans="7:9">
      <c r="G214" s="8"/>
      <c r="H214" s="7"/>
      <c r="I214" s="3"/>
    </row>
    <row r="215" spans="7:9">
      <c r="G215" s="8"/>
      <c r="H215" s="7"/>
      <c r="I215" s="3"/>
    </row>
    <row r="216" spans="7:9">
      <c r="G216" s="8"/>
      <c r="H216" s="7"/>
      <c r="I216" s="3"/>
    </row>
    <row r="217" spans="7:9">
      <c r="G217" s="8"/>
      <c r="H217" s="7"/>
      <c r="I217" s="3"/>
    </row>
    <row r="218" spans="7:9">
      <c r="G218" s="8"/>
      <c r="H218" s="7"/>
      <c r="I218" s="3"/>
    </row>
    <row r="219" spans="7:9">
      <c r="G219" s="8"/>
      <c r="H219" s="7"/>
      <c r="I219" s="3"/>
    </row>
    <row r="220" spans="7:9">
      <c r="G220" s="8"/>
      <c r="H220" s="7"/>
      <c r="I220" s="3"/>
    </row>
    <row r="221" spans="7:9">
      <c r="G221" s="8"/>
      <c r="H221" s="7"/>
      <c r="I221" s="3"/>
    </row>
    <row r="222" spans="7:9">
      <c r="G222" s="8"/>
      <c r="H222" s="7"/>
      <c r="I222" s="3"/>
    </row>
    <row r="223" spans="7:9">
      <c r="G223" s="8"/>
      <c r="H223" s="7"/>
      <c r="I223" s="3"/>
    </row>
    <row r="224" spans="7:9">
      <c r="G224" s="8"/>
      <c r="H224" s="7"/>
      <c r="I224" s="3"/>
    </row>
    <row r="225" spans="7:9">
      <c r="G225" s="8"/>
      <c r="H225" s="7"/>
      <c r="I225" s="3"/>
    </row>
    <row r="226" spans="7:9">
      <c r="G226" s="8"/>
      <c r="H226" s="7"/>
      <c r="I226" s="3"/>
    </row>
    <row r="227" spans="7:9">
      <c r="G227" s="8"/>
      <c r="H227" s="7"/>
      <c r="I227" s="3"/>
    </row>
    <row r="228" spans="7:9">
      <c r="G228" s="8"/>
      <c r="H228" s="7"/>
      <c r="I228" s="3"/>
    </row>
    <row r="229" spans="7:9">
      <c r="G229" s="8"/>
      <c r="H229" s="7"/>
      <c r="I229" s="3"/>
    </row>
    <row r="230" spans="7:9">
      <c r="G230" s="8"/>
      <c r="H230" s="7"/>
      <c r="I230" s="3"/>
    </row>
    <row r="231" spans="7:9">
      <c r="G231" s="8"/>
      <c r="H231" s="7"/>
      <c r="I231" s="3"/>
    </row>
    <row r="232" spans="7:9">
      <c r="G232" s="8"/>
      <c r="H232" s="7"/>
      <c r="I232" s="3"/>
    </row>
    <row r="233" spans="7:9">
      <c r="G233" s="8"/>
      <c r="H233" s="7"/>
      <c r="I233" s="3"/>
    </row>
    <row r="234" spans="7:9">
      <c r="G234" s="8"/>
      <c r="H234" s="7"/>
      <c r="I234" s="3"/>
    </row>
    <row r="235" spans="7:9">
      <c r="G235" s="8"/>
      <c r="H235" s="7"/>
      <c r="I235" s="3"/>
    </row>
    <row r="236" spans="7:9">
      <c r="G236" s="8"/>
      <c r="H236" s="7"/>
      <c r="I236" s="3"/>
    </row>
    <row r="237" spans="7:9">
      <c r="G237" s="8"/>
      <c r="H237" s="7"/>
      <c r="I237" s="3"/>
    </row>
    <row r="238" spans="7:9">
      <c r="G238" s="8"/>
      <c r="H238" s="7"/>
      <c r="I238" s="3"/>
    </row>
    <row r="239" spans="7:9">
      <c r="G239" s="8"/>
      <c r="H239" s="7"/>
      <c r="I239" s="3"/>
    </row>
    <row r="240" spans="7:9">
      <c r="G240" s="8"/>
      <c r="H240" s="7"/>
      <c r="I240" s="3"/>
    </row>
    <row r="241" spans="7:9">
      <c r="G241" s="8"/>
      <c r="H241" s="7"/>
      <c r="I241" s="3"/>
    </row>
    <row r="242" spans="7:9">
      <c r="G242" s="8"/>
      <c r="H242" s="7"/>
      <c r="I242" s="3"/>
    </row>
    <row r="243" spans="7:9">
      <c r="G243" s="8"/>
      <c r="H243" s="7"/>
      <c r="I243" s="3"/>
    </row>
    <row r="244" spans="7:9">
      <c r="G244" s="8"/>
      <c r="H244" s="7"/>
      <c r="I244" s="3"/>
    </row>
    <row r="245" spans="7:9">
      <c r="G245" s="8"/>
      <c r="H245" s="7"/>
      <c r="I245" s="3"/>
    </row>
    <row r="246" spans="7:9">
      <c r="G246" s="8"/>
      <c r="H246" s="7"/>
      <c r="I246" s="3"/>
    </row>
    <row r="247" spans="7:9">
      <c r="G247" s="8"/>
      <c r="H247" s="7"/>
      <c r="I247" s="3"/>
    </row>
    <row r="248" spans="7:9">
      <c r="G248" s="8"/>
      <c r="H248" s="7"/>
      <c r="I248" s="3"/>
    </row>
    <row r="249" spans="7:9">
      <c r="G249" s="8"/>
      <c r="H249" s="7"/>
      <c r="I249" s="3"/>
    </row>
    <row r="250" spans="7:9">
      <c r="G250" s="8"/>
      <c r="H250" s="7"/>
      <c r="I250" s="3"/>
    </row>
    <row r="251" spans="7:9">
      <c r="G251" s="8"/>
      <c r="H251" s="7"/>
      <c r="I251" s="3"/>
    </row>
    <row r="252" spans="7:9">
      <c r="G252" s="8"/>
      <c r="H252" s="7"/>
      <c r="I252" s="3"/>
    </row>
    <row r="253" spans="7:9">
      <c r="G253" s="8"/>
      <c r="H253" s="7"/>
      <c r="I253" s="3"/>
    </row>
    <row r="254" spans="7:9">
      <c r="G254" s="8"/>
      <c r="H254" s="7"/>
      <c r="I254" s="3"/>
    </row>
    <row r="255" spans="7:9">
      <c r="G255" s="8"/>
      <c r="H255" s="7"/>
      <c r="I255" s="3"/>
    </row>
    <row r="256" spans="7:9">
      <c r="G256" s="8"/>
      <c r="H256" s="7"/>
      <c r="I256" s="3"/>
    </row>
    <row r="257" spans="7:12">
      <c r="G257" s="8"/>
      <c r="H257" s="7"/>
      <c r="I257" s="3"/>
    </row>
    <row r="258" spans="7:12">
      <c r="G258" s="8"/>
      <c r="H258" s="7"/>
      <c r="I258" s="3"/>
    </row>
    <row r="259" spans="7:12">
      <c r="G259" s="8"/>
      <c r="H259" s="7"/>
      <c r="I259" s="3"/>
    </row>
    <row r="260" spans="7:12">
      <c r="G260" s="8"/>
      <c r="H260" s="7"/>
      <c r="I260" s="3"/>
    </row>
    <row r="261" spans="7:12">
      <c r="G261" s="8"/>
      <c r="H261" s="7"/>
      <c r="I261" s="3"/>
    </row>
    <row r="262" spans="7:12">
      <c r="G262" s="8"/>
      <c r="H262" s="7"/>
      <c r="I262" s="3"/>
    </row>
    <row r="263" spans="7:12">
      <c r="G263" s="8"/>
      <c r="H263" s="7"/>
      <c r="I263" s="3"/>
    </row>
    <row r="264" spans="7:12">
      <c r="G264" s="8"/>
      <c r="H264" s="7"/>
      <c r="I264" s="3"/>
    </row>
    <row r="265" spans="7:12">
      <c r="G265" s="8"/>
      <c r="H265" s="7"/>
      <c r="I265" s="3"/>
    </row>
    <row r="266" spans="7:12">
      <c r="G266" s="8"/>
      <c r="H266" s="7"/>
      <c r="I266" s="3"/>
    </row>
    <row r="267" spans="7:12">
      <c r="G267" s="8"/>
      <c r="H267" s="7"/>
      <c r="I267" s="3"/>
    </row>
    <row r="268" spans="7:12">
      <c r="G268" s="8"/>
      <c r="H268" s="7"/>
      <c r="I268" s="3"/>
    </row>
    <row r="269" spans="7:12">
      <c r="G269" s="8"/>
      <c r="H269" s="7"/>
      <c r="I269" s="3"/>
    </row>
    <row r="270" spans="7:12">
      <c r="G270" s="8"/>
      <c r="H270" s="7"/>
      <c r="I270" s="3"/>
    </row>
    <row r="271" spans="7:12">
      <c r="G271" s="3"/>
      <c r="L271" s="16"/>
    </row>
    <row r="272" spans="7:12">
      <c r="G272" s="3"/>
    </row>
    <row r="273" spans="7:7">
      <c r="G273"/>
    </row>
    <row r="274" spans="7:7">
      <c r="G274" s="3"/>
    </row>
    <row r="275" spans="7:7">
      <c r="G275" s="3"/>
    </row>
    <row r="276" spans="7:7">
      <c r="G276" s="3"/>
    </row>
    <row r="277" spans="7:7">
      <c r="G277"/>
    </row>
    <row r="278" spans="7:7">
      <c r="G278" s="3"/>
    </row>
    <row r="279" spans="7:7">
      <c r="G279" s="3"/>
    </row>
    <row r="280" spans="7:7">
      <c r="G280"/>
    </row>
    <row r="281" spans="7:7">
      <c r="G281" s="3"/>
    </row>
    <row r="282" spans="7:7">
      <c r="G282"/>
    </row>
    <row r="283" spans="7:7">
      <c r="G283"/>
    </row>
    <row r="284" spans="7:7">
      <c r="G284" s="3"/>
    </row>
    <row r="285" spans="7:7">
      <c r="G285"/>
    </row>
    <row r="286" spans="7:7">
      <c r="G286"/>
    </row>
    <row r="287" spans="7:7">
      <c r="G287"/>
    </row>
    <row r="288" spans="7:7">
      <c r="G288"/>
    </row>
    <row r="289" spans="7:7">
      <c r="G289" s="3"/>
    </row>
    <row r="290" spans="7:7">
      <c r="G290" s="3"/>
    </row>
    <row r="291" spans="7:7">
      <c r="G291"/>
    </row>
    <row r="292" spans="7:7">
      <c r="G292" s="3"/>
    </row>
    <row r="293" spans="7:7">
      <c r="G293"/>
    </row>
    <row r="294" spans="7:7">
      <c r="G294" s="3"/>
    </row>
    <row r="295" spans="7:7">
      <c r="G295" s="3"/>
    </row>
    <row r="296" spans="7:7">
      <c r="G296"/>
    </row>
    <row r="297" spans="7:7">
      <c r="G297" s="3"/>
    </row>
    <row r="298" spans="7:7">
      <c r="G298"/>
    </row>
    <row r="299" spans="7:7">
      <c r="G299" s="3"/>
    </row>
    <row r="300" spans="7:7">
      <c r="G300"/>
    </row>
    <row r="301" spans="7:7">
      <c r="G301"/>
    </row>
    <row r="302" spans="7:7">
      <c r="G302"/>
    </row>
    <row r="303" spans="7:7">
      <c r="G303" s="3"/>
    </row>
    <row r="304" spans="7:7">
      <c r="G304"/>
    </row>
    <row r="305" spans="7:7">
      <c r="G305"/>
    </row>
    <row r="306" spans="7:7">
      <c r="G306" s="3"/>
    </row>
    <row r="307" spans="7:7">
      <c r="G307" s="3"/>
    </row>
    <row r="308" spans="7:7">
      <c r="G308"/>
    </row>
    <row r="309" spans="7:7">
      <c r="G309" s="3"/>
    </row>
    <row r="310" spans="7:7">
      <c r="G310" s="3"/>
    </row>
    <row r="311" spans="7:7">
      <c r="G311"/>
    </row>
    <row r="312" spans="7:7">
      <c r="G312" s="3"/>
    </row>
    <row r="313" spans="7:7">
      <c r="G313" s="3"/>
    </row>
    <row r="314" spans="7:7">
      <c r="G314"/>
    </row>
    <row r="315" spans="7:7">
      <c r="G315" s="3"/>
    </row>
    <row r="316" spans="7:7">
      <c r="G316"/>
    </row>
    <row r="317" spans="7:7">
      <c r="G317" s="3"/>
    </row>
    <row r="318" spans="7:7">
      <c r="G318" s="3"/>
    </row>
    <row r="319" spans="7:7">
      <c r="G319" s="3"/>
    </row>
    <row r="320" spans="7:7">
      <c r="G320" s="3"/>
    </row>
    <row r="321" spans="7:7">
      <c r="G321" s="3"/>
    </row>
    <row r="322" spans="7:7">
      <c r="G322"/>
    </row>
    <row r="323" spans="7:7">
      <c r="G323"/>
    </row>
    <row r="324" spans="7:7">
      <c r="G324"/>
    </row>
    <row r="325" spans="7:7">
      <c r="G325" s="3"/>
    </row>
    <row r="326" spans="7:7">
      <c r="G326" s="3"/>
    </row>
    <row r="327" spans="7:7">
      <c r="G327" s="3"/>
    </row>
    <row r="328" spans="7:7">
      <c r="G328" s="3"/>
    </row>
    <row r="329" spans="7:7">
      <c r="G329" s="3"/>
    </row>
    <row r="330" spans="7:7">
      <c r="G330" s="3"/>
    </row>
    <row r="331" spans="7:7">
      <c r="G331"/>
    </row>
    <row r="332" spans="7:7">
      <c r="G332"/>
    </row>
    <row r="333" spans="7:7">
      <c r="G333" s="3"/>
    </row>
    <row r="334" spans="7:7">
      <c r="G334"/>
    </row>
    <row r="335" spans="7:7">
      <c r="G335" s="3"/>
    </row>
    <row r="336" spans="7:7">
      <c r="G336"/>
    </row>
    <row r="337" spans="7:7">
      <c r="G337"/>
    </row>
    <row r="338" spans="7:7">
      <c r="G338" s="3"/>
    </row>
    <row r="339" spans="7:7">
      <c r="G339"/>
    </row>
    <row r="340" spans="7:7">
      <c r="G340" s="3"/>
    </row>
    <row r="341" spans="7:7">
      <c r="G341" s="3"/>
    </row>
    <row r="342" spans="7:7">
      <c r="G342"/>
    </row>
    <row r="343" spans="7:7">
      <c r="G343"/>
    </row>
    <row r="344" spans="7:7">
      <c r="G344" s="3"/>
    </row>
    <row r="345" spans="7:7">
      <c r="G345"/>
    </row>
    <row r="346" spans="7:7">
      <c r="G346"/>
    </row>
    <row r="347" spans="7:7">
      <c r="G347"/>
    </row>
    <row r="348" spans="7:7">
      <c r="G348" s="2"/>
    </row>
    <row r="349" spans="7:7">
      <c r="G349" s="3"/>
    </row>
    <row r="350" spans="7:7">
      <c r="G350" s="3"/>
    </row>
    <row r="351" spans="7:7">
      <c r="G351"/>
    </row>
    <row r="352" spans="7:7">
      <c r="G352" s="3"/>
    </row>
    <row r="353" spans="7:7">
      <c r="G353" s="3"/>
    </row>
    <row r="354" spans="7:7">
      <c r="G354"/>
    </row>
    <row r="355" spans="7:7">
      <c r="G355"/>
    </row>
    <row r="356" spans="7:7">
      <c r="G356"/>
    </row>
    <row r="357" spans="7:7">
      <c r="G357"/>
    </row>
    <row r="358" spans="7:7">
      <c r="G358" s="3"/>
    </row>
    <row r="359" spans="7:7">
      <c r="G359" s="3"/>
    </row>
    <row r="360" spans="7:7">
      <c r="G360" s="3"/>
    </row>
    <row r="361" spans="7:7">
      <c r="G361" s="3"/>
    </row>
    <row r="362" spans="7:7">
      <c r="G362"/>
    </row>
    <row r="363" spans="7:7">
      <c r="G363" s="3"/>
    </row>
    <row r="364" spans="7:7">
      <c r="G364" s="3"/>
    </row>
    <row r="365" spans="7:7">
      <c r="G365" s="3"/>
    </row>
    <row r="366" spans="7:7">
      <c r="G366"/>
    </row>
    <row r="367" spans="7:7">
      <c r="G367"/>
    </row>
    <row r="368" spans="7:7">
      <c r="G368"/>
    </row>
    <row r="369" spans="7:7">
      <c r="G369"/>
    </row>
    <row r="370" spans="7:7">
      <c r="G370"/>
    </row>
    <row r="371" spans="7:7">
      <c r="G371"/>
    </row>
    <row r="372" spans="7:7">
      <c r="G372"/>
    </row>
    <row r="373" spans="7:7">
      <c r="G373"/>
    </row>
    <row r="374" spans="7:7">
      <c r="G374"/>
    </row>
    <row r="375" spans="7:7">
      <c r="G375"/>
    </row>
    <row r="376" spans="7:7">
      <c r="G376"/>
    </row>
    <row r="377" spans="7:7">
      <c r="G377" s="3"/>
    </row>
    <row r="378" spans="7:7">
      <c r="G378"/>
    </row>
    <row r="379" spans="7:7">
      <c r="G379" s="3"/>
    </row>
    <row r="380" spans="7:7">
      <c r="G380" s="3"/>
    </row>
    <row r="381" spans="7:7">
      <c r="G381" s="3"/>
    </row>
    <row r="382" spans="7:7">
      <c r="G382"/>
    </row>
    <row r="383" spans="7:7">
      <c r="G383"/>
    </row>
    <row r="384" spans="7:7">
      <c r="G384"/>
    </row>
    <row r="385" spans="7:10">
      <c r="G385" s="3"/>
    </row>
    <row r="386" spans="7:10">
      <c r="G386" s="3"/>
    </row>
    <row r="387" spans="7:10">
      <c r="G387"/>
    </row>
    <row r="388" spans="7:10">
      <c r="G388" s="3"/>
    </row>
    <row r="389" spans="7:10">
      <c r="G389" s="3"/>
    </row>
    <row r="390" spans="7:10">
      <c r="G390"/>
    </row>
    <row r="391" spans="7:10">
      <c r="G391" s="3"/>
    </row>
    <row r="392" spans="7:10">
      <c r="G392"/>
      <c r="H392"/>
      <c r="I392"/>
      <c r="J392"/>
    </row>
    <row r="393" spans="7:10">
      <c r="G393"/>
      <c r="H393"/>
      <c r="I393"/>
      <c r="J393"/>
    </row>
    <row r="394" spans="7:10">
      <c r="G394"/>
      <c r="H394"/>
      <c r="I394"/>
      <c r="J394"/>
    </row>
    <row r="395" spans="7:10">
      <c r="G395"/>
      <c r="H395"/>
      <c r="I395"/>
      <c r="J395"/>
    </row>
    <row r="396" spans="7:10">
      <c r="G396"/>
      <c r="H396"/>
      <c r="I396"/>
      <c r="J396"/>
    </row>
  </sheetData>
  <sortState ref="F2:M51">
    <sortCondition ref="H2:H51"/>
    <sortCondition ref="M2:M51"/>
  </sortState>
  <dataConsolidate/>
  <conditionalFormatting sqref="D2:D101">
    <cfRule type="duplicateValues" dxfId="31" priority="19"/>
  </conditionalFormatting>
  <conditionalFormatting sqref="D102:D201">
    <cfRule type="duplicateValues" dxfId="30" priority="18"/>
  </conditionalFormatting>
  <conditionalFormatting sqref="J298:J391">
    <cfRule type="cellIs" dxfId="29" priority="17" operator="lessThan">
      <formula>0</formula>
    </cfRule>
  </conditionalFormatting>
  <conditionalFormatting sqref="J271:J391">
    <cfRule type="duplicateValues" dxfId="28" priority="20"/>
  </conditionalFormatting>
  <conditionalFormatting sqref="S102:S195">
    <cfRule type="cellIs" dxfId="27" priority="15" operator="lessThan">
      <formula>0</formula>
    </cfRule>
  </conditionalFormatting>
  <conditionalFormatting sqref="S2:S11 S13:S195">
    <cfRule type="duplicateValues" dxfId="26" priority="16"/>
  </conditionalFormatting>
  <conditionalFormatting sqref="S12">
    <cfRule type="duplicateValues" dxfId="25" priority="14"/>
  </conditionalFormatting>
  <conditionalFormatting sqref="I191:I270">
    <cfRule type="duplicateValues" dxfId="24" priority="13"/>
  </conditionalFormatting>
  <conditionalFormatting sqref="I52:I190">
    <cfRule type="duplicateValues" dxfId="23" priority="12"/>
  </conditionalFormatting>
  <conditionalFormatting sqref="J52:J190">
    <cfRule type="duplicateValues" dxfId="22" priority="11"/>
  </conditionalFormatting>
  <conditionalFormatting sqref="J192:J270">
    <cfRule type="duplicateValues" dxfId="21" priority="21"/>
  </conditionalFormatting>
  <conditionalFormatting sqref="G2:G51">
    <cfRule type="duplicateValues" dxfId="20" priority="5"/>
  </conditionalFormatting>
  <conditionalFormatting sqref="N2:N23">
    <cfRule type="duplicateValues" dxfId="19" priority="4"/>
  </conditionalFormatting>
  <conditionalFormatting sqref="I27:I51">
    <cfRule type="cellIs" dxfId="18" priority="2" operator="between">
      <formula>$W$607</formula>
      <formula>$X$607</formula>
    </cfRule>
    <cfRule type="cellIs" dxfId="17" priority="3" operator="between">
      <formula>$W$606</formula>
      <formula>$X$606</formula>
    </cfRule>
  </conditionalFormatting>
  <conditionalFormatting sqref="I2:J51">
    <cfRule type="duplicateValues" dxfId="16" priority="1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C1:X396"/>
  <sheetViews>
    <sheetView topLeftCell="A47" zoomScale="80" zoomScaleNormal="80" zoomScalePageLayoutView="80" workbookViewId="0">
      <selection activeCell="M2" sqref="M2:M78"/>
    </sheetView>
  </sheetViews>
  <sheetFormatPr baseColWidth="10" defaultColWidth="11" defaultRowHeight="15" x14ac:dyDescent="0"/>
  <cols>
    <col min="3" max="3" width="16.1640625" bestFit="1" customWidth="1"/>
    <col min="5" max="5" width="7.5" customWidth="1"/>
    <col min="6" max="6" width="11" style="12"/>
    <col min="7" max="7" width="18.1640625" style="4" bestFit="1" customWidth="1"/>
    <col min="8" max="8" width="8.6640625" style="4" customWidth="1"/>
    <col min="9" max="9" width="18.5" style="9" bestFit="1" customWidth="1"/>
    <col min="10" max="10" width="11" style="8"/>
    <col min="11" max="11" width="8.5" style="4" bestFit="1" customWidth="1"/>
    <col min="12" max="12" width="4.5" style="4" customWidth="1"/>
    <col min="13" max="13" width="13.33203125" style="4" customWidth="1"/>
    <col min="14" max="14" width="18.1640625" bestFit="1" customWidth="1"/>
    <col min="19" max="19" width="16.5" style="2" customWidth="1"/>
    <col min="20" max="20" width="17.5" bestFit="1" customWidth="1"/>
    <col min="21" max="22" width="5.6640625" customWidth="1"/>
    <col min="23" max="23" width="16.1640625" bestFit="1" customWidth="1"/>
  </cols>
  <sheetData>
    <row r="1" spans="3:21" s="18" customFormat="1" ht="20">
      <c r="G1" s="19" t="s">
        <v>329</v>
      </c>
      <c r="H1" s="19" t="s">
        <v>334</v>
      </c>
      <c r="I1" s="20" t="s">
        <v>333</v>
      </c>
      <c r="J1" s="21" t="s">
        <v>332</v>
      </c>
      <c r="K1" s="19" t="s">
        <v>331</v>
      </c>
      <c r="L1" s="19" t="s">
        <v>1867</v>
      </c>
      <c r="M1" s="19" t="s">
        <v>1863</v>
      </c>
      <c r="N1" s="18" t="s">
        <v>329</v>
      </c>
      <c r="O1" s="18" t="s">
        <v>330</v>
      </c>
      <c r="S1" s="22"/>
    </row>
    <row r="2" spans="3:21">
      <c r="C2" s="3"/>
      <c r="F2" s="12">
        <v>69</v>
      </c>
      <c r="G2" s="8" t="s">
        <v>2443</v>
      </c>
      <c r="H2" s="7">
        <f t="shared" ref="H2:H33" si="0">LOOKUP(G2,$N$2:$N$15,$O$2:$O$15)</f>
        <v>1</v>
      </c>
      <c r="I2" s="3">
        <v>37487.32545138889</v>
      </c>
      <c r="J2" s="8" t="s">
        <v>2442</v>
      </c>
      <c r="K2" s="4">
        <f t="shared" ref="K2:K33" si="1">IF(Q2&gt;Q1,1,K1+1)</f>
        <v>1</v>
      </c>
      <c r="L2" s="4">
        <v>2</v>
      </c>
      <c r="M2" s="4">
        <v>1</v>
      </c>
      <c r="N2" s="8" t="s">
        <v>2443</v>
      </c>
      <c r="O2">
        <v>1</v>
      </c>
      <c r="Q2">
        <v>1</v>
      </c>
      <c r="S2" s="8"/>
      <c r="T2" s="10"/>
    </row>
    <row r="3" spans="3:21">
      <c r="C3" s="3"/>
      <c r="F3" s="12">
        <v>46</v>
      </c>
      <c r="G3" s="8" t="s">
        <v>2082</v>
      </c>
      <c r="H3" s="7">
        <f t="shared" si="0"/>
        <v>2</v>
      </c>
      <c r="I3" s="3">
        <v>37448.233252314814</v>
      </c>
      <c r="J3" s="8" t="s">
        <v>2081</v>
      </c>
      <c r="K3" s="4">
        <f t="shared" si="1"/>
        <v>1</v>
      </c>
      <c r="L3" s="4">
        <v>2</v>
      </c>
      <c r="M3" s="4">
        <v>1</v>
      </c>
      <c r="N3" s="8" t="s">
        <v>2082</v>
      </c>
      <c r="O3">
        <v>2</v>
      </c>
      <c r="Q3">
        <v>2</v>
      </c>
      <c r="S3" s="8"/>
      <c r="T3" s="10"/>
    </row>
    <row r="4" spans="3:21">
      <c r="C4" s="3"/>
      <c r="F4" s="12">
        <v>2</v>
      </c>
      <c r="G4" s="8" t="s">
        <v>2030</v>
      </c>
      <c r="H4" s="7">
        <f t="shared" si="0"/>
        <v>3</v>
      </c>
      <c r="I4" s="3">
        <v>37418.739247685182</v>
      </c>
      <c r="J4" s="8" t="s">
        <v>2508</v>
      </c>
      <c r="K4" s="4">
        <f t="shared" si="1"/>
        <v>1</v>
      </c>
      <c r="L4" s="4">
        <v>2</v>
      </c>
      <c r="M4" s="4">
        <v>1</v>
      </c>
      <c r="N4" s="8" t="s">
        <v>2030</v>
      </c>
      <c r="O4">
        <v>3</v>
      </c>
      <c r="Q4">
        <v>3</v>
      </c>
      <c r="S4" s="8"/>
      <c r="T4" s="10"/>
    </row>
    <row r="5" spans="3:21">
      <c r="C5" s="3"/>
      <c r="F5" s="12">
        <v>47</v>
      </c>
      <c r="G5" t="s">
        <v>2030</v>
      </c>
      <c r="H5" s="7">
        <f t="shared" si="0"/>
        <v>3</v>
      </c>
      <c r="I5" s="3">
        <v>37448.256284722222</v>
      </c>
      <c r="J5" s="8" t="s">
        <v>2251</v>
      </c>
      <c r="K5" s="4">
        <f t="shared" si="1"/>
        <v>2</v>
      </c>
      <c r="L5" s="4">
        <v>2</v>
      </c>
      <c r="M5" s="4">
        <v>2</v>
      </c>
      <c r="N5" s="8" t="s">
        <v>2096</v>
      </c>
      <c r="O5">
        <v>4</v>
      </c>
      <c r="Q5">
        <v>3</v>
      </c>
      <c r="S5" s="8"/>
      <c r="T5" s="10"/>
    </row>
    <row r="6" spans="3:21">
      <c r="C6" s="3"/>
      <c r="F6" s="12">
        <v>23</v>
      </c>
      <c r="G6" s="8" t="s">
        <v>2096</v>
      </c>
      <c r="H6" s="7">
        <f t="shared" si="0"/>
        <v>4</v>
      </c>
      <c r="I6" s="3">
        <v>37427.202638888892</v>
      </c>
      <c r="J6" s="8" t="s">
        <v>2280</v>
      </c>
      <c r="K6" s="4">
        <f t="shared" si="1"/>
        <v>1</v>
      </c>
      <c r="L6" s="4">
        <v>2</v>
      </c>
      <c r="M6" s="4">
        <v>1</v>
      </c>
      <c r="N6" s="8" t="s">
        <v>2102</v>
      </c>
      <c r="O6">
        <v>5</v>
      </c>
      <c r="Q6">
        <v>4</v>
      </c>
      <c r="S6" s="8"/>
      <c r="T6" s="10"/>
    </row>
    <row r="7" spans="3:21">
      <c r="C7" s="3"/>
      <c r="F7" s="12">
        <v>75</v>
      </c>
      <c r="G7" s="8" t="s">
        <v>2096</v>
      </c>
      <c r="H7" s="7">
        <f t="shared" si="0"/>
        <v>4</v>
      </c>
      <c r="I7" s="3">
        <v>37504.269861111112</v>
      </c>
      <c r="J7" s="8" t="s">
        <v>2420</v>
      </c>
      <c r="K7" s="4">
        <f t="shared" si="1"/>
        <v>2</v>
      </c>
      <c r="L7" s="4">
        <v>2</v>
      </c>
      <c r="M7" s="4">
        <v>2</v>
      </c>
      <c r="N7" t="s">
        <v>2432</v>
      </c>
      <c r="O7">
        <v>6</v>
      </c>
      <c r="Q7">
        <v>4</v>
      </c>
      <c r="S7" s="8"/>
      <c r="T7" s="10"/>
    </row>
    <row r="8" spans="3:21">
      <c r="C8" s="3"/>
      <c r="F8" s="12">
        <v>77</v>
      </c>
      <c r="G8" s="8" t="s">
        <v>2102</v>
      </c>
      <c r="H8" s="7">
        <f t="shared" si="0"/>
        <v>5</v>
      </c>
      <c r="I8" s="3">
        <v>37512.584930555553</v>
      </c>
      <c r="J8" s="8" t="s">
        <v>2423</v>
      </c>
      <c r="K8" s="4">
        <f t="shared" si="1"/>
        <v>1</v>
      </c>
      <c r="L8" s="4">
        <v>2</v>
      </c>
      <c r="M8" s="4">
        <v>1</v>
      </c>
      <c r="N8" s="8" t="s">
        <v>2042</v>
      </c>
      <c r="O8">
        <v>7</v>
      </c>
      <c r="Q8">
        <v>5</v>
      </c>
      <c r="S8" s="8"/>
      <c r="T8" s="10"/>
    </row>
    <row r="9" spans="3:21">
      <c r="C9" s="3"/>
      <c r="F9" s="12">
        <v>40</v>
      </c>
      <c r="G9" t="s">
        <v>2432</v>
      </c>
      <c r="H9" s="7">
        <f t="shared" si="0"/>
        <v>6</v>
      </c>
      <c r="I9" s="3">
        <v>37445.761805555558</v>
      </c>
      <c r="J9" s="8" t="s">
        <v>2433</v>
      </c>
      <c r="K9" s="4">
        <f t="shared" si="1"/>
        <v>1</v>
      </c>
      <c r="L9" s="4">
        <v>2</v>
      </c>
      <c r="M9" s="4">
        <v>1</v>
      </c>
      <c r="N9" s="8" t="s">
        <v>1969</v>
      </c>
      <c r="O9">
        <v>8</v>
      </c>
      <c r="Q9">
        <v>6</v>
      </c>
      <c r="S9" s="8"/>
      <c r="T9" s="10"/>
    </row>
    <row r="10" spans="3:21">
      <c r="C10" s="3"/>
      <c r="D10" s="1"/>
      <c r="F10" s="12">
        <v>67</v>
      </c>
      <c r="G10" s="8" t="s">
        <v>2042</v>
      </c>
      <c r="H10" s="7">
        <f t="shared" si="0"/>
        <v>7</v>
      </c>
      <c r="I10" s="3">
        <v>37473.935243055559</v>
      </c>
      <c r="J10" s="8" t="s">
        <v>2164</v>
      </c>
      <c r="K10" s="4">
        <f t="shared" si="1"/>
        <v>1</v>
      </c>
      <c r="L10" s="4">
        <v>2</v>
      </c>
      <c r="M10" s="4">
        <v>1</v>
      </c>
      <c r="N10" s="8" t="s">
        <v>2217</v>
      </c>
      <c r="O10">
        <v>9</v>
      </c>
      <c r="Q10">
        <v>7</v>
      </c>
      <c r="S10" s="8"/>
      <c r="T10" s="10"/>
    </row>
    <row r="11" spans="3:21">
      <c r="C11" s="3"/>
      <c r="F11" s="12">
        <v>71</v>
      </c>
      <c r="G11" s="8" t="s">
        <v>2042</v>
      </c>
      <c r="H11" s="7">
        <f t="shared" si="0"/>
        <v>7</v>
      </c>
      <c r="I11" s="3">
        <v>37495.478148148148</v>
      </c>
      <c r="J11" s="8" t="s">
        <v>2353</v>
      </c>
      <c r="K11" s="4">
        <f t="shared" si="1"/>
        <v>2</v>
      </c>
      <c r="L11" s="4">
        <v>2</v>
      </c>
      <c r="M11" s="4">
        <v>2</v>
      </c>
      <c r="N11" t="s">
        <v>1971</v>
      </c>
      <c r="O11">
        <v>10</v>
      </c>
      <c r="Q11">
        <v>7</v>
      </c>
      <c r="S11" s="8"/>
    </row>
    <row r="12" spans="3:21">
      <c r="C12" s="3"/>
      <c r="F12" s="12">
        <v>4</v>
      </c>
      <c r="G12" s="8" t="s">
        <v>1969</v>
      </c>
      <c r="H12" s="7">
        <f t="shared" si="0"/>
        <v>8</v>
      </c>
      <c r="I12" s="3">
        <v>37421.066805555558</v>
      </c>
      <c r="J12" s="8" t="s">
        <v>2018</v>
      </c>
      <c r="K12" s="4">
        <f t="shared" si="1"/>
        <v>1</v>
      </c>
      <c r="L12" s="4">
        <v>4</v>
      </c>
      <c r="M12" s="4">
        <v>1</v>
      </c>
      <c r="N12" s="8" t="s">
        <v>1998</v>
      </c>
      <c r="O12">
        <v>11</v>
      </c>
      <c r="Q12">
        <v>8</v>
      </c>
      <c r="S12" s="8"/>
    </row>
    <row r="13" spans="3:21">
      <c r="C13" s="3"/>
      <c r="F13" s="12">
        <v>6</v>
      </c>
      <c r="G13" s="8" t="s">
        <v>1969</v>
      </c>
      <c r="H13" s="7">
        <f t="shared" si="0"/>
        <v>8</v>
      </c>
      <c r="I13" s="3">
        <v>37421.601134259261</v>
      </c>
      <c r="J13" s="8" t="s">
        <v>2374</v>
      </c>
      <c r="K13" s="4">
        <f t="shared" si="1"/>
        <v>2</v>
      </c>
      <c r="L13" s="4">
        <v>2</v>
      </c>
      <c r="M13" s="4">
        <v>2</v>
      </c>
      <c r="N13" t="s">
        <v>2389</v>
      </c>
      <c r="O13">
        <v>12</v>
      </c>
      <c r="Q13">
        <v>8</v>
      </c>
      <c r="S13" s="8"/>
      <c r="T13" s="26"/>
      <c r="U13" s="4"/>
    </row>
    <row r="14" spans="3:21">
      <c r="C14" s="3"/>
      <c r="D14" s="1"/>
      <c r="F14" s="12">
        <v>13</v>
      </c>
      <c r="G14" t="s">
        <v>1969</v>
      </c>
      <c r="H14" s="7">
        <f t="shared" si="0"/>
        <v>8</v>
      </c>
      <c r="I14" s="3">
        <v>37425.132430555554</v>
      </c>
      <c r="J14" s="8" t="s">
        <v>2514</v>
      </c>
      <c r="K14" s="4">
        <f t="shared" si="1"/>
        <v>3</v>
      </c>
      <c r="L14" s="4">
        <v>2</v>
      </c>
      <c r="M14" s="4">
        <v>3</v>
      </c>
      <c r="N14" s="8" t="s">
        <v>1967</v>
      </c>
      <c r="O14">
        <v>13</v>
      </c>
      <c r="Q14">
        <v>8</v>
      </c>
      <c r="S14" s="8"/>
      <c r="T14" s="26"/>
      <c r="U14" s="4"/>
    </row>
    <row r="15" spans="3:21">
      <c r="C15" s="3"/>
      <c r="F15" s="12">
        <v>17</v>
      </c>
      <c r="G15" s="8" t="s">
        <v>1969</v>
      </c>
      <c r="H15" s="7">
        <f t="shared" si="0"/>
        <v>8</v>
      </c>
      <c r="I15" s="3">
        <v>37425.846817129626</v>
      </c>
      <c r="J15" s="8" t="s">
        <v>1977</v>
      </c>
      <c r="K15" s="4">
        <f t="shared" si="1"/>
        <v>4</v>
      </c>
      <c r="L15" s="4">
        <v>7</v>
      </c>
      <c r="M15" s="4">
        <v>4</v>
      </c>
      <c r="N15" s="8" t="s">
        <v>2512</v>
      </c>
      <c r="O15">
        <v>14</v>
      </c>
      <c r="Q15">
        <v>8</v>
      </c>
      <c r="S15" s="8"/>
      <c r="T15" s="26"/>
      <c r="U15" s="4"/>
    </row>
    <row r="16" spans="3:21">
      <c r="C16" s="3"/>
      <c r="F16" s="12">
        <v>19</v>
      </c>
      <c r="G16" s="8" t="s">
        <v>1969</v>
      </c>
      <c r="H16" s="7">
        <f t="shared" si="0"/>
        <v>8</v>
      </c>
      <c r="I16" s="3">
        <v>37426.522962962961</v>
      </c>
      <c r="J16" s="8" t="s">
        <v>2531</v>
      </c>
      <c r="K16" s="4">
        <f t="shared" si="1"/>
        <v>5</v>
      </c>
      <c r="L16" s="4">
        <v>4</v>
      </c>
      <c r="M16" s="4">
        <v>5</v>
      </c>
      <c r="Q16">
        <v>8</v>
      </c>
      <c r="S16" s="8"/>
      <c r="T16" s="26"/>
      <c r="U16" s="4"/>
    </row>
    <row r="17" spans="3:24">
      <c r="C17" s="3"/>
      <c r="F17" s="12">
        <v>20</v>
      </c>
      <c r="G17" s="8" t="s">
        <v>1969</v>
      </c>
      <c r="H17" s="7">
        <f t="shared" si="0"/>
        <v>8</v>
      </c>
      <c r="I17" s="3">
        <v>37426.588136574072</v>
      </c>
      <c r="J17" s="8" t="s">
        <v>2289</v>
      </c>
      <c r="K17" s="4">
        <f t="shared" si="1"/>
        <v>6</v>
      </c>
      <c r="L17" s="4">
        <v>3</v>
      </c>
      <c r="M17" s="4">
        <v>6</v>
      </c>
      <c r="Q17">
        <v>8</v>
      </c>
      <c r="S17" s="8"/>
      <c r="T17" s="26"/>
      <c r="U17" s="4"/>
    </row>
    <row r="18" spans="3:24">
      <c r="C18" s="3"/>
      <c r="F18" s="12">
        <v>24</v>
      </c>
      <c r="G18" t="s">
        <v>1969</v>
      </c>
      <c r="H18" s="7">
        <f t="shared" si="0"/>
        <v>8</v>
      </c>
      <c r="I18" s="3">
        <v>37427.702337962961</v>
      </c>
      <c r="J18" s="8" t="s">
        <v>2263</v>
      </c>
      <c r="K18" s="4">
        <f t="shared" si="1"/>
        <v>7</v>
      </c>
      <c r="L18" s="4">
        <v>2</v>
      </c>
      <c r="M18" s="4">
        <v>7</v>
      </c>
      <c r="Q18">
        <v>8</v>
      </c>
      <c r="S18" s="8"/>
      <c r="T18" s="26"/>
      <c r="U18" s="4"/>
    </row>
    <row r="19" spans="3:24">
      <c r="C19" s="3"/>
      <c r="D19" s="1"/>
      <c r="F19" s="12">
        <v>26</v>
      </c>
      <c r="G19" t="s">
        <v>1969</v>
      </c>
      <c r="H19" s="7">
        <f t="shared" si="0"/>
        <v>8</v>
      </c>
      <c r="I19" s="3">
        <v>37427.759386574071</v>
      </c>
      <c r="J19" s="8" t="s">
        <v>2186</v>
      </c>
      <c r="K19" s="4">
        <f t="shared" si="1"/>
        <v>8</v>
      </c>
      <c r="L19" s="4">
        <v>2</v>
      </c>
      <c r="M19" s="4">
        <v>8</v>
      </c>
      <c r="Q19">
        <v>8</v>
      </c>
      <c r="S19" s="8"/>
      <c r="T19" s="26"/>
      <c r="U19" s="4"/>
      <c r="W19" s="12">
        <f>U21/8</f>
        <v>0</v>
      </c>
      <c r="X19" t="s">
        <v>1865</v>
      </c>
    </row>
    <row r="20" spans="3:24">
      <c r="C20" s="3"/>
      <c r="F20" s="12">
        <v>28</v>
      </c>
      <c r="G20" t="s">
        <v>1969</v>
      </c>
      <c r="H20" s="7">
        <f t="shared" si="0"/>
        <v>8</v>
      </c>
      <c r="I20" s="3">
        <v>37428.029791666668</v>
      </c>
      <c r="J20" s="8" t="s">
        <v>2271</v>
      </c>
      <c r="K20" s="4">
        <f t="shared" si="1"/>
        <v>9</v>
      </c>
      <c r="L20" s="4">
        <v>2</v>
      </c>
      <c r="M20" s="4">
        <v>9</v>
      </c>
      <c r="Q20">
        <v>8</v>
      </c>
      <c r="S20" s="8"/>
      <c r="T20" s="26"/>
      <c r="U20" s="4"/>
    </row>
    <row r="21" spans="3:24">
      <c r="C21" s="3"/>
      <c r="F21" s="12">
        <v>30</v>
      </c>
      <c r="G21" t="s">
        <v>1969</v>
      </c>
      <c r="H21" s="7">
        <f t="shared" si="0"/>
        <v>8</v>
      </c>
      <c r="I21" s="3">
        <v>37428.551365740743</v>
      </c>
      <c r="J21" s="8" t="s">
        <v>2034</v>
      </c>
      <c r="K21" s="4">
        <f t="shared" si="1"/>
        <v>10</v>
      </c>
      <c r="L21" s="4">
        <v>3</v>
      </c>
      <c r="M21" s="4">
        <v>10</v>
      </c>
      <c r="Q21">
        <v>8</v>
      </c>
      <c r="S21" s="8"/>
      <c r="T21" s="26"/>
      <c r="U21" s="4"/>
    </row>
    <row r="22" spans="3:24">
      <c r="C22" s="3"/>
      <c r="F22" s="12">
        <v>33</v>
      </c>
      <c r="G22" s="8" t="s">
        <v>1969</v>
      </c>
      <c r="H22" s="7">
        <f t="shared" si="0"/>
        <v>8</v>
      </c>
      <c r="I22" s="3">
        <v>37435.55228009259</v>
      </c>
      <c r="J22" s="8" t="s">
        <v>2311</v>
      </c>
      <c r="K22" s="4">
        <f t="shared" si="1"/>
        <v>11</v>
      </c>
      <c r="L22" s="4">
        <v>6</v>
      </c>
      <c r="M22" s="4">
        <v>11</v>
      </c>
      <c r="Q22">
        <v>8</v>
      </c>
      <c r="S22" s="8"/>
    </row>
    <row r="23" spans="3:24">
      <c r="C23" s="3"/>
      <c r="F23" s="12">
        <v>39</v>
      </c>
      <c r="G23" s="8" t="s">
        <v>1969</v>
      </c>
      <c r="H23" s="7">
        <f t="shared" si="0"/>
        <v>8</v>
      </c>
      <c r="I23" s="3">
        <v>37446.012372685182</v>
      </c>
      <c r="J23" s="8" t="s">
        <v>2249</v>
      </c>
      <c r="K23" s="4">
        <f t="shared" si="1"/>
        <v>12</v>
      </c>
      <c r="L23" s="4">
        <v>3</v>
      </c>
      <c r="M23" s="4">
        <v>12</v>
      </c>
      <c r="Q23">
        <v>8</v>
      </c>
      <c r="S23" s="8"/>
    </row>
    <row r="24" spans="3:24">
      <c r="C24" s="3"/>
      <c r="F24" s="12">
        <v>42</v>
      </c>
      <c r="G24" t="s">
        <v>1969</v>
      </c>
      <c r="H24" s="7">
        <f t="shared" si="0"/>
        <v>8</v>
      </c>
      <c r="I24" s="3">
        <v>37446.689062500001</v>
      </c>
      <c r="J24" s="8" t="s">
        <v>2541</v>
      </c>
      <c r="K24" s="4">
        <f t="shared" si="1"/>
        <v>13</v>
      </c>
      <c r="L24" s="4">
        <v>2</v>
      </c>
      <c r="M24" s="4">
        <v>13</v>
      </c>
      <c r="Q24">
        <v>8</v>
      </c>
      <c r="S24" s="8"/>
    </row>
    <row r="25" spans="3:24">
      <c r="C25" s="3"/>
      <c r="F25" s="12">
        <v>44</v>
      </c>
      <c r="G25" s="8" t="s">
        <v>1969</v>
      </c>
      <c r="H25" s="7">
        <f t="shared" si="0"/>
        <v>8</v>
      </c>
      <c r="I25" s="3">
        <v>37447.165949074071</v>
      </c>
      <c r="J25" s="8" t="s">
        <v>2465</v>
      </c>
      <c r="K25" s="4">
        <f t="shared" si="1"/>
        <v>14</v>
      </c>
      <c r="L25" s="4">
        <v>2</v>
      </c>
      <c r="M25" s="4">
        <v>14</v>
      </c>
      <c r="Q25">
        <v>8</v>
      </c>
      <c r="S25" s="8"/>
      <c r="T25" s="10"/>
    </row>
    <row r="26" spans="3:24">
      <c r="C26" s="3"/>
      <c r="F26" s="12">
        <v>50</v>
      </c>
      <c r="G26" s="8" t="s">
        <v>1969</v>
      </c>
      <c r="H26" s="7">
        <f t="shared" si="0"/>
        <v>8</v>
      </c>
      <c r="I26" s="3">
        <v>37450.007025462961</v>
      </c>
      <c r="J26" s="8" t="s">
        <v>2468</v>
      </c>
      <c r="K26" s="4">
        <f t="shared" si="1"/>
        <v>15</v>
      </c>
      <c r="L26" s="4">
        <v>3</v>
      </c>
      <c r="M26" s="4">
        <v>15</v>
      </c>
      <c r="Q26">
        <v>8</v>
      </c>
      <c r="S26" s="8"/>
      <c r="T26" s="10"/>
    </row>
    <row r="27" spans="3:24">
      <c r="C27" s="3"/>
      <c r="F27" s="12">
        <v>52</v>
      </c>
      <c r="G27" s="8" t="s">
        <v>1969</v>
      </c>
      <c r="H27" s="7">
        <f t="shared" si="0"/>
        <v>8</v>
      </c>
      <c r="I27" s="3">
        <v>37452.169340277775</v>
      </c>
      <c r="J27" s="8" t="s">
        <v>2350</v>
      </c>
      <c r="K27" s="4">
        <f t="shared" si="1"/>
        <v>16</v>
      </c>
      <c r="L27" s="4">
        <v>2</v>
      </c>
      <c r="M27" s="4">
        <v>16</v>
      </c>
      <c r="Q27">
        <v>8</v>
      </c>
      <c r="S27" s="8"/>
      <c r="T27" s="10"/>
    </row>
    <row r="28" spans="3:24">
      <c r="C28" s="3"/>
      <c r="F28" s="12">
        <v>54</v>
      </c>
      <c r="G28" s="8" t="s">
        <v>1969</v>
      </c>
      <c r="H28" s="7">
        <f t="shared" si="0"/>
        <v>8</v>
      </c>
      <c r="I28" s="3">
        <v>37453.759606481479</v>
      </c>
      <c r="J28" s="8" t="s">
        <v>2115</v>
      </c>
      <c r="K28" s="4">
        <f t="shared" si="1"/>
        <v>17</v>
      </c>
      <c r="L28" s="4">
        <v>2</v>
      </c>
      <c r="M28" s="4">
        <v>17</v>
      </c>
      <c r="Q28">
        <v>8</v>
      </c>
      <c r="S28" s="8"/>
      <c r="T28" s="10"/>
    </row>
    <row r="29" spans="3:24">
      <c r="C29" s="3"/>
      <c r="F29" s="12">
        <v>56</v>
      </c>
      <c r="G29" s="8" t="s">
        <v>1969</v>
      </c>
      <c r="H29" s="7">
        <f t="shared" si="0"/>
        <v>8</v>
      </c>
      <c r="I29" s="3">
        <v>37454.133252314816</v>
      </c>
      <c r="J29" s="8" t="s">
        <v>2118</v>
      </c>
      <c r="K29" s="4">
        <f t="shared" si="1"/>
        <v>18</v>
      </c>
      <c r="L29" s="4">
        <v>5</v>
      </c>
      <c r="M29" s="4">
        <v>18</v>
      </c>
      <c r="Q29">
        <v>8</v>
      </c>
      <c r="S29" s="8"/>
      <c r="T29" s="10"/>
    </row>
    <row r="30" spans="3:24">
      <c r="C30" s="3"/>
      <c r="F30" s="12">
        <v>58</v>
      </c>
      <c r="G30" s="8" t="s">
        <v>1969</v>
      </c>
      <c r="H30" s="7">
        <f t="shared" si="0"/>
        <v>8</v>
      </c>
      <c r="I30" s="3">
        <v>37454.517812500002</v>
      </c>
      <c r="J30" s="8" t="s">
        <v>2533</v>
      </c>
      <c r="K30" s="4">
        <f t="shared" si="1"/>
        <v>19</v>
      </c>
      <c r="L30" s="4">
        <v>2</v>
      </c>
      <c r="M30" s="4">
        <v>19</v>
      </c>
      <c r="Q30">
        <v>8</v>
      </c>
      <c r="S30" s="8"/>
      <c r="T30" s="10"/>
    </row>
    <row r="31" spans="3:24">
      <c r="C31" s="3"/>
      <c r="F31" s="12">
        <v>59</v>
      </c>
      <c r="G31" s="8" t="s">
        <v>1969</v>
      </c>
      <c r="H31" s="7">
        <f t="shared" si="0"/>
        <v>8</v>
      </c>
      <c r="I31" s="3">
        <v>37454.685115740744</v>
      </c>
      <c r="J31" s="8" t="s">
        <v>2396</v>
      </c>
      <c r="K31" s="4">
        <f t="shared" si="1"/>
        <v>20</v>
      </c>
      <c r="L31" s="4">
        <v>3</v>
      </c>
      <c r="M31" s="4">
        <v>20</v>
      </c>
      <c r="Q31">
        <v>8</v>
      </c>
      <c r="S31" s="8"/>
      <c r="T31" s="10"/>
    </row>
    <row r="32" spans="3:24">
      <c r="C32" s="3"/>
      <c r="F32" s="12">
        <v>61</v>
      </c>
      <c r="G32" s="8" t="s">
        <v>1969</v>
      </c>
      <c r="H32" s="7">
        <f t="shared" si="0"/>
        <v>8</v>
      </c>
      <c r="I32" s="3">
        <v>37455.195983796293</v>
      </c>
      <c r="J32" s="8" t="s">
        <v>2378</v>
      </c>
      <c r="K32" s="4">
        <f t="shared" si="1"/>
        <v>21</v>
      </c>
      <c r="L32" s="16">
        <v>2</v>
      </c>
      <c r="M32" s="4">
        <v>21</v>
      </c>
      <c r="Q32">
        <v>8</v>
      </c>
      <c r="S32" s="8"/>
      <c r="T32" s="10"/>
    </row>
    <row r="33" spans="3:20">
      <c r="C33" s="3"/>
      <c r="F33" s="12">
        <v>63</v>
      </c>
      <c r="G33" s="8" t="s">
        <v>1969</v>
      </c>
      <c r="H33" s="7">
        <f t="shared" si="0"/>
        <v>8</v>
      </c>
      <c r="I33" s="3">
        <v>37455.922592592593</v>
      </c>
      <c r="J33" s="8" t="s">
        <v>2001</v>
      </c>
      <c r="K33" s="4">
        <f t="shared" si="1"/>
        <v>22</v>
      </c>
      <c r="L33" s="4">
        <v>2</v>
      </c>
      <c r="M33" s="4">
        <v>22</v>
      </c>
      <c r="Q33">
        <v>8</v>
      </c>
      <c r="S33" s="8"/>
      <c r="T33" s="10"/>
    </row>
    <row r="34" spans="3:20">
      <c r="C34" s="3"/>
      <c r="F34" s="12">
        <v>64</v>
      </c>
      <c r="G34" t="s">
        <v>1969</v>
      </c>
      <c r="H34" s="7">
        <f t="shared" ref="H34:H65" si="2">LOOKUP(G34,$N$2:$N$15,$O$2:$O$15)</f>
        <v>8</v>
      </c>
      <c r="I34" s="3">
        <v>37456.032847222225</v>
      </c>
      <c r="J34" s="8" t="s">
        <v>2020</v>
      </c>
      <c r="K34" s="4">
        <f t="shared" ref="K34:K65" si="3">IF(Q34&gt;Q33,1,K33+1)</f>
        <v>23</v>
      </c>
      <c r="L34" s="4">
        <v>4</v>
      </c>
      <c r="M34" s="4">
        <v>23</v>
      </c>
      <c r="Q34">
        <v>8</v>
      </c>
      <c r="S34" s="8"/>
      <c r="T34" s="10"/>
    </row>
    <row r="35" spans="3:20">
      <c r="C35" s="3"/>
      <c r="F35" s="12">
        <v>73</v>
      </c>
      <c r="G35" s="8" t="s">
        <v>1969</v>
      </c>
      <c r="H35" s="7">
        <f t="shared" si="2"/>
        <v>8</v>
      </c>
      <c r="I35" s="3">
        <v>37498.4143287037</v>
      </c>
      <c r="J35" s="8" t="s">
        <v>2314</v>
      </c>
      <c r="K35" s="4">
        <f t="shared" si="3"/>
        <v>24</v>
      </c>
      <c r="L35" s="4">
        <v>3</v>
      </c>
      <c r="M35" s="4">
        <v>24</v>
      </c>
      <c r="Q35">
        <v>8</v>
      </c>
      <c r="S35" s="8"/>
      <c r="T35" s="10"/>
    </row>
    <row r="36" spans="3:20">
      <c r="C36" s="3"/>
      <c r="F36" s="12">
        <v>8</v>
      </c>
      <c r="G36" s="8" t="s">
        <v>2217</v>
      </c>
      <c r="H36" s="7">
        <f t="shared" si="2"/>
        <v>9</v>
      </c>
      <c r="I36" s="3">
        <v>37422.992673611108</v>
      </c>
      <c r="J36" s="8" t="s">
        <v>2417</v>
      </c>
      <c r="K36" s="4">
        <f t="shared" si="3"/>
        <v>1</v>
      </c>
      <c r="L36" s="4">
        <v>18</v>
      </c>
      <c r="M36" s="4">
        <v>1</v>
      </c>
      <c r="Q36">
        <v>9</v>
      </c>
      <c r="S36" s="8"/>
      <c r="T36" s="10"/>
    </row>
    <row r="37" spans="3:20">
      <c r="C37" s="3"/>
      <c r="F37" s="12">
        <v>16</v>
      </c>
      <c r="G37" s="8" t="s">
        <v>2217</v>
      </c>
      <c r="H37" s="7">
        <f t="shared" si="2"/>
        <v>9</v>
      </c>
      <c r="I37" s="3">
        <v>37425.730358796296</v>
      </c>
      <c r="J37" s="8" t="s">
        <v>2393</v>
      </c>
      <c r="K37" s="4">
        <f t="shared" si="3"/>
        <v>2</v>
      </c>
      <c r="L37" s="4">
        <v>2</v>
      </c>
      <c r="M37" s="4">
        <v>2</v>
      </c>
      <c r="Q37">
        <v>9</v>
      </c>
      <c r="S37" s="8"/>
      <c r="T37" s="10"/>
    </row>
    <row r="38" spans="3:20">
      <c r="C38" s="3"/>
      <c r="F38" s="12">
        <v>1</v>
      </c>
      <c r="G38" t="s">
        <v>1971</v>
      </c>
      <c r="H38" s="7">
        <f t="shared" si="2"/>
        <v>10</v>
      </c>
      <c r="I38" s="3">
        <v>37418.671689814815</v>
      </c>
      <c r="J38" s="8" t="s">
        <v>2507</v>
      </c>
      <c r="K38" s="4">
        <f t="shared" si="3"/>
        <v>1</v>
      </c>
      <c r="L38" s="4">
        <v>3</v>
      </c>
      <c r="M38" s="4">
        <v>1</v>
      </c>
      <c r="Q38">
        <v>10</v>
      </c>
      <c r="S38" s="8"/>
      <c r="T38" s="10"/>
    </row>
    <row r="39" spans="3:20">
      <c r="C39" s="3"/>
      <c r="F39" s="12">
        <v>3</v>
      </c>
      <c r="G39" t="s">
        <v>1971</v>
      </c>
      <c r="H39" s="7">
        <f t="shared" si="2"/>
        <v>10</v>
      </c>
      <c r="I39" s="3">
        <v>37419.467546296299</v>
      </c>
      <c r="J39" s="8" t="s">
        <v>2017</v>
      </c>
      <c r="K39" s="4">
        <f t="shared" si="3"/>
        <v>2</v>
      </c>
      <c r="L39" s="4">
        <v>2</v>
      </c>
      <c r="M39" s="4">
        <v>2</v>
      </c>
      <c r="Q39">
        <v>10</v>
      </c>
      <c r="S39" s="8"/>
      <c r="T39" s="10"/>
    </row>
    <row r="40" spans="3:20">
      <c r="C40" s="3"/>
      <c r="F40" s="12">
        <v>5</v>
      </c>
      <c r="G40" t="s">
        <v>1971</v>
      </c>
      <c r="H40" s="7">
        <f t="shared" si="2"/>
        <v>10</v>
      </c>
      <c r="I40" s="3">
        <v>37421.358796296299</v>
      </c>
      <c r="J40" s="8" t="s">
        <v>2373</v>
      </c>
      <c r="K40" s="4">
        <f t="shared" si="3"/>
        <v>3</v>
      </c>
      <c r="L40" s="4">
        <v>4</v>
      </c>
      <c r="M40" s="4">
        <v>3</v>
      </c>
      <c r="Q40">
        <v>10</v>
      </c>
      <c r="S40" s="8"/>
      <c r="T40" s="10"/>
    </row>
    <row r="41" spans="3:20">
      <c r="C41" s="3"/>
      <c r="F41" s="12">
        <v>7</v>
      </c>
      <c r="G41" t="s">
        <v>1971</v>
      </c>
      <c r="H41" s="7">
        <f t="shared" si="2"/>
        <v>10</v>
      </c>
      <c r="I41" s="3">
        <v>37421.719189814816</v>
      </c>
      <c r="J41" s="8" t="s">
        <v>2416</v>
      </c>
      <c r="K41" s="4">
        <f t="shared" si="3"/>
        <v>4</v>
      </c>
      <c r="L41" s="4">
        <v>2</v>
      </c>
      <c r="M41" s="4">
        <v>4</v>
      </c>
      <c r="Q41">
        <v>10</v>
      </c>
      <c r="S41" s="8"/>
      <c r="T41" s="10"/>
    </row>
    <row r="42" spans="3:20">
      <c r="C42" s="3"/>
      <c r="F42" s="12">
        <v>10</v>
      </c>
      <c r="G42" s="8" t="s">
        <v>1971</v>
      </c>
      <c r="H42" s="7">
        <f t="shared" si="2"/>
        <v>10</v>
      </c>
      <c r="I42" s="3">
        <v>37423.693738425929</v>
      </c>
      <c r="J42" s="8" t="s">
        <v>2391</v>
      </c>
      <c r="K42" s="4">
        <f t="shared" si="3"/>
        <v>5</v>
      </c>
      <c r="L42" s="4">
        <v>6</v>
      </c>
      <c r="M42" s="4">
        <v>5</v>
      </c>
      <c r="Q42">
        <v>10</v>
      </c>
      <c r="S42" s="8"/>
      <c r="T42" s="10"/>
    </row>
    <row r="43" spans="3:20">
      <c r="C43" s="3"/>
      <c r="F43" s="12">
        <v>11</v>
      </c>
      <c r="G43" t="s">
        <v>1971</v>
      </c>
      <c r="H43" s="7">
        <f t="shared" si="2"/>
        <v>10</v>
      </c>
      <c r="I43" s="3">
        <v>37424.529039351852</v>
      </c>
      <c r="J43" s="8" t="s">
        <v>2510</v>
      </c>
      <c r="K43" s="4">
        <f t="shared" si="3"/>
        <v>6</v>
      </c>
      <c r="L43" s="4">
        <v>2</v>
      </c>
      <c r="M43" s="4">
        <v>6</v>
      </c>
      <c r="Q43">
        <v>10</v>
      </c>
      <c r="S43" s="8"/>
      <c r="T43" s="10"/>
    </row>
    <row r="44" spans="3:20">
      <c r="C44" s="3"/>
      <c r="F44" s="12">
        <v>14</v>
      </c>
      <c r="G44" s="8" t="s">
        <v>1971</v>
      </c>
      <c r="H44" s="7">
        <f t="shared" si="2"/>
        <v>10</v>
      </c>
      <c r="I44" s="3">
        <v>37425.293842592589</v>
      </c>
      <c r="J44" s="8" t="s">
        <v>2515</v>
      </c>
      <c r="K44" s="4">
        <f t="shared" si="3"/>
        <v>7</v>
      </c>
      <c r="L44" s="4">
        <v>2</v>
      </c>
      <c r="M44" s="4">
        <v>7</v>
      </c>
      <c r="Q44">
        <v>10</v>
      </c>
      <c r="S44" s="8"/>
      <c r="T44" s="10"/>
    </row>
    <row r="45" spans="3:20">
      <c r="C45" s="3"/>
      <c r="F45" s="12">
        <v>15</v>
      </c>
      <c r="G45" t="s">
        <v>1971</v>
      </c>
      <c r="H45" s="7">
        <f t="shared" si="2"/>
        <v>10</v>
      </c>
      <c r="I45" s="3">
        <v>37425.385011574072</v>
      </c>
      <c r="J45" s="8" t="s">
        <v>1976</v>
      </c>
      <c r="K45" s="4">
        <f t="shared" si="3"/>
        <v>8</v>
      </c>
      <c r="L45" s="4">
        <v>3</v>
      </c>
      <c r="M45" s="4">
        <v>8</v>
      </c>
      <c r="Q45">
        <v>10</v>
      </c>
      <c r="S45" s="8"/>
      <c r="T45" s="10"/>
    </row>
    <row r="46" spans="3:20">
      <c r="C46" s="3"/>
      <c r="F46" s="12">
        <v>18</v>
      </c>
      <c r="G46" t="s">
        <v>1971</v>
      </c>
      <c r="H46" s="7">
        <f t="shared" si="2"/>
        <v>10</v>
      </c>
      <c r="I46" s="3">
        <v>37426.510092592594</v>
      </c>
      <c r="J46" s="8" t="s">
        <v>2288</v>
      </c>
      <c r="K46" s="4">
        <f t="shared" si="3"/>
        <v>9</v>
      </c>
      <c r="L46" s="4">
        <v>5</v>
      </c>
      <c r="M46" s="4">
        <v>9</v>
      </c>
      <c r="Q46">
        <v>10</v>
      </c>
      <c r="S46" s="8"/>
      <c r="T46" s="10"/>
    </row>
    <row r="47" spans="3:20">
      <c r="C47" s="3"/>
      <c r="F47" s="12">
        <v>21</v>
      </c>
      <c r="G47" t="s">
        <v>1971</v>
      </c>
      <c r="H47" s="7">
        <f t="shared" si="2"/>
        <v>10</v>
      </c>
      <c r="I47" s="3">
        <v>37426.868680555555</v>
      </c>
      <c r="J47" s="8" t="s">
        <v>1996</v>
      </c>
      <c r="K47" s="4">
        <f t="shared" si="3"/>
        <v>10</v>
      </c>
      <c r="L47" s="4">
        <v>10</v>
      </c>
      <c r="M47" s="4">
        <v>10</v>
      </c>
      <c r="Q47">
        <v>10</v>
      </c>
      <c r="S47" s="8"/>
      <c r="T47" s="10"/>
    </row>
    <row r="48" spans="3:20">
      <c r="C48" s="3"/>
      <c r="F48" s="12">
        <v>25</v>
      </c>
      <c r="G48" s="8" t="s">
        <v>1971</v>
      </c>
      <c r="H48" s="7">
        <f t="shared" si="2"/>
        <v>10</v>
      </c>
      <c r="I48" s="3">
        <v>37427.70417824074</v>
      </c>
      <c r="J48" s="8" t="s">
        <v>2264</v>
      </c>
      <c r="K48" s="4">
        <f t="shared" si="3"/>
        <v>11</v>
      </c>
      <c r="L48" s="4">
        <v>3</v>
      </c>
      <c r="M48" s="4">
        <v>11</v>
      </c>
      <c r="Q48">
        <v>10</v>
      </c>
      <c r="S48" s="8"/>
      <c r="T48" s="10"/>
    </row>
    <row r="49" spans="3:20">
      <c r="C49" s="3"/>
      <c r="F49" s="12">
        <v>27</v>
      </c>
      <c r="G49" s="8" t="s">
        <v>1971</v>
      </c>
      <c r="H49" s="7">
        <f t="shared" si="2"/>
        <v>10</v>
      </c>
      <c r="I49" s="3">
        <v>37427.836122685185</v>
      </c>
      <c r="J49" s="8" t="s">
        <v>2187</v>
      </c>
      <c r="K49" s="4">
        <f t="shared" si="3"/>
        <v>12</v>
      </c>
      <c r="L49" s="4">
        <v>8</v>
      </c>
      <c r="M49" s="4">
        <v>12</v>
      </c>
      <c r="Q49">
        <v>10</v>
      </c>
      <c r="S49" s="8"/>
      <c r="T49" s="10"/>
    </row>
    <row r="50" spans="3:20">
      <c r="C50" s="3"/>
      <c r="F50" s="12">
        <v>29</v>
      </c>
      <c r="G50" s="8" t="s">
        <v>1971</v>
      </c>
      <c r="H50" s="7">
        <f t="shared" si="2"/>
        <v>10</v>
      </c>
      <c r="I50" s="3">
        <v>37428.365937499999</v>
      </c>
      <c r="J50" s="8" t="s">
        <v>2272</v>
      </c>
      <c r="K50" s="4">
        <f t="shared" si="3"/>
        <v>13</v>
      </c>
      <c r="L50" s="4">
        <v>2</v>
      </c>
      <c r="M50" s="4">
        <v>13</v>
      </c>
      <c r="Q50">
        <v>10</v>
      </c>
      <c r="S50" s="8"/>
      <c r="T50" s="10"/>
    </row>
    <row r="51" spans="3:20">
      <c r="C51" s="3"/>
      <c r="F51" s="12">
        <v>31</v>
      </c>
      <c r="G51" s="8" t="s">
        <v>1971</v>
      </c>
      <c r="H51" s="7">
        <f t="shared" si="2"/>
        <v>10</v>
      </c>
      <c r="I51" s="3">
        <v>37428.562581018516</v>
      </c>
      <c r="J51" s="8" t="s">
        <v>2035</v>
      </c>
      <c r="K51" s="4">
        <f t="shared" si="3"/>
        <v>14</v>
      </c>
      <c r="L51" s="4">
        <v>29</v>
      </c>
      <c r="M51" s="4">
        <v>14</v>
      </c>
      <c r="Q51">
        <v>10</v>
      </c>
      <c r="S51" s="8"/>
      <c r="T51" s="10"/>
    </row>
    <row r="52" spans="3:20">
      <c r="C52" s="3"/>
      <c r="F52" s="12">
        <v>32</v>
      </c>
      <c r="G52" t="s">
        <v>1971</v>
      </c>
      <c r="H52" s="7">
        <f t="shared" si="2"/>
        <v>10</v>
      </c>
      <c r="I52" s="3">
        <v>37428.589895833335</v>
      </c>
      <c r="J52" s="8" t="s">
        <v>2310</v>
      </c>
      <c r="K52" s="4">
        <f t="shared" si="3"/>
        <v>15</v>
      </c>
      <c r="L52" s="4">
        <v>29</v>
      </c>
      <c r="M52" s="4">
        <v>15</v>
      </c>
      <c r="Q52">
        <v>10</v>
      </c>
      <c r="S52" s="8"/>
      <c r="T52" s="10"/>
    </row>
    <row r="53" spans="3:20">
      <c r="C53" s="3"/>
      <c r="F53" s="12">
        <v>34</v>
      </c>
      <c r="G53" t="s">
        <v>1971</v>
      </c>
      <c r="H53" s="7">
        <f t="shared" si="2"/>
        <v>10</v>
      </c>
      <c r="I53" s="3">
        <v>37435.7497337963</v>
      </c>
      <c r="J53" s="8" t="s">
        <v>2160</v>
      </c>
      <c r="K53" s="4">
        <f t="shared" si="3"/>
        <v>16</v>
      </c>
      <c r="L53" s="4">
        <v>6</v>
      </c>
      <c r="M53" s="4">
        <v>16</v>
      </c>
      <c r="Q53">
        <v>10</v>
      </c>
      <c r="S53" s="8"/>
      <c r="T53" s="10"/>
    </row>
    <row r="54" spans="3:20">
      <c r="C54" s="3"/>
      <c r="F54" s="12">
        <v>36</v>
      </c>
      <c r="G54" t="s">
        <v>1971</v>
      </c>
      <c r="H54" s="7">
        <f t="shared" si="2"/>
        <v>10</v>
      </c>
      <c r="I54" s="3">
        <v>37442.295601851853</v>
      </c>
      <c r="J54" s="8" t="s">
        <v>2037</v>
      </c>
      <c r="K54" s="4">
        <f t="shared" si="3"/>
        <v>17</v>
      </c>
      <c r="L54" s="4">
        <v>2</v>
      </c>
      <c r="M54" s="4">
        <v>17</v>
      </c>
      <c r="Q54">
        <v>10</v>
      </c>
      <c r="S54" s="8"/>
      <c r="T54" s="10"/>
    </row>
    <row r="55" spans="3:20">
      <c r="C55" s="3"/>
      <c r="F55" s="12">
        <v>38</v>
      </c>
      <c r="G55" t="s">
        <v>1971</v>
      </c>
      <c r="H55" s="7">
        <f t="shared" si="2"/>
        <v>10</v>
      </c>
      <c r="I55" s="3">
        <v>37443.29446759259</v>
      </c>
      <c r="J55" s="8" t="s">
        <v>2248</v>
      </c>
      <c r="K55" s="4">
        <f t="shared" si="3"/>
        <v>18</v>
      </c>
      <c r="L55" s="4">
        <v>2</v>
      </c>
      <c r="M55" s="4">
        <v>18</v>
      </c>
      <c r="Q55">
        <v>10</v>
      </c>
      <c r="S55" s="8"/>
      <c r="T55" s="10"/>
    </row>
    <row r="56" spans="3:20">
      <c r="C56" s="3"/>
      <c r="D56" s="1"/>
      <c r="F56" s="12">
        <v>41</v>
      </c>
      <c r="G56" s="8" t="s">
        <v>1971</v>
      </c>
      <c r="H56" s="7">
        <f t="shared" si="2"/>
        <v>10</v>
      </c>
      <c r="I56" s="3">
        <v>37446.570902777778</v>
      </c>
      <c r="J56" s="8" t="s">
        <v>2434</v>
      </c>
      <c r="K56" s="4">
        <f t="shared" si="3"/>
        <v>19</v>
      </c>
      <c r="L56" s="4">
        <v>2</v>
      </c>
      <c r="M56" s="4">
        <v>19</v>
      </c>
      <c r="Q56">
        <v>10</v>
      </c>
      <c r="S56" s="8"/>
      <c r="T56" s="10"/>
    </row>
    <row r="57" spans="3:20">
      <c r="C57" s="3"/>
      <c r="F57" s="12">
        <v>43</v>
      </c>
      <c r="G57" s="8" t="s">
        <v>1971</v>
      </c>
      <c r="H57" s="7">
        <f t="shared" si="2"/>
        <v>10</v>
      </c>
      <c r="I57" s="3">
        <v>37446.717835648145</v>
      </c>
      <c r="J57" s="8" t="s">
        <v>2464</v>
      </c>
      <c r="K57" s="4">
        <f t="shared" si="3"/>
        <v>20</v>
      </c>
      <c r="L57" s="4">
        <v>4</v>
      </c>
      <c r="M57" s="4">
        <v>20</v>
      </c>
      <c r="Q57">
        <v>10</v>
      </c>
      <c r="S57" s="8"/>
      <c r="T57" s="10"/>
    </row>
    <row r="58" spans="3:20">
      <c r="C58" s="3"/>
      <c r="F58" s="12">
        <v>45</v>
      </c>
      <c r="G58" t="s">
        <v>1971</v>
      </c>
      <c r="H58" s="7">
        <f t="shared" si="2"/>
        <v>10</v>
      </c>
      <c r="I58" s="3">
        <v>37447.290821759256</v>
      </c>
      <c r="J58" s="8" t="s">
        <v>2080</v>
      </c>
      <c r="K58" s="4">
        <f t="shared" si="3"/>
        <v>21</v>
      </c>
      <c r="L58" s="4">
        <v>2</v>
      </c>
      <c r="M58" s="4">
        <v>21</v>
      </c>
      <c r="Q58">
        <v>10</v>
      </c>
      <c r="S58" s="8"/>
      <c r="T58" s="10"/>
    </row>
    <row r="59" spans="3:20">
      <c r="C59" s="3"/>
      <c r="F59" s="12">
        <v>48</v>
      </c>
      <c r="G59" s="8" t="s">
        <v>1971</v>
      </c>
      <c r="H59" s="7">
        <f t="shared" si="2"/>
        <v>10</v>
      </c>
      <c r="I59" s="3">
        <v>37448.386643518519</v>
      </c>
      <c r="J59" s="8" t="s">
        <v>2252</v>
      </c>
      <c r="K59" s="4">
        <f t="shared" si="3"/>
        <v>22</v>
      </c>
      <c r="L59" s="4">
        <v>3</v>
      </c>
      <c r="M59" s="4">
        <v>22</v>
      </c>
      <c r="Q59">
        <v>10</v>
      </c>
      <c r="S59" s="8"/>
      <c r="T59" s="10"/>
    </row>
    <row r="60" spans="3:20">
      <c r="C60" s="3"/>
      <c r="F60" s="12">
        <v>49</v>
      </c>
      <c r="G60" t="s">
        <v>1971</v>
      </c>
      <c r="H60" s="7">
        <f t="shared" si="2"/>
        <v>10</v>
      </c>
      <c r="I60" s="3">
        <v>37448.648530092592</v>
      </c>
      <c r="J60" s="8" t="s">
        <v>2467</v>
      </c>
      <c r="K60" s="4">
        <f t="shared" si="3"/>
        <v>23</v>
      </c>
      <c r="L60" s="4">
        <v>2</v>
      </c>
      <c r="M60" s="4">
        <v>23</v>
      </c>
      <c r="Q60">
        <v>10</v>
      </c>
      <c r="S60" s="8"/>
      <c r="T60" s="10"/>
    </row>
    <row r="61" spans="3:20">
      <c r="C61" s="3"/>
      <c r="F61" s="12">
        <v>51</v>
      </c>
      <c r="G61" t="s">
        <v>1971</v>
      </c>
      <c r="H61" s="7">
        <f t="shared" si="2"/>
        <v>10</v>
      </c>
      <c r="I61" s="3">
        <v>37450.38753472222</v>
      </c>
      <c r="J61" s="8" t="s">
        <v>2349</v>
      </c>
      <c r="K61" s="4">
        <f t="shared" si="3"/>
        <v>24</v>
      </c>
      <c r="L61" s="4">
        <v>3</v>
      </c>
      <c r="M61" s="4">
        <v>24</v>
      </c>
      <c r="Q61">
        <v>10</v>
      </c>
      <c r="S61" s="8"/>
      <c r="T61" s="10"/>
    </row>
    <row r="62" spans="3:20">
      <c r="C62" s="3"/>
      <c r="F62" s="12">
        <v>53</v>
      </c>
      <c r="G62" t="s">
        <v>1971</v>
      </c>
      <c r="H62" s="7">
        <f t="shared" si="2"/>
        <v>10</v>
      </c>
      <c r="I62" s="3">
        <v>37452.289375</v>
      </c>
      <c r="J62" s="8" t="s">
        <v>2114</v>
      </c>
      <c r="K62" s="4">
        <f t="shared" si="3"/>
        <v>25</v>
      </c>
      <c r="L62" s="4">
        <v>2</v>
      </c>
      <c r="M62" s="4">
        <v>25</v>
      </c>
      <c r="Q62">
        <v>10</v>
      </c>
      <c r="S62" s="8"/>
      <c r="T62" s="10"/>
    </row>
    <row r="63" spans="3:20">
      <c r="C63" s="3"/>
      <c r="F63" s="12">
        <v>55</v>
      </c>
      <c r="G63" t="s">
        <v>1971</v>
      </c>
      <c r="H63" s="7">
        <f t="shared" si="2"/>
        <v>10</v>
      </c>
      <c r="I63" s="3">
        <v>37453.820532407408</v>
      </c>
      <c r="J63" s="8" t="s">
        <v>2117</v>
      </c>
      <c r="K63" s="4">
        <f t="shared" si="3"/>
        <v>26</v>
      </c>
      <c r="L63" s="4">
        <v>2</v>
      </c>
      <c r="M63" s="4">
        <v>26</v>
      </c>
      <c r="Q63">
        <v>10</v>
      </c>
      <c r="S63" s="8"/>
      <c r="T63" s="10"/>
    </row>
    <row r="64" spans="3:20">
      <c r="C64" s="3"/>
      <c r="F64" s="12">
        <v>57</v>
      </c>
      <c r="G64" t="s">
        <v>1971</v>
      </c>
      <c r="H64" s="7">
        <f t="shared" si="2"/>
        <v>10</v>
      </c>
      <c r="I64" s="3">
        <v>37454.273587962962</v>
      </c>
      <c r="J64" s="8" t="s">
        <v>2395</v>
      </c>
      <c r="K64" s="4">
        <f t="shared" si="3"/>
        <v>27</v>
      </c>
      <c r="L64" s="4">
        <v>2</v>
      </c>
      <c r="M64" s="4">
        <v>27</v>
      </c>
      <c r="Q64">
        <v>10</v>
      </c>
      <c r="S64" s="8"/>
      <c r="T64" s="10"/>
    </row>
    <row r="65" spans="3:20">
      <c r="C65" s="3"/>
      <c r="F65" s="12">
        <v>60</v>
      </c>
      <c r="G65" t="s">
        <v>1971</v>
      </c>
      <c r="H65" s="7">
        <f t="shared" si="2"/>
        <v>10</v>
      </c>
      <c r="I65" s="3">
        <v>37454.812951388885</v>
      </c>
      <c r="J65" s="8" t="s">
        <v>2377</v>
      </c>
      <c r="K65" s="4">
        <f t="shared" si="3"/>
        <v>28</v>
      </c>
      <c r="L65" s="4">
        <v>3</v>
      </c>
      <c r="M65" s="4">
        <v>28</v>
      </c>
      <c r="Q65">
        <v>10</v>
      </c>
      <c r="S65" s="8"/>
      <c r="T65" s="10"/>
    </row>
    <row r="66" spans="3:20">
      <c r="C66" s="3"/>
      <c r="F66" s="12">
        <v>62</v>
      </c>
      <c r="G66" t="s">
        <v>1971</v>
      </c>
      <c r="H66" s="7">
        <f t="shared" ref="H66:H78" si="4">LOOKUP(G66,$N$2:$N$15,$O$2:$O$15)</f>
        <v>10</v>
      </c>
      <c r="I66" s="3">
        <v>37455.313206018516</v>
      </c>
      <c r="J66" s="8" t="s">
        <v>2000</v>
      </c>
      <c r="K66" s="4">
        <f t="shared" ref="K66:K78" si="5">IF(Q66&gt;Q65,1,K65+1)</f>
        <v>29</v>
      </c>
      <c r="L66" s="4">
        <v>2</v>
      </c>
      <c r="M66" s="4">
        <v>29</v>
      </c>
      <c r="Q66">
        <v>10</v>
      </c>
      <c r="S66" s="8"/>
      <c r="T66" s="10"/>
    </row>
    <row r="67" spans="3:20">
      <c r="C67" s="3"/>
      <c r="F67" s="12">
        <v>65</v>
      </c>
      <c r="G67" s="8" t="s">
        <v>1971</v>
      </c>
      <c r="H67" s="7">
        <f t="shared" si="4"/>
        <v>10</v>
      </c>
      <c r="I67" s="3">
        <v>37456.298344907409</v>
      </c>
      <c r="J67" s="8" t="s">
        <v>2021</v>
      </c>
      <c r="K67" s="4">
        <f t="shared" si="5"/>
        <v>30</v>
      </c>
      <c r="L67" s="4">
        <v>2</v>
      </c>
      <c r="M67" s="4">
        <v>30</v>
      </c>
      <c r="Q67">
        <v>10</v>
      </c>
      <c r="S67" s="8"/>
      <c r="T67" s="10"/>
    </row>
    <row r="68" spans="3:20">
      <c r="C68" s="3"/>
      <c r="F68" s="12">
        <v>66</v>
      </c>
      <c r="G68" t="s">
        <v>1971</v>
      </c>
      <c r="H68" s="7">
        <f t="shared" si="4"/>
        <v>10</v>
      </c>
      <c r="I68" s="3">
        <v>37460.33084490741</v>
      </c>
      <c r="J68" s="8" t="s">
        <v>2163</v>
      </c>
      <c r="K68" s="4">
        <f t="shared" si="5"/>
        <v>31</v>
      </c>
      <c r="L68" s="4">
        <v>2</v>
      </c>
      <c r="M68" s="4">
        <v>31</v>
      </c>
      <c r="Q68">
        <v>10</v>
      </c>
      <c r="S68" s="8"/>
      <c r="T68" s="10"/>
    </row>
    <row r="69" spans="3:20">
      <c r="C69" s="3"/>
      <c r="F69" s="12">
        <v>68</v>
      </c>
      <c r="G69" t="s">
        <v>1971</v>
      </c>
      <c r="H69" s="7">
        <f t="shared" si="4"/>
        <v>10</v>
      </c>
      <c r="I69" s="3">
        <v>37479.434201388889</v>
      </c>
      <c r="J69" s="8" t="s">
        <v>2441</v>
      </c>
      <c r="K69" s="4">
        <f t="shared" si="5"/>
        <v>32</v>
      </c>
      <c r="L69" s="4">
        <v>3</v>
      </c>
      <c r="M69" s="4">
        <v>32</v>
      </c>
      <c r="Q69">
        <v>10</v>
      </c>
      <c r="S69" s="8"/>
      <c r="T69" s="10"/>
    </row>
    <row r="70" spans="3:20">
      <c r="C70" s="3"/>
      <c r="F70" s="12">
        <v>70</v>
      </c>
      <c r="G70" t="s">
        <v>1971</v>
      </c>
      <c r="H70" s="7">
        <f t="shared" si="4"/>
        <v>10</v>
      </c>
      <c r="I70" s="3">
        <v>37488.301296296297</v>
      </c>
      <c r="J70" s="8" t="s">
        <v>2352</v>
      </c>
      <c r="K70" s="4">
        <f t="shared" si="5"/>
        <v>33</v>
      </c>
      <c r="L70" s="4">
        <v>2</v>
      </c>
      <c r="M70" s="4">
        <v>33</v>
      </c>
      <c r="Q70">
        <v>10</v>
      </c>
      <c r="S70" s="8"/>
      <c r="T70" s="10"/>
    </row>
    <row r="71" spans="3:20">
      <c r="C71" s="3"/>
      <c r="F71" s="12">
        <v>72</v>
      </c>
      <c r="G71" t="s">
        <v>1971</v>
      </c>
      <c r="H71" s="7">
        <f t="shared" si="4"/>
        <v>10</v>
      </c>
      <c r="I71" s="3">
        <v>37495.782199074078</v>
      </c>
      <c r="J71" s="8" t="s">
        <v>2313</v>
      </c>
      <c r="K71" s="4">
        <f t="shared" si="5"/>
        <v>34</v>
      </c>
      <c r="L71" s="4">
        <v>2</v>
      </c>
      <c r="M71" s="4">
        <v>34</v>
      </c>
      <c r="Q71">
        <v>10</v>
      </c>
      <c r="S71" s="8"/>
      <c r="T71" s="10"/>
    </row>
    <row r="72" spans="3:20">
      <c r="C72" s="3"/>
      <c r="F72" s="12">
        <v>74</v>
      </c>
      <c r="G72" t="s">
        <v>1971</v>
      </c>
      <c r="H72" s="7">
        <f t="shared" si="4"/>
        <v>10</v>
      </c>
      <c r="I72" s="3">
        <v>37498.338148148148</v>
      </c>
      <c r="J72" s="8" t="s">
        <v>2419</v>
      </c>
      <c r="K72" s="4">
        <f t="shared" si="5"/>
        <v>35</v>
      </c>
      <c r="L72" s="4">
        <v>3</v>
      </c>
      <c r="M72" s="4">
        <v>35</v>
      </c>
      <c r="Q72">
        <v>10</v>
      </c>
      <c r="S72" s="8"/>
      <c r="T72" s="10"/>
    </row>
    <row r="73" spans="3:20">
      <c r="C73" s="3"/>
      <c r="F73" s="12">
        <v>76</v>
      </c>
      <c r="G73" t="s">
        <v>1971</v>
      </c>
      <c r="H73" s="7">
        <f t="shared" si="4"/>
        <v>10</v>
      </c>
      <c r="I73" s="3">
        <v>37506.429398148146</v>
      </c>
      <c r="J73" s="8" t="s">
        <v>2422</v>
      </c>
      <c r="K73" s="4">
        <f t="shared" si="5"/>
        <v>36</v>
      </c>
      <c r="L73" s="4">
        <v>2</v>
      </c>
      <c r="M73" s="4">
        <v>36</v>
      </c>
      <c r="Q73">
        <v>10</v>
      </c>
      <c r="S73" s="8"/>
      <c r="T73" s="10"/>
    </row>
    <row r="74" spans="3:20">
      <c r="C74" s="3"/>
      <c r="F74" s="12">
        <v>22</v>
      </c>
      <c r="G74" s="8" t="s">
        <v>1998</v>
      </c>
      <c r="H74" s="7">
        <f t="shared" si="4"/>
        <v>11</v>
      </c>
      <c r="I74" s="3">
        <v>37427.011238425926</v>
      </c>
      <c r="J74" s="8" t="s">
        <v>1997</v>
      </c>
      <c r="K74" s="4">
        <f t="shared" si="5"/>
        <v>1</v>
      </c>
      <c r="L74" s="4">
        <v>2</v>
      </c>
      <c r="M74" s="4">
        <v>1</v>
      </c>
      <c r="Q74">
        <v>11</v>
      </c>
      <c r="S74" s="8"/>
      <c r="T74" s="10"/>
    </row>
    <row r="75" spans="3:20">
      <c r="C75" s="3"/>
      <c r="F75" s="12">
        <v>9</v>
      </c>
      <c r="G75" t="s">
        <v>2389</v>
      </c>
      <c r="H75" s="7">
        <f t="shared" si="4"/>
        <v>12</v>
      </c>
      <c r="I75" s="3">
        <v>37423.480219907404</v>
      </c>
      <c r="J75" s="8" t="s">
        <v>2390</v>
      </c>
      <c r="K75" s="4">
        <f t="shared" si="5"/>
        <v>1</v>
      </c>
      <c r="L75" s="4">
        <v>4</v>
      </c>
      <c r="M75" s="4">
        <v>1</v>
      </c>
      <c r="Q75">
        <v>12</v>
      </c>
      <c r="S75" s="8"/>
      <c r="T75" s="10"/>
    </row>
    <row r="76" spans="3:20">
      <c r="C76" s="3"/>
      <c r="F76" s="12">
        <v>35</v>
      </c>
      <c r="G76" s="8" t="s">
        <v>1967</v>
      </c>
      <c r="H76" s="7">
        <f t="shared" si="4"/>
        <v>13</v>
      </c>
      <c r="I76" s="3">
        <v>37441.848032407404</v>
      </c>
      <c r="J76" s="8" t="s">
        <v>2161</v>
      </c>
      <c r="K76" s="4">
        <f t="shared" si="5"/>
        <v>1</v>
      </c>
      <c r="L76" s="4">
        <v>2</v>
      </c>
      <c r="M76" s="4">
        <v>1</v>
      </c>
      <c r="Q76">
        <v>13</v>
      </c>
      <c r="S76" s="8"/>
      <c r="T76" s="10"/>
    </row>
    <row r="77" spans="3:20">
      <c r="C77" s="3"/>
      <c r="F77" s="12">
        <v>37</v>
      </c>
      <c r="G77" s="8" t="s">
        <v>1967</v>
      </c>
      <c r="H77" s="7">
        <f t="shared" si="4"/>
        <v>13</v>
      </c>
      <c r="I77" s="3">
        <v>37442.532199074078</v>
      </c>
      <c r="J77" s="8" t="s">
        <v>2038</v>
      </c>
      <c r="K77" s="4">
        <f t="shared" si="5"/>
        <v>2</v>
      </c>
      <c r="L77" s="4">
        <v>2</v>
      </c>
      <c r="M77" s="4">
        <v>2</v>
      </c>
      <c r="Q77">
        <v>13</v>
      </c>
      <c r="S77" s="8"/>
      <c r="T77" s="10"/>
    </row>
    <row r="78" spans="3:20">
      <c r="C78" s="3"/>
      <c r="F78" s="12">
        <v>12</v>
      </c>
      <c r="G78" s="8" t="s">
        <v>2512</v>
      </c>
      <c r="H78" s="7">
        <f t="shared" si="4"/>
        <v>14</v>
      </c>
      <c r="I78" s="3">
        <v>37425.022083333337</v>
      </c>
      <c r="J78" s="8" t="s">
        <v>2511</v>
      </c>
      <c r="K78" s="4">
        <f t="shared" si="5"/>
        <v>1</v>
      </c>
      <c r="L78" s="4">
        <v>2</v>
      </c>
      <c r="M78" s="4">
        <v>1</v>
      </c>
      <c r="Q78">
        <v>14</v>
      </c>
      <c r="S78" s="8"/>
      <c r="T78" s="10"/>
    </row>
    <row r="79" spans="3:20">
      <c r="C79" s="3"/>
      <c r="G79" s="40"/>
      <c r="H79" s="43"/>
      <c r="I79" s="3"/>
      <c r="L79" s="4">
        <f>AVERAGE(L2:L78)</f>
        <v>3.7272727272727271</v>
      </c>
      <c r="S79" s="8"/>
      <c r="T79" s="10"/>
    </row>
    <row r="80" spans="3:20">
      <c r="C80" s="3"/>
      <c r="G80" s="39"/>
      <c r="H80" s="43"/>
      <c r="I80" s="3"/>
      <c r="S80" s="8"/>
      <c r="T80" s="10"/>
    </row>
    <row r="81" spans="3:20">
      <c r="C81" s="3"/>
      <c r="G81" s="40"/>
      <c r="H81" s="43"/>
      <c r="I81" s="3"/>
      <c r="S81" s="8"/>
      <c r="T81" s="10"/>
    </row>
    <row r="82" spans="3:20">
      <c r="C82" s="3"/>
      <c r="D82" s="1"/>
      <c r="G82" s="39"/>
      <c r="H82" s="43"/>
      <c r="I82" s="3"/>
      <c r="S82" s="8"/>
      <c r="T82" s="10"/>
    </row>
    <row r="83" spans="3:20">
      <c r="C83" s="3"/>
      <c r="G83" s="40"/>
      <c r="H83" s="43"/>
      <c r="I83" s="3"/>
      <c r="J83" s="8" t="s">
        <v>3698</v>
      </c>
      <c r="K83" s="4">
        <f>77/14</f>
        <v>5.5</v>
      </c>
      <c r="S83" s="8"/>
      <c r="T83" s="10"/>
    </row>
    <row r="84" spans="3:20">
      <c r="C84" s="3"/>
      <c r="G84" s="39"/>
      <c r="H84" s="43"/>
      <c r="I84" s="3"/>
      <c r="S84" s="8"/>
      <c r="T84" s="10"/>
    </row>
    <row r="85" spans="3:20">
      <c r="C85" s="3"/>
      <c r="G85" s="39"/>
      <c r="H85" s="43"/>
      <c r="I85" s="3"/>
      <c r="S85" s="8"/>
      <c r="T85" s="10"/>
    </row>
    <row r="86" spans="3:20">
      <c r="C86" s="3"/>
      <c r="G86" s="40"/>
      <c r="H86" s="43"/>
      <c r="I86" s="3"/>
      <c r="S86" s="8"/>
    </row>
    <row r="87" spans="3:20">
      <c r="C87" s="3"/>
      <c r="G87" s="40"/>
      <c r="H87" s="43"/>
      <c r="I87" s="3"/>
      <c r="S87" s="8"/>
      <c r="T87" s="10"/>
    </row>
    <row r="88" spans="3:20">
      <c r="C88" s="3"/>
      <c r="G88" s="40"/>
      <c r="H88" s="43"/>
      <c r="I88" s="3"/>
      <c r="S88" s="8"/>
      <c r="T88" s="10"/>
    </row>
    <row r="89" spans="3:20">
      <c r="C89" s="3"/>
      <c r="G89" s="40"/>
      <c r="H89" s="43"/>
      <c r="I89" s="3"/>
      <c r="S89" s="8"/>
      <c r="T89" s="10"/>
    </row>
    <row r="90" spans="3:20">
      <c r="C90" s="3"/>
      <c r="G90" s="40"/>
      <c r="H90" s="43"/>
      <c r="I90" s="3"/>
      <c r="S90" s="8"/>
      <c r="T90" s="10"/>
    </row>
    <row r="91" spans="3:20">
      <c r="C91" s="3"/>
      <c r="G91" s="40"/>
      <c r="H91" s="43"/>
      <c r="I91" s="3"/>
      <c r="S91" s="8"/>
      <c r="T91" s="10"/>
    </row>
    <row r="92" spans="3:20">
      <c r="C92" s="3"/>
      <c r="G92" s="39"/>
      <c r="H92" s="43"/>
      <c r="I92" s="3"/>
      <c r="S92" s="8"/>
      <c r="T92" s="10"/>
    </row>
    <row r="93" spans="3:20">
      <c r="C93" s="3"/>
      <c r="G93" s="40"/>
      <c r="H93" s="43"/>
      <c r="I93" s="3"/>
      <c r="S93" s="8"/>
      <c r="T93" s="10"/>
    </row>
    <row r="94" spans="3:20">
      <c r="C94" s="3"/>
      <c r="G94" s="40"/>
      <c r="H94" s="43"/>
      <c r="I94" s="3"/>
      <c r="S94" s="8"/>
      <c r="T94" s="10"/>
    </row>
    <row r="95" spans="3:20">
      <c r="C95" s="3"/>
      <c r="G95" s="40"/>
      <c r="H95" s="43"/>
      <c r="I95" s="3"/>
      <c r="S95" s="8"/>
      <c r="T95" s="10"/>
    </row>
    <row r="96" spans="3:20">
      <c r="C96" s="3"/>
      <c r="G96" s="40"/>
      <c r="H96" s="43"/>
      <c r="I96" s="3"/>
      <c r="S96" s="8"/>
      <c r="T96" s="10"/>
    </row>
    <row r="97" spans="3:20">
      <c r="C97" s="3"/>
      <c r="G97" s="39"/>
      <c r="H97" s="43"/>
      <c r="I97" s="3"/>
      <c r="S97" s="8"/>
      <c r="T97" s="10"/>
    </row>
    <row r="98" spans="3:20">
      <c r="C98" s="3"/>
      <c r="G98" s="40"/>
      <c r="H98" s="43"/>
      <c r="I98" s="3"/>
      <c r="S98" s="8"/>
      <c r="T98" s="10"/>
    </row>
    <row r="99" spans="3:20">
      <c r="C99" s="3"/>
      <c r="G99" s="40"/>
      <c r="H99" s="43"/>
      <c r="I99" s="3"/>
      <c r="S99" s="8"/>
      <c r="T99" s="10"/>
    </row>
    <row r="100" spans="3:20">
      <c r="C100" s="3"/>
      <c r="G100" s="40"/>
      <c r="H100" s="43"/>
      <c r="I100" s="3"/>
      <c r="S100" s="8"/>
      <c r="T100" s="10"/>
    </row>
    <row r="101" spans="3:20">
      <c r="C101" s="3"/>
      <c r="G101" s="39"/>
      <c r="H101" s="43"/>
      <c r="I101" s="3"/>
      <c r="S101" s="8"/>
      <c r="T101" s="10"/>
    </row>
    <row r="102" spans="3:20">
      <c r="C102" s="3"/>
      <c r="G102" s="40"/>
      <c r="H102" s="43"/>
      <c r="I102" s="3"/>
      <c r="S102" s="8"/>
      <c r="T102" s="10"/>
    </row>
    <row r="103" spans="3:20">
      <c r="C103" s="3"/>
      <c r="G103" s="40"/>
      <c r="H103" s="43"/>
      <c r="I103" s="3"/>
      <c r="S103" s="8"/>
      <c r="T103" s="10"/>
    </row>
    <row r="104" spans="3:20">
      <c r="C104" s="3"/>
      <c r="G104" s="39"/>
      <c r="H104" s="43"/>
      <c r="I104" s="3"/>
      <c r="S104" s="8"/>
      <c r="T104" s="10"/>
    </row>
    <row r="105" spans="3:20">
      <c r="C105" s="3"/>
      <c r="G105" s="40"/>
      <c r="H105" s="43"/>
      <c r="I105" s="3"/>
      <c r="S105" s="8"/>
      <c r="T105" s="10"/>
    </row>
    <row r="106" spans="3:20">
      <c r="C106" s="3"/>
      <c r="G106" s="40"/>
      <c r="H106" s="43"/>
      <c r="I106" s="3"/>
      <c r="S106" s="8"/>
      <c r="T106" s="10"/>
    </row>
    <row r="107" spans="3:20">
      <c r="C107" s="3"/>
      <c r="G107" s="39"/>
      <c r="H107" s="43"/>
      <c r="I107" s="3"/>
      <c r="S107" s="8"/>
      <c r="T107" s="10"/>
    </row>
    <row r="108" spans="3:20">
      <c r="C108" s="3"/>
      <c r="G108" s="39"/>
      <c r="H108" s="43"/>
      <c r="I108" s="3"/>
      <c r="S108" s="8"/>
      <c r="T108" s="10"/>
    </row>
    <row r="109" spans="3:20">
      <c r="C109" s="3"/>
      <c r="G109" s="40"/>
      <c r="H109" s="43"/>
      <c r="I109" s="3"/>
      <c r="S109" s="8"/>
      <c r="T109" s="10"/>
    </row>
    <row r="110" spans="3:20">
      <c r="C110" s="3"/>
      <c r="G110" s="39"/>
      <c r="H110" s="43"/>
      <c r="I110" s="3"/>
      <c r="S110" s="8"/>
      <c r="T110" s="10"/>
    </row>
    <row r="111" spans="3:20">
      <c r="C111" s="3"/>
      <c r="G111" s="40"/>
      <c r="H111" s="43"/>
      <c r="I111" s="3"/>
      <c r="S111" s="8"/>
      <c r="T111" s="10"/>
    </row>
    <row r="112" spans="3:20">
      <c r="C112" s="3"/>
      <c r="G112" s="39"/>
      <c r="H112" s="43"/>
      <c r="I112" s="3"/>
      <c r="S112" s="8"/>
      <c r="T112" s="10"/>
    </row>
    <row r="113" spans="3:20">
      <c r="C113" s="3"/>
      <c r="G113" s="39"/>
      <c r="H113" s="43"/>
      <c r="I113" s="3"/>
      <c r="S113" s="8"/>
      <c r="T113" s="10"/>
    </row>
    <row r="114" spans="3:20">
      <c r="C114" s="3"/>
      <c r="G114" s="40"/>
      <c r="H114" s="43"/>
      <c r="I114" s="3"/>
      <c r="S114" s="8"/>
      <c r="T114" s="10"/>
    </row>
    <row r="115" spans="3:20">
      <c r="C115" s="3"/>
      <c r="G115" s="40"/>
      <c r="H115" s="43"/>
      <c r="I115" s="3"/>
      <c r="S115" s="8"/>
      <c r="T115" s="10"/>
    </row>
    <row r="116" spans="3:20">
      <c r="C116" s="3"/>
      <c r="G116" s="39"/>
      <c r="H116" s="43"/>
      <c r="I116" s="3"/>
      <c r="S116" s="8"/>
      <c r="T116" s="10"/>
    </row>
    <row r="117" spans="3:20">
      <c r="C117" s="3"/>
      <c r="G117" s="40"/>
      <c r="H117" s="43"/>
      <c r="I117" s="3"/>
      <c r="S117" s="8"/>
      <c r="T117" s="10"/>
    </row>
    <row r="118" spans="3:20">
      <c r="C118" s="3"/>
      <c r="G118" s="40"/>
      <c r="H118" s="43"/>
      <c r="I118" s="3"/>
      <c r="S118" s="8"/>
      <c r="T118" s="10"/>
    </row>
    <row r="119" spans="3:20">
      <c r="C119" s="3"/>
      <c r="G119" s="39"/>
      <c r="H119" s="43"/>
      <c r="I119" s="3"/>
      <c r="S119" s="8"/>
      <c r="T119" s="10"/>
    </row>
    <row r="120" spans="3:20">
      <c r="C120" s="3"/>
      <c r="G120" s="39"/>
      <c r="H120" s="43"/>
      <c r="I120" s="3"/>
      <c r="S120" s="8"/>
      <c r="T120" s="10"/>
    </row>
    <row r="121" spans="3:20">
      <c r="C121" s="3"/>
      <c r="G121" s="40"/>
      <c r="H121" s="43"/>
      <c r="I121" s="3"/>
      <c r="S121" s="8"/>
      <c r="T121" s="10"/>
    </row>
    <row r="122" spans="3:20">
      <c r="C122" s="3"/>
      <c r="G122" s="39"/>
      <c r="H122" s="43"/>
      <c r="I122" s="3"/>
      <c r="S122" s="8"/>
      <c r="T122" s="10"/>
    </row>
    <row r="123" spans="3:20">
      <c r="C123" s="3"/>
      <c r="G123" s="40"/>
      <c r="H123" s="43"/>
      <c r="I123" s="3"/>
      <c r="S123" s="8"/>
      <c r="T123" s="10"/>
    </row>
    <row r="124" spans="3:20">
      <c r="C124" s="3"/>
      <c r="G124" s="39"/>
      <c r="H124" s="43"/>
      <c r="I124" s="3"/>
      <c r="S124" s="8"/>
      <c r="T124" s="10"/>
    </row>
    <row r="125" spans="3:20">
      <c r="C125" s="3"/>
      <c r="G125" s="42"/>
      <c r="H125" s="43"/>
      <c r="I125" s="3"/>
      <c r="S125" s="8"/>
      <c r="T125" s="10"/>
    </row>
    <row r="126" spans="3:20">
      <c r="C126" s="3"/>
      <c r="G126" s="42"/>
      <c r="H126" s="43"/>
      <c r="I126" s="3"/>
      <c r="S126" s="8"/>
      <c r="T126" s="10"/>
    </row>
    <row r="127" spans="3:20">
      <c r="C127" s="3"/>
      <c r="G127" s="41"/>
      <c r="H127" s="43"/>
      <c r="I127" s="3"/>
      <c r="S127" s="8"/>
      <c r="T127" s="10"/>
    </row>
    <row r="128" spans="3:20">
      <c r="C128" s="3"/>
      <c r="G128" s="40"/>
      <c r="H128" s="43"/>
      <c r="I128" s="3"/>
      <c r="S128" s="8"/>
      <c r="T128" s="10"/>
    </row>
    <row r="129" spans="3:20">
      <c r="C129" s="3"/>
      <c r="G129" s="40"/>
      <c r="H129" s="43"/>
      <c r="I129" s="3"/>
      <c r="S129" s="8"/>
      <c r="T129" s="10"/>
    </row>
    <row r="130" spans="3:20">
      <c r="C130" s="3"/>
      <c r="G130" s="39"/>
      <c r="H130" s="43"/>
      <c r="I130" s="3"/>
      <c r="S130" s="8"/>
      <c r="T130" s="10"/>
    </row>
    <row r="131" spans="3:20">
      <c r="C131" s="3"/>
      <c r="G131" s="40"/>
      <c r="H131" s="43"/>
      <c r="I131" s="3"/>
      <c r="S131" s="8"/>
      <c r="T131" s="10"/>
    </row>
    <row r="132" spans="3:20">
      <c r="C132" s="3"/>
      <c r="G132" s="40"/>
      <c r="H132" s="43"/>
      <c r="I132" s="3"/>
      <c r="S132" s="8"/>
      <c r="T132" s="10"/>
    </row>
    <row r="133" spans="3:20">
      <c r="C133" s="3"/>
      <c r="G133" s="40"/>
      <c r="H133" s="43"/>
      <c r="I133" s="3"/>
      <c r="S133" s="8"/>
      <c r="T133" s="10"/>
    </row>
    <row r="134" spans="3:20">
      <c r="C134" s="3"/>
      <c r="G134" s="40"/>
      <c r="H134" s="43"/>
      <c r="I134" s="3"/>
      <c r="S134" s="8"/>
      <c r="T134" s="10"/>
    </row>
    <row r="135" spans="3:20">
      <c r="C135" s="3"/>
      <c r="G135" s="40"/>
      <c r="H135" s="43"/>
      <c r="I135" s="3"/>
      <c r="S135" s="8"/>
      <c r="T135" s="10"/>
    </row>
    <row r="136" spans="3:20">
      <c r="C136" s="3"/>
      <c r="G136" s="39"/>
      <c r="H136" s="43"/>
      <c r="I136" s="3"/>
      <c r="S136" s="8"/>
      <c r="T136" s="10"/>
    </row>
    <row r="137" spans="3:20">
      <c r="C137" s="3"/>
      <c r="G137" s="40"/>
      <c r="H137" s="43"/>
      <c r="I137" s="3"/>
      <c r="S137" s="8"/>
      <c r="T137" s="10"/>
    </row>
    <row r="138" spans="3:20">
      <c r="C138" s="3"/>
      <c r="G138" s="39"/>
      <c r="H138" s="43"/>
      <c r="I138" s="3"/>
      <c r="S138" s="8"/>
      <c r="T138" s="10"/>
    </row>
    <row r="139" spans="3:20">
      <c r="C139" s="3"/>
      <c r="G139" s="39"/>
      <c r="H139" s="43"/>
      <c r="I139" s="3"/>
      <c r="S139" s="8"/>
      <c r="T139" s="10"/>
    </row>
    <row r="140" spans="3:20">
      <c r="C140" s="3"/>
      <c r="G140" s="40"/>
      <c r="H140" s="43"/>
      <c r="I140" s="3"/>
      <c r="S140" s="8"/>
      <c r="T140" s="10"/>
    </row>
    <row r="141" spans="3:20">
      <c r="C141" s="3"/>
      <c r="G141" s="40"/>
      <c r="H141" s="43"/>
      <c r="I141" s="3"/>
      <c r="S141" s="8"/>
      <c r="T141" s="10"/>
    </row>
    <row r="142" spans="3:20">
      <c r="C142" s="3"/>
      <c r="G142" s="40"/>
      <c r="H142" s="43"/>
      <c r="I142" s="3"/>
      <c r="S142" s="8"/>
      <c r="T142" s="10"/>
    </row>
    <row r="143" spans="3:20">
      <c r="C143" s="3"/>
      <c r="G143" s="40"/>
      <c r="H143" s="43"/>
      <c r="I143" s="3"/>
      <c r="S143" s="8"/>
      <c r="T143" s="10"/>
    </row>
    <row r="144" spans="3:20">
      <c r="C144" s="3"/>
      <c r="D144" s="1"/>
      <c r="G144" s="40"/>
      <c r="H144" s="43"/>
      <c r="I144" s="3"/>
      <c r="S144" s="8"/>
      <c r="T144" s="10"/>
    </row>
    <row r="145" spans="3:20">
      <c r="C145" s="3"/>
      <c r="G145" s="40"/>
      <c r="H145" s="43"/>
      <c r="I145" s="3"/>
      <c r="S145" s="8"/>
      <c r="T145" s="10"/>
    </row>
    <row r="146" spans="3:20">
      <c r="C146" s="3"/>
      <c r="G146" s="40"/>
      <c r="H146" s="43"/>
      <c r="I146" s="3"/>
      <c r="S146" s="8"/>
      <c r="T146" s="10"/>
    </row>
    <row r="147" spans="3:20">
      <c r="C147" s="3"/>
      <c r="G147" s="40"/>
      <c r="H147" s="43"/>
      <c r="I147" s="3"/>
      <c r="S147" s="8"/>
      <c r="T147" s="10"/>
    </row>
    <row r="148" spans="3:20">
      <c r="C148" s="3"/>
      <c r="G148" s="39"/>
      <c r="H148" s="43"/>
      <c r="I148" s="3"/>
      <c r="S148" s="8"/>
      <c r="T148" s="10"/>
    </row>
    <row r="149" spans="3:20">
      <c r="C149" s="3"/>
      <c r="G149" s="40"/>
      <c r="H149" s="43"/>
      <c r="I149" s="3"/>
      <c r="S149" s="8"/>
      <c r="T149" s="10"/>
    </row>
    <row r="150" spans="3:20">
      <c r="C150" s="3"/>
      <c r="G150" s="39"/>
      <c r="H150" s="43"/>
      <c r="I150" s="3"/>
      <c r="S150" s="8"/>
      <c r="T150" s="10"/>
    </row>
    <row r="151" spans="3:20">
      <c r="C151" s="3"/>
      <c r="G151" s="40"/>
      <c r="H151" s="43"/>
      <c r="I151" s="3"/>
      <c r="S151" s="8"/>
      <c r="T151" s="10"/>
    </row>
    <row r="152" spans="3:20">
      <c r="C152" s="3"/>
      <c r="G152" s="39"/>
      <c r="H152" s="43"/>
      <c r="I152" s="3"/>
      <c r="S152" s="8"/>
      <c r="T152" s="10"/>
    </row>
    <row r="153" spans="3:20">
      <c r="C153" s="3"/>
      <c r="G153" s="39"/>
      <c r="H153" s="43"/>
      <c r="I153" s="3"/>
      <c r="S153" s="8"/>
      <c r="T153" s="10"/>
    </row>
    <row r="154" spans="3:20">
      <c r="C154" s="3"/>
      <c r="G154" s="40"/>
      <c r="H154" s="43"/>
      <c r="I154" s="3"/>
      <c r="S154" s="8"/>
      <c r="T154" s="10"/>
    </row>
    <row r="155" spans="3:20">
      <c r="C155" s="3"/>
      <c r="G155" s="40"/>
      <c r="H155" s="43"/>
      <c r="I155" s="3"/>
      <c r="S155" s="8"/>
      <c r="T155" s="10"/>
    </row>
    <row r="156" spans="3:20">
      <c r="C156" s="3"/>
      <c r="G156" s="39"/>
      <c r="H156" s="43"/>
      <c r="I156" s="3"/>
      <c r="S156" s="8"/>
      <c r="T156" s="10"/>
    </row>
    <row r="157" spans="3:20">
      <c r="C157" s="3"/>
      <c r="G157" s="39"/>
      <c r="H157" s="43"/>
      <c r="I157" s="3"/>
      <c r="S157" s="8"/>
      <c r="T157" s="10"/>
    </row>
    <row r="158" spans="3:20">
      <c r="C158" s="3"/>
      <c r="G158" s="39"/>
      <c r="H158" s="43"/>
      <c r="I158" s="3"/>
      <c r="S158" s="8"/>
      <c r="T158" s="10"/>
    </row>
    <row r="159" spans="3:20">
      <c r="C159" s="3"/>
      <c r="G159" s="40"/>
      <c r="H159" s="43"/>
      <c r="I159" s="3"/>
      <c r="S159" s="8"/>
      <c r="T159" s="10"/>
    </row>
    <row r="160" spans="3:20">
      <c r="C160" s="3"/>
      <c r="G160" s="39"/>
      <c r="H160" s="43"/>
      <c r="I160" s="3"/>
      <c r="S160" s="8"/>
      <c r="T160" s="10"/>
    </row>
    <row r="161" spans="3:20">
      <c r="C161" s="3"/>
      <c r="G161" s="40"/>
      <c r="H161" s="43"/>
      <c r="I161" s="3"/>
      <c r="S161" s="8"/>
      <c r="T161" s="10"/>
    </row>
    <row r="162" spans="3:20">
      <c r="C162" s="3"/>
      <c r="G162" s="40"/>
      <c r="H162" s="43"/>
      <c r="I162" s="3"/>
      <c r="S162" s="8"/>
      <c r="T162" s="10"/>
    </row>
    <row r="163" spans="3:20">
      <c r="C163" s="3"/>
      <c r="G163" s="39"/>
      <c r="H163" s="43"/>
      <c r="I163" s="3"/>
      <c r="S163" s="8"/>
      <c r="T163" s="10"/>
    </row>
    <row r="164" spans="3:20">
      <c r="C164" s="3"/>
      <c r="G164" s="39"/>
      <c r="H164" s="43"/>
      <c r="I164" s="3"/>
      <c r="S164" s="8"/>
      <c r="T164" s="10"/>
    </row>
    <row r="165" spans="3:20">
      <c r="C165" s="3"/>
      <c r="G165" s="41"/>
      <c r="H165" s="43"/>
      <c r="I165" s="3"/>
      <c r="S165" s="8"/>
      <c r="T165" s="10"/>
    </row>
    <row r="166" spans="3:20">
      <c r="C166" s="3"/>
      <c r="G166" s="39"/>
      <c r="H166" s="43"/>
      <c r="I166" s="3"/>
      <c r="S166" s="8"/>
      <c r="T166" s="10"/>
    </row>
    <row r="167" spans="3:20">
      <c r="C167" s="3"/>
      <c r="G167" s="39"/>
      <c r="H167" s="43"/>
      <c r="I167" s="3"/>
      <c r="S167" s="8"/>
      <c r="T167" s="10"/>
    </row>
    <row r="168" spans="3:20">
      <c r="C168" s="3"/>
      <c r="G168" s="41"/>
      <c r="H168" s="43"/>
      <c r="I168" s="3"/>
      <c r="S168" s="8"/>
      <c r="T168" s="10"/>
    </row>
    <row r="169" spans="3:20">
      <c r="C169" s="3"/>
      <c r="G169" s="40"/>
      <c r="H169" s="43"/>
      <c r="I169" s="3"/>
      <c r="S169" s="8"/>
      <c r="T169" s="10"/>
    </row>
    <row r="170" spans="3:20">
      <c r="C170" s="3"/>
      <c r="G170" s="40"/>
      <c r="H170" s="43"/>
      <c r="I170" s="3"/>
      <c r="S170" s="8"/>
      <c r="T170" s="10"/>
    </row>
    <row r="171" spans="3:20">
      <c r="C171" s="3"/>
      <c r="G171" s="40"/>
      <c r="H171" s="43"/>
      <c r="I171" s="3"/>
      <c r="S171" s="8"/>
      <c r="T171" s="10"/>
    </row>
    <row r="172" spans="3:20">
      <c r="C172" s="3"/>
      <c r="G172" s="39"/>
      <c r="H172" s="43"/>
      <c r="I172" s="3"/>
      <c r="S172" s="8"/>
      <c r="T172" s="10"/>
    </row>
    <row r="173" spans="3:20">
      <c r="C173" s="3"/>
      <c r="G173" s="39"/>
      <c r="H173" s="43"/>
      <c r="I173" s="3"/>
      <c r="S173" s="8"/>
      <c r="T173" s="10"/>
    </row>
    <row r="174" spans="3:20">
      <c r="C174" s="3"/>
      <c r="G174" s="40"/>
      <c r="H174" s="43"/>
      <c r="I174" s="3"/>
      <c r="S174" s="8"/>
      <c r="T174" s="10"/>
    </row>
    <row r="175" spans="3:20">
      <c r="C175" s="3"/>
      <c r="G175" s="39"/>
      <c r="H175" s="43"/>
      <c r="I175" s="3"/>
      <c r="S175" s="8"/>
      <c r="T175" s="10"/>
    </row>
    <row r="176" spans="3:20">
      <c r="C176" s="3"/>
      <c r="G176" s="39"/>
      <c r="H176" s="43"/>
      <c r="I176" s="3"/>
      <c r="S176" s="8"/>
      <c r="T176" s="10"/>
    </row>
    <row r="177" spans="3:20">
      <c r="C177" s="3"/>
      <c r="G177" s="40"/>
      <c r="H177" s="43"/>
      <c r="I177" s="3"/>
      <c r="S177" s="8"/>
      <c r="T177" s="10"/>
    </row>
    <row r="178" spans="3:20">
      <c r="C178" s="3"/>
      <c r="G178" s="40"/>
      <c r="H178" s="43"/>
      <c r="I178" s="3"/>
      <c r="S178" s="8"/>
      <c r="T178" s="10"/>
    </row>
    <row r="179" spans="3:20">
      <c r="C179" s="3"/>
      <c r="G179" s="40"/>
      <c r="H179" s="43"/>
      <c r="I179" s="3"/>
      <c r="S179" s="8"/>
      <c r="T179" s="10"/>
    </row>
    <row r="180" spans="3:20">
      <c r="C180" s="3"/>
      <c r="G180" s="40"/>
      <c r="H180" s="43"/>
      <c r="I180" s="3"/>
      <c r="S180" s="8"/>
      <c r="T180" s="10"/>
    </row>
    <row r="181" spans="3:20">
      <c r="C181" s="3"/>
      <c r="G181" s="39"/>
      <c r="H181" s="43"/>
      <c r="I181" s="3"/>
      <c r="S181" s="8"/>
      <c r="T181" s="10"/>
    </row>
    <row r="182" spans="3:20">
      <c r="C182" s="3"/>
      <c r="G182" s="39"/>
      <c r="H182" s="43"/>
      <c r="I182" s="3"/>
      <c r="S182" s="8"/>
      <c r="T182" s="10"/>
    </row>
    <row r="183" spans="3:20">
      <c r="C183" s="3"/>
      <c r="G183" s="39"/>
      <c r="H183" s="43"/>
      <c r="I183" s="3"/>
      <c r="S183" s="8"/>
      <c r="T183" s="10"/>
    </row>
    <row r="184" spans="3:20">
      <c r="C184" s="3"/>
      <c r="G184" s="40"/>
      <c r="H184" s="43"/>
      <c r="I184" s="3"/>
      <c r="S184" s="8"/>
      <c r="T184" s="10"/>
    </row>
    <row r="185" spans="3:20">
      <c r="C185" s="3"/>
      <c r="G185" s="40"/>
      <c r="H185" s="43"/>
      <c r="I185" s="3"/>
      <c r="S185" s="8"/>
      <c r="T185" s="10"/>
    </row>
    <row r="186" spans="3:20">
      <c r="C186" s="3"/>
      <c r="G186" s="40"/>
      <c r="H186" s="43"/>
      <c r="I186" s="3"/>
      <c r="S186" s="8"/>
      <c r="T186" s="10"/>
    </row>
    <row r="187" spans="3:20">
      <c r="C187" s="3"/>
      <c r="G187" s="40"/>
      <c r="H187" s="43"/>
      <c r="I187" s="3"/>
      <c r="S187" s="8"/>
      <c r="T187" s="10"/>
    </row>
    <row r="188" spans="3:20">
      <c r="C188" s="3"/>
      <c r="G188" s="39"/>
      <c r="H188" s="43"/>
      <c r="I188" s="3"/>
      <c r="S188" s="8"/>
      <c r="T188" s="10"/>
    </row>
    <row r="189" spans="3:20">
      <c r="C189" s="3"/>
      <c r="G189" s="39"/>
      <c r="H189" s="43"/>
      <c r="I189" s="3"/>
      <c r="S189" s="8"/>
      <c r="T189" s="10"/>
    </row>
    <row r="190" spans="3:20">
      <c r="C190" s="3"/>
      <c r="G190" s="42"/>
      <c r="H190" s="43"/>
      <c r="I190" s="3"/>
      <c r="S190" s="8"/>
      <c r="T190" s="10"/>
    </row>
    <row r="191" spans="3:20">
      <c r="C191" s="3"/>
      <c r="G191" s="44"/>
      <c r="H191" s="43"/>
      <c r="I191" s="3"/>
      <c r="S191" s="8"/>
      <c r="T191" s="10"/>
    </row>
    <row r="192" spans="3:20">
      <c r="C192" s="3"/>
      <c r="G192" s="44"/>
      <c r="H192" s="43"/>
      <c r="I192" s="3"/>
      <c r="S192" s="8"/>
      <c r="T192" s="10"/>
    </row>
    <row r="193" spans="3:20">
      <c r="C193" s="3"/>
      <c r="G193" s="44"/>
      <c r="H193" s="43"/>
      <c r="I193" s="3"/>
      <c r="S193" s="8"/>
      <c r="T193" s="10"/>
    </row>
    <row r="194" spans="3:20">
      <c r="C194" s="3"/>
      <c r="G194" s="8"/>
      <c r="H194" s="7"/>
      <c r="I194" s="3"/>
      <c r="S194" s="8"/>
      <c r="T194" s="10"/>
    </row>
    <row r="195" spans="3:20">
      <c r="C195" s="3"/>
      <c r="G195" s="8"/>
      <c r="H195" s="7"/>
      <c r="I195" s="3"/>
      <c r="S195" s="8"/>
      <c r="T195" s="10"/>
    </row>
    <row r="196" spans="3:20">
      <c r="C196" s="3"/>
      <c r="G196" s="8"/>
      <c r="H196" s="7"/>
      <c r="I196" s="3"/>
    </row>
    <row r="197" spans="3:20">
      <c r="C197" s="3"/>
      <c r="G197" s="8"/>
      <c r="H197" s="7"/>
      <c r="I197" s="3"/>
    </row>
    <row r="198" spans="3:20">
      <c r="C198" s="3"/>
      <c r="G198" s="8"/>
      <c r="H198" s="7"/>
      <c r="I198" s="3"/>
    </row>
    <row r="199" spans="3:20">
      <c r="C199" s="3"/>
      <c r="G199" s="8"/>
      <c r="H199" s="7"/>
      <c r="I199" s="3"/>
    </row>
    <row r="200" spans="3:20">
      <c r="C200" s="3"/>
      <c r="G200" s="8"/>
      <c r="H200" s="7"/>
      <c r="I200" s="3"/>
    </row>
    <row r="201" spans="3:20">
      <c r="C201" s="3"/>
      <c r="G201" s="8"/>
      <c r="H201" s="7"/>
      <c r="I201" s="3"/>
    </row>
    <row r="202" spans="3:20">
      <c r="G202" s="8"/>
      <c r="H202" s="7"/>
      <c r="I202" s="3"/>
    </row>
    <row r="203" spans="3:20">
      <c r="G203" s="8"/>
      <c r="H203" s="7"/>
      <c r="I203" s="3"/>
    </row>
    <row r="204" spans="3:20">
      <c r="G204" s="8"/>
      <c r="H204" s="7"/>
      <c r="I204" s="3"/>
    </row>
    <row r="205" spans="3:20">
      <c r="G205" s="8"/>
      <c r="H205" s="7"/>
      <c r="I205" s="3"/>
    </row>
    <row r="206" spans="3:20">
      <c r="G206" s="8"/>
      <c r="H206" s="7"/>
      <c r="I206" s="3"/>
    </row>
    <row r="207" spans="3:20">
      <c r="G207" s="8"/>
      <c r="H207" s="7"/>
      <c r="I207" s="3"/>
    </row>
    <row r="208" spans="3:20">
      <c r="G208" s="8"/>
      <c r="H208" s="7"/>
      <c r="I208" s="3"/>
    </row>
    <row r="209" spans="7:9">
      <c r="G209" s="8"/>
      <c r="H209" s="7"/>
      <c r="I209" s="3"/>
    </row>
    <row r="210" spans="7:9">
      <c r="G210" s="8"/>
      <c r="H210" s="7"/>
      <c r="I210" s="3"/>
    </row>
    <row r="211" spans="7:9">
      <c r="G211" s="8"/>
      <c r="H211" s="7"/>
      <c r="I211" s="3"/>
    </row>
    <row r="212" spans="7:9">
      <c r="G212" s="8"/>
      <c r="H212" s="7"/>
      <c r="I212" s="3"/>
    </row>
    <row r="213" spans="7:9">
      <c r="G213" s="8"/>
      <c r="H213" s="7"/>
      <c r="I213" s="3"/>
    </row>
    <row r="214" spans="7:9">
      <c r="G214" s="8"/>
      <c r="H214" s="7"/>
      <c r="I214" s="3"/>
    </row>
    <row r="215" spans="7:9">
      <c r="G215" s="8"/>
      <c r="H215" s="7"/>
      <c r="I215" s="3"/>
    </row>
    <row r="216" spans="7:9">
      <c r="G216" s="8"/>
      <c r="H216" s="7"/>
      <c r="I216" s="3"/>
    </row>
    <row r="217" spans="7:9">
      <c r="G217" s="8"/>
      <c r="H217" s="7"/>
      <c r="I217" s="3"/>
    </row>
    <row r="218" spans="7:9">
      <c r="G218" s="8"/>
      <c r="H218" s="7"/>
      <c r="I218" s="3"/>
    </row>
    <row r="219" spans="7:9">
      <c r="G219" s="8"/>
      <c r="H219" s="7"/>
      <c r="I219" s="3"/>
    </row>
    <row r="220" spans="7:9">
      <c r="G220" s="8"/>
      <c r="H220" s="7"/>
      <c r="I220" s="3"/>
    </row>
    <row r="221" spans="7:9">
      <c r="G221" s="8"/>
      <c r="H221" s="7"/>
      <c r="I221" s="3"/>
    </row>
    <row r="222" spans="7:9">
      <c r="G222" s="8"/>
      <c r="H222" s="7"/>
      <c r="I222" s="3"/>
    </row>
    <row r="223" spans="7:9">
      <c r="G223" s="8"/>
      <c r="H223" s="7"/>
      <c r="I223" s="3"/>
    </row>
    <row r="224" spans="7:9">
      <c r="G224" s="8"/>
      <c r="H224" s="7"/>
      <c r="I224" s="3"/>
    </row>
    <row r="225" spans="7:9">
      <c r="G225" s="8"/>
      <c r="H225" s="7"/>
      <c r="I225" s="3"/>
    </row>
    <row r="226" spans="7:9">
      <c r="G226" s="8"/>
      <c r="H226" s="7"/>
      <c r="I226" s="3"/>
    </row>
    <row r="227" spans="7:9">
      <c r="G227" s="8"/>
      <c r="H227" s="7"/>
      <c r="I227" s="3"/>
    </row>
    <row r="228" spans="7:9">
      <c r="G228" s="8"/>
      <c r="H228" s="7"/>
      <c r="I228" s="3"/>
    </row>
    <row r="229" spans="7:9">
      <c r="G229" s="8"/>
      <c r="H229" s="7"/>
      <c r="I229" s="3"/>
    </row>
    <row r="230" spans="7:9">
      <c r="G230" s="8"/>
      <c r="H230" s="7"/>
      <c r="I230" s="3"/>
    </row>
    <row r="231" spans="7:9">
      <c r="G231" s="8"/>
      <c r="H231" s="7"/>
      <c r="I231" s="3"/>
    </row>
    <row r="232" spans="7:9">
      <c r="G232" s="8"/>
      <c r="H232" s="7"/>
      <c r="I232" s="3"/>
    </row>
    <row r="233" spans="7:9">
      <c r="G233" s="8"/>
      <c r="H233" s="7"/>
      <c r="I233" s="3"/>
    </row>
    <row r="234" spans="7:9">
      <c r="G234" s="8"/>
      <c r="H234" s="7"/>
      <c r="I234" s="3"/>
    </row>
    <row r="235" spans="7:9">
      <c r="G235" s="8"/>
      <c r="H235" s="7"/>
      <c r="I235" s="3"/>
    </row>
    <row r="236" spans="7:9">
      <c r="G236" s="8"/>
      <c r="H236" s="7"/>
      <c r="I236" s="3"/>
    </row>
    <row r="237" spans="7:9">
      <c r="G237" s="8"/>
      <c r="H237" s="7"/>
      <c r="I237" s="3"/>
    </row>
    <row r="238" spans="7:9">
      <c r="G238" s="8"/>
      <c r="H238" s="7"/>
      <c r="I238" s="3"/>
    </row>
    <row r="239" spans="7:9">
      <c r="G239" s="8"/>
      <c r="H239" s="7"/>
      <c r="I239" s="3"/>
    </row>
    <row r="240" spans="7:9">
      <c r="G240" s="8"/>
      <c r="H240" s="7"/>
      <c r="I240" s="3"/>
    </row>
    <row r="241" spans="7:9">
      <c r="G241" s="8"/>
      <c r="H241" s="7"/>
      <c r="I241" s="3"/>
    </row>
    <row r="242" spans="7:9">
      <c r="G242" s="8"/>
      <c r="H242" s="7"/>
      <c r="I242" s="3"/>
    </row>
    <row r="243" spans="7:9">
      <c r="G243" s="8"/>
      <c r="H243" s="7"/>
      <c r="I243" s="3"/>
    </row>
    <row r="244" spans="7:9">
      <c r="G244" s="8"/>
      <c r="H244" s="7"/>
      <c r="I244" s="3"/>
    </row>
    <row r="245" spans="7:9">
      <c r="G245" s="8"/>
      <c r="H245" s="7"/>
      <c r="I245" s="3"/>
    </row>
    <row r="246" spans="7:9">
      <c r="G246" s="8"/>
      <c r="H246" s="7"/>
      <c r="I246" s="3"/>
    </row>
    <row r="247" spans="7:9">
      <c r="G247" s="8"/>
      <c r="H247" s="7"/>
      <c r="I247" s="3"/>
    </row>
    <row r="248" spans="7:9">
      <c r="G248" s="8"/>
      <c r="H248" s="7"/>
      <c r="I248" s="3"/>
    </row>
    <row r="249" spans="7:9">
      <c r="G249" s="8"/>
      <c r="H249" s="7"/>
      <c r="I249" s="3"/>
    </row>
    <row r="250" spans="7:9">
      <c r="G250" s="8"/>
      <c r="H250" s="7"/>
      <c r="I250" s="3"/>
    </row>
    <row r="251" spans="7:9">
      <c r="G251" s="8"/>
      <c r="H251" s="7"/>
      <c r="I251" s="3"/>
    </row>
    <row r="252" spans="7:9">
      <c r="G252" s="8"/>
      <c r="H252" s="7"/>
      <c r="I252" s="3"/>
    </row>
    <row r="253" spans="7:9">
      <c r="G253" s="8"/>
      <c r="H253" s="7"/>
      <c r="I253" s="3"/>
    </row>
    <row r="254" spans="7:9">
      <c r="G254" s="8"/>
      <c r="H254" s="7"/>
      <c r="I254" s="3"/>
    </row>
    <row r="255" spans="7:9">
      <c r="G255" s="8"/>
      <c r="H255" s="7"/>
      <c r="I255" s="3"/>
    </row>
    <row r="256" spans="7:9">
      <c r="G256" s="8"/>
      <c r="H256" s="7"/>
      <c r="I256" s="3"/>
    </row>
    <row r="257" spans="7:12">
      <c r="G257" s="8"/>
      <c r="H257" s="7"/>
      <c r="I257" s="3"/>
    </row>
    <row r="258" spans="7:12">
      <c r="G258" s="8"/>
      <c r="H258" s="7"/>
      <c r="I258" s="3"/>
    </row>
    <row r="259" spans="7:12">
      <c r="G259" s="8"/>
      <c r="H259" s="7"/>
      <c r="I259" s="3"/>
    </row>
    <row r="260" spans="7:12">
      <c r="G260" s="8"/>
      <c r="H260" s="7"/>
      <c r="I260" s="3"/>
    </row>
    <row r="261" spans="7:12">
      <c r="G261" s="8"/>
      <c r="H261" s="7"/>
      <c r="I261" s="3"/>
    </row>
    <row r="262" spans="7:12">
      <c r="G262" s="8"/>
      <c r="H262" s="7"/>
      <c r="I262" s="3"/>
    </row>
    <row r="263" spans="7:12">
      <c r="G263" s="8"/>
      <c r="H263" s="7"/>
      <c r="I263" s="3"/>
    </row>
    <row r="264" spans="7:12">
      <c r="G264" s="8"/>
      <c r="H264" s="7"/>
      <c r="I264" s="3"/>
    </row>
    <row r="265" spans="7:12">
      <c r="G265" s="8"/>
      <c r="H265" s="7"/>
      <c r="I265" s="3"/>
    </row>
    <row r="266" spans="7:12">
      <c r="G266" s="8"/>
      <c r="H266" s="7"/>
      <c r="I266" s="3"/>
    </row>
    <row r="267" spans="7:12">
      <c r="G267" s="8"/>
      <c r="H267" s="7"/>
      <c r="I267" s="3"/>
    </row>
    <row r="268" spans="7:12">
      <c r="G268" s="8"/>
      <c r="H268" s="7"/>
      <c r="I268" s="3"/>
    </row>
    <row r="269" spans="7:12">
      <c r="G269" s="8"/>
      <c r="H269" s="7"/>
      <c r="I269" s="3"/>
    </row>
    <row r="270" spans="7:12">
      <c r="G270" s="8"/>
      <c r="H270" s="7"/>
      <c r="I270" s="3"/>
    </row>
    <row r="271" spans="7:12">
      <c r="G271" s="3"/>
      <c r="L271" s="16"/>
    </row>
    <row r="272" spans="7:12">
      <c r="G272" s="3"/>
    </row>
    <row r="273" spans="7:7">
      <c r="G273"/>
    </row>
    <row r="274" spans="7:7">
      <c r="G274" s="3"/>
    </row>
    <row r="275" spans="7:7">
      <c r="G275" s="3"/>
    </row>
    <row r="276" spans="7:7">
      <c r="G276" s="3"/>
    </row>
    <row r="277" spans="7:7">
      <c r="G277"/>
    </row>
    <row r="278" spans="7:7">
      <c r="G278" s="3"/>
    </row>
    <row r="279" spans="7:7">
      <c r="G279" s="3"/>
    </row>
    <row r="280" spans="7:7">
      <c r="G280"/>
    </row>
    <row r="281" spans="7:7">
      <c r="G281" s="3"/>
    </row>
    <row r="282" spans="7:7">
      <c r="G282"/>
    </row>
    <row r="283" spans="7:7">
      <c r="G283"/>
    </row>
    <row r="284" spans="7:7">
      <c r="G284" s="3"/>
    </row>
    <row r="285" spans="7:7">
      <c r="G285"/>
    </row>
    <row r="286" spans="7:7">
      <c r="G286"/>
    </row>
    <row r="287" spans="7:7">
      <c r="G287"/>
    </row>
    <row r="288" spans="7:7">
      <c r="G288"/>
    </row>
    <row r="289" spans="7:7">
      <c r="G289" s="3"/>
    </row>
    <row r="290" spans="7:7">
      <c r="G290" s="3"/>
    </row>
    <row r="291" spans="7:7">
      <c r="G291"/>
    </row>
    <row r="292" spans="7:7">
      <c r="G292" s="3"/>
    </row>
    <row r="293" spans="7:7">
      <c r="G293"/>
    </row>
    <row r="294" spans="7:7">
      <c r="G294" s="3"/>
    </row>
    <row r="295" spans="7:7">
      <c r="G295" s="3"/>
    </row>
    <row r="296" spans="7:7">
      <c r="G296"/>
    </row>
    <row r="297" spans="7:7">
      <c r="G297" s="3"/>
    </row>
    <row r="298" spans="7:7">
      <c r="G298"/>
    </row>
    <row r="299" spans="7:7">
      <c r="G299" s="3"/>
    </row>
    <row r="300" spans="7:7">
      <c r="G300"/>
    </row>
    <row r="301" spans="7:7">
      <c r="G301"/>
    </row>
    <row r="302" spans="7:7">
      <c r="G302"/>
    </row>
    <row r="303" spans="7:7">
      <c r="G303" s="3"/>
    </row>
    <row r="304" spans="7:7">
      <c r="G304"/>
    </row>
    <row r="305" spans="7:7">
      <c r="G305"/>
    </row>
    <row r="306" spans="7:7">
      <c r="G306" s="3"/>
    </row>
    <row r="307" spans="7:7">
      <c r="G307" s="3"/>
    </row>
    <row r="308" spans="7:7">
      <c r="G308"/>
    </row>
    <row r="309" spans="7:7">
      <c r="G309" s="3"/>
    </row>
    <row r="310" spans="7:7">
      <c r="G310" s="3"/>
    </row>
    <row r="311" spans="7:7">
      <c r="G311"/>
    </row>
    <row r="312" spans="7:7">
      <c r="G312" s="3"/>
    </row>
    <row r="313" spans="7:7">
      <c r="G313" s="3"/>
    </row>
    <row r="314" spans="7:7">
      <c r="G314"/>
    </row>
    <row r="315" spans="7:7">
      <c r="G315" s="3"/>
    </row>
    <row r="316" spans="7:7">
      <c r="G316"/>
    </row>
    <row r="317" spans="7:7">
      <c r="G317" s="3"/>
    </row>
    <row r="318" spans="7:7">
      <c r="G318" s="3"/>
    </row>
    <row r="319" spans="7:7">
      <c r="G319" s="3"/>
    </row>
    <row r="320" spans="7:7">
      <c r="G320" s="3"/>
    </row>
    <row r="321" spans="7:7">
      <c r="G321" s="3"/>
    </row>
    <row r="322" spans="7:7">
      <c r="G322"/>
    </row>
    <row r="323" spans="7:7">
      <c r="G323"/>
    </row>
    <row r="324" spans="7:7">
      <c r="G324"/>
    </row>
    <row r="325" spans="7:7">
      <c r="G325" s="3"/>
    </row>
    <row r="326" spans="7:7">
      <c r="G326" s="3"/>
    </row>
    <row r="327" spans="7:7">
      <c r="G327" s="3"/>
    </row>
    <row r="328" spans="7:7">
      <c r="G328" s="3"/>
    </row>
    <row r="329" spans="7:7">
      <c r="G329" s="3"/>
    </row>
    <row r="330" spans="7:7">
      <c r="G330" s="3"/>
    </row>
    <row r="331" spans="7:7">
      <c r="G331"/>
    </row>
    <row r="332" spans="7:7">
      <c r="G332"/>
    </row>
    <row r="333" spans="7:7">
      <c r="G333" s="3"/>
    </row>
    <row r="334" spans="7:7">
      <c r="G334"/>
    </row>
    <row r="335" spans="7:7">
      <c r="G335" s="3"/>
    </row>
    <row r="336" spans="7:7">
      <c r="G336"/>
    </row>
    <row r="337" spans="7:7">
      <c r="G337"/>
    </row>
    <row r="338" spans="7:7">
      <c r="G338" s="3"/>
    </row>
    <row r="339" spans="7:7">
      <c r="G339"/>
    </row>
    <row r="340" spans="7:7">
      <c r="G340" s="3"/>
    </row>
    <row r="341" spans="7:7">
      <c r="G341" s="3"/>
    </row>
    <row r="342" spans="7:7">
      <c r="G342"/>
    </row>
    <row r="343" spans="7:7">
      <c r="G343"/>
    </row>
    <row r="344" spans="7:7">
      <c r="G344" s="3"/>
    </row>
    <row r="345" spans="7:7">
      <c r="G345"/>
    </row>
    <row r="346" spans="7:7">
      <c r="G346"/>
    </row>
    <row r="347" spans="7:7">
      <c r="G347"/>
    </row>
    <row r="348" spans="7:7">
      <c r="G348" s="2"/>
    </row>
    <row r="349" spans="7:7">
      <c r="G349" s="3"/>
    </row>
    <row r="350" spans="7:7">
      <c r="G350" s="3"/>
    </row>
    <row r="351" spans="7:7">
      <c r="G351"/>
    </row>
    <row r="352" spans="7:7">
      <c r="G352" s="3"/>
    </row>
    <row r="353" spans="7:7">
      <c r="G353" s="3"/>
    </row>
    <row r="354" spans="7:7">
      <c r="G354"/>
    </row>
    <row r="355" spans="7:7">
      <c r="G355"/>
    </row>
    <row r="356" spans="7:7">
      <c r="G356"/>
    </row>
    <row r="357" spans="7:7">
      <c r="G357"/>
    </row>
    <row r="358" spans="7:7">
      <c r="G358" s="3"/>
    </row>
    <row r="359" spans="7:7">
      <c r="G359" s="3"/>
    </row>
    <row r="360" spans="7:7">
      <c r="G360" s="3"/>
    </row>
    <row r="361" spans="7:7">
      <c r="G361" s="3"/>
    </row>
    <row r="362" spans="7:7">
      <c r="G362"/>
    </row>
    <row r="363" spans="7:7">
      <c r="G363" s="3"/>
    </row>
    <row r="364" spans="7:7">
      <c r="G364" s="3"/>
    </row>
    <row r="365" spans="7:7">
      <c r="G365" s="3"/>
    </row>
    <row r="366" spans="7:7">
      <c r="G366"/>
    </row>
    <row r="367" spans="7:7">
      <c r="G367"/>
    </row>
    <row r="368" spans="7:7">
      <c r="G368"/>
    </row>
    <row r="369" spans="7:7">
      <c r="G369"/>
    </row>
    <row r="370" spans="7:7">
      <c r="G370"/>
    </row>
    <row r="371" spans="7:7">
      <c r="G371"/>
    </row>
    <row r="372" spans="7:7">
      <c r="G372"/>
    </row>
    <row r="373" spans="7:7">
      <c r="G373"/>
    </row>
    <row r="374" spans="7:7">
      <c r="G374"/>
    </row>
    <row r="375" spans="7:7">
      <c r="G375"/>
    </row>
    <row r="376" spans="7:7">
      <c r="G376"/>
    </row>
    <row r="377" spans="7:7">
      <c r="G377" s="3"/>
    </row>
    <row r="378" spans="7:7">
      <c r="G378"/>
    </row>
    <row r="379" spans="7:7">
      <c r="G379" s="3"/>
    </row>
    <row r="380" spans="7:7">
      <c r="G380" s="3"/>
    </row>
    <row r="381" spans="7:7">
      <c r="G381" s="3"/>
    </row>
    <row r="382" spans="7:7">
      <c r="G382"/>
    </row>
    <row r="383" spans="7:7">
      <c r="G383"/>
    </row>
    <row r="384" spans="7:7">
      <c r="G384"/>
    </row>
    <row r="385" spans="7:10">
      <c r="G385" s="3"/>
    </row>
    <row r="386" spans="7:10">
      <c r="G386" s="3"/>
    </row>
    <row r="387" spans="7:10">
      <c r="G387"/>
    </row>
    <row r="388" spans="7:10">
      <c r="G388" s="3"/>
    </row>
    <row r="389" spans="7:10">
      <c r="G389" s="3"/>
    </row>
    <row r="390" spans="7:10">
      <c r="G390"/>
    </row>
    <row r="391" spans="7:10">
      <c r="G391" s="3"/>
    </row>
    <row r="392" spans="7:10">
      <c r="G392"/>
      <c r="H392"/>
      <c r="I392"/>
      <c r="J392"/>
    </row>
    <row r="393" spans="7:10">
      <c r="G393"/>
      <c r="H393"/>
      <c r="I393"/>
      <c r="J393"/>
    </row>
    <row r="394" spans="7:10">
      <c r="G394"/>
      <c r="H394"/>
      <c r="I394"/>
      <c r="J394"/>
    </row>
    <row r="395" spans="7:10">
      <c r="G395"/>
      <c r="H395"/>
      <c r="I395"/>
      <c r="J395"/>
    </row>
    <row r="396" spans="7:10">
      <c r="G396"/>
      <c r="H396"/>
      <c r="I396"/>
      <c r="J396"/>
    </row>
  </sheetData>
  <sortState ref="F2:M78">
    <sortCondition ref="H2:H78"/>
    <sortCondition ref="M2:M78"/>
  </sortState>
  <dataConsolidate/>
  <conditionalFormatting sqref="D2:D101">
    <cfRule type="duplicateValues" dxfId="15" priority="19"/>
  </conditionalFormatting>
  <conditionalFormatting sqref="D102:D201">
    <cfRule type="duplicateValues" dxfId="14" priority="18"/>
  </conditionalFormatting>
  <conditionalFormatting sqref="J298:J391">
    <cfRule type="cellIs" dxfId="13" priority="17" operator="lessThan">
      <formula>0</formula>
    </cfRule>
  </conditionalFormatting>
  <conditionalFormatting sqref="J271:J391">
    <cfRule type="duplicateValues" dxfId="12" priority="20"/>
  </conditionalFormatting>
  <conditionalFormatting sqref="S102:S195">
    <cfRule type="cellIs" dxfId="11" priority="15" operator="lessThan">
      <formula>0</formula>
    </cfRule>
  </conditionalFormatting>
  <conditionalFormatting sqref="S2:S11 S13:S195">
    <cfRule type="duplicateValues" dxfId="10" priority="16"/>
  </conditionalFormatting>
  <conditionalFormatting sqref="S12">
    <cfRule type="duplicateValues" dxfId="9" priority="14"/>
  </conditionalFormatting>
  <conditionalFormatting sqref="I191:I270">
    <cfRule type="duplicateValues" dxfId="8" priority="13"/>
  </conditionalFormatting>
  <conditionalFormatting sqref="I79:I190">
    <cfRule type="duplicateValues" dxfId="7" priority="12"/>
  </conditionalFormatting>
  <conditionalFormatting sqref="J79:J190">
    <cfRule type="duplicateValues" dxfId="6" priority="11"/>
  </conditionalFormatting>
  <conditionalFormatting sqref="J192:J270">
    <cfRule type="duplicateValues" dxfId="5" priority="21"/>
  </conditionalFormatting>
  <conditionalFormatting sqref="G2:G78">
    <cfRule type="duplicateValues" dxfId="4" priority="5"/>
  </conditionalFormatting>
  <conditionalFormatting sqref="N2:N15">
    <cfRule type="duplicateValues" dxfId="3" priority="4"/>
  </conditionalFormatting>
  <conditionalFormatting sqref="I44:I78">
    <cfRule type="cellIs" dxfId="2" priority="1" operator="between">
      <formula>$W$605</formula>
      <formula>$X$605</formula>
    </cfRule>
    <cfRule type="cellIs" dxfId="1" priority="2" operator="between">
      <formula>$W$604</formula>
      <formula>$X$604</formula>
    </cfRule>
  </conditionalFormatting>
  <conditionalFormatting sqref="I2:J78">
    <cfRule type="duplicateValues" dxfId="0" priority="3"/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jenkinsSequenceLow</vt:lpstr>
      <vt:lpstr>jenkinsSequenceHigh</vt:lpstr>
      <vt:lpstr>stormSequence</vt:lpstr>
      <vt:lpstr>stormCSV</vt:lpstr>
      <vt:lpstr>jenkinsPivot</vt:lpstr>
      <vt:lpstr>jWL</vt:lpstr>
      <vt:lpstr>jWH</vt:lpstr>
      <vt:lpstr>jWH (2)</vt:lpstr>
      <vt:lpstr>jMH</vt:lpstr>
      <vt:lpstr>jML</vt:lpstr>
      <vt:lpstr>jQH</vt:lpstr>
      <vt:lpstr>JQL</vt:lpstr>
      <vt:lpstr>j6MH</vt:lpstr>
      <vt:lpstr>j6ML</vt:lpstr>
      <vt:lpstr>jenk'spivot2</vt:lpstr>
      <vt:lpstr>voldPivot</vt:lpstr>
      <vt:lpstr>perlPivot</vt:lpstr>
      <vt:lpstr>stormPivot</vt:lpstr>
      <vt:lpstr>all ids</vt:lpstr>
      <vt:lpstr>Sheet2</vt:lpstr>
      <vt:lpstr>voldHigh</vt:lpstr>
      <vt:lpstr>voldLow</vt:lpstr>
      <vt:lpstr>jenkinCSV</vt:lpstr>
      <vt:lpstr>perlLow</vt:lpstr>
      <vt:lpstr>perlHigh</vt:lpstr>
    </vt:vector>
  </TitlesOfParts>
  <Company>UNL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Bakhtiar Khan Kasi</dc:creator>
  <cp:lastModifiedBy>Bakhtiar Khan Kasi</cp:lastModifiedBy>
  <dcterms:created xsi:type="dcterms:W3CDTF">2012-08-06T22:24:44Z</dcterms:created>
  <dcterms:modified xsi:type="dcterms:W3CDTF">2012-08-18T00:40:30Z</dcterms:modified>
</cp:coreProperties>
</file>